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codeName="ThisWorkbook" refreshAllConnections="1" defaultThemeVersion="124226"/>
  <mc:AlternateContent xmlns:mc="http://schemas.openxmlformats.org/markup-compatibility/2006">
    <mc:Choice Requires="x15">
      <x15ac:absPath xmlns:x15ac="http://schemas.microsoft.com/office/spreadsheetml/2010/11/ac" url="D:\my_github_projects\lanupro_vocabulary_2025\data\raw_results\"/>
    </mc:Choice>
  </mc:AlternateContent>
  <xr:revisionPtr revIDLastSave="0" documentId="13_ncr:1_{A7551853-1CA3-4A7D-8312-C58FC913E7FB}" xr6:coauthVersionLast="47" xr6:coauthVersionMax="47" xr10:uidLastSave="{00000000-0000-0000-0000-000000000000}"/>
  <bookViews>
    <workbookView xWindow="-108" yWindow="-108" windowWidth="23256" windowHeight="12456" tabRatio="721" activeTab="1" xr2:uid="{00000000-000D-0000-FFFF-FFFF00000000}"/>
  </bookViews>
  <sheets>
    <sheet name="start_sheet" sheetId="3" r:id="rId1"/>
    <sheet name="scientific_sheet" sheetId="61" r:id="rId2"/>
    <sheet name="lanupro_vocabulary_combined" sheetId="74" r:id="rId3"/>
    <sheet name="lanupro_vocabulary_general" sheetId="71" r:id="rId4"/>
    <sheet name="lanupro_vocabulary_incubations" sheetId="72" r:id="rId5"/>
    <sheet name="info_sheet_general" sheetId="53" r:id="rId6"/>
    <sheet name="preparation_sheet_flasks" sheetId="59" r:id="rId7"/>
    <sheet name="technical_sheet_vfa" sheetId="51" r:id="rId8"/>
    <sheet name="technical_sheet_dm" sheetId="60" r:id="rId9"/>
    <sheet name="input vfa" sheetId="15" r:id="rId10"/>
    <sheet name="input gas_ethane" sheetId="14" r:id="rId11"/>
    <sheet name="input_gas_standards" sheetId="57" r:id="rId12"/>
  </sheets>
  <definedNames>
    <definedName name="_xlnm._FilterDatabase" localSheetId="1" hidden="1">scientific_sheet!#REF!</definedName>
    <definedName name="_xlnm._FilterDatabase" localSheetId="0" hidden="1">start_sheet!$A$14:$B$15</definedName>
    <definedName name="_xlnm._FilterDatabase" localSheetId="7" hidden="1">technical_sheet_vfa!$C$2:$F$11</definedName>
    <definedName name="_xlnm.Print_Area" localSheetId="1">scientific_sheet!$A$1:$F$1</definedName>
    <definedName name="_xlnm.Print_Area" localSheetId="7">technical_sheet_vfa!$A$2:$K$11</definedName>
    <definedName name="_xlnm.Print_Titles" localSheetId="1">scientific_sheet!$1:$1</definedName>
    <definedName name="_xlnm.Print_Titles" localSheetId="7">technical_sheet_vfa!$2:$2</definedName>
    <definedName name="Analyst">#REF!:INDEX(#REF!,COUNTA(#REF!))</definedName>
    <definedName name="datevfa" localSheetId="7">technical_sheet_vfa!$I$3:$I$11</definedName>
    <definedName name="ExternalData_1" localSheetId="3" hidden="1">lanupro_vocabulary_general!$A$1:$AE$106</definedName>
    <definedName name="ExternalData_1" localSheetId="4" hidden="1">lanupro_vocabulary_incubations!$A$1:$CP$106</definedName>
    <definedName name="ExternalData_2" localSheetId="2" hidden="1">lanupro_vocabulary_combined!$A$1:$DT$106</definedName>
    <definedName name="factor_dropdown" localSheetId="1">IF(scientific_sheet!vocab_fixed,OFFSET(INDEX(scientific_sheet!vocab_col,scientific_sheet!vocab_start),0,0,scientific_sheet!vocab_n,1),"")</definedName>
    <definedName name="GC">#REF!:INDEX(#REF!,COUNTA(#REF!))</definedName>
    <definedName name="GC_method">#REF!:INDEX(#REF!,COUNTA(#REF!))</definedName>
    <definedName name="GCmethod">#REF!:INDEX(#REF!,COUNTA(#REF!))</definedName>
    <definedName name="Headings">#REF!:INDEX(#REF!,COUNTA(#REF!))</definedName>
    <definedName name="IS">#REF!:INDEX(#REF!,COUNTA(#REF!))</definedName>
    <definedName name="protocol">#REF!:INDEX(#REF!,COUNTA(#REF!))</definedName>
    <definedName name="Rumen_incub_prot">#REF!:INDEX(#REF!,COUNTA(#REF!))</definedName>
    <definedName name="sample">#REF!:INDEX(#REF!,COUNTA(#REF!))</definedName>
    <definedName name="sample_form">#REF!:INDEX(#REF!,COUNTA(#REF!))</definedName>
    <definedName name="SampleStored?">#REF!:INDEX(#REF!,COUNTA(#REF!))</definedName>
    <definedName name="Storage">#REF!:INDEX(#REF!,COUNTA(#REF!))</definedName>
    <definedName name="vocab_col" localSheetId="1">INDIRECT("lanupro_vocabulary_combined["&amp;scientific_sheet!A$1&amp;"]")</definedName>
    <definedName name="vocab_fixed" localSheetId="1">_xlfn.XLOOKUP(scientific_sheet!A$1,lanupro_vocabulary_combined[#Headers],INDEX(lanupro_vocabulary_combined[],MATCH("fixed_levels",INDEX(lanupro_vocabulary_combined[],0,1),0),0),"")="yes"</definedName>
    <definedName name="vocab_levels" localSheetId="1">OFFSET(INDEX(scientific_sheet!vocab_col,scientific_sheet!vocab_start),0,0,ROWS(scientific_sheet!vocab_col),1)</definedName>
    <definedName name="vocab_n" localSheetId="1">MATCH("-",scientific_sheet!vocab_levels,0)-1</definedName>
    <definedName name="vocab_start" localSheetId="1">MATCH("level_01",INDEX(lanupro_vocabulary_combined[],0,1),0)</definedName>
  </definedNames>
  <calcPr calcId="191029"/>
  <customWorkbookViews>
    <customWorkbookView name="Bruno - Persoonlijke weergave" guid="{6FA6B25F-C902-4E36-BCF2-96912F72A221}" mergeInterval="0" personalView="1" maximized="1" xWindow="1" yWindow="1" windowWidth="1436" windowHeight="680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53" l="1"/>
  <c r="D7" i="53" l="1"/>
  <c r="D4" i="53"/>
  <c r="D5" i="53"/>
  <c r="D6" i="53"/>
  <c r="D3" i="53"/>
  <c r="M32" i="15" l="1"/>
  <c r="N32" i="15"/>
  <c r="O32" i="15"/>
  <c r="P32" i="15"/>
  <c r="Q32" i="15"/>
  <c r="R32" i="15"/>
  <c r="S32" i="15"/>
  <c r="AU32" i="15"/>
  <c r="M33" i="15"/>
  <c r="N33" i="15"/>
  <c r="O33" i="15"/>
  <c r="P33" i="15"/>
  <c r="Q33" i="15"/>
  <c r="R33" i="15"/>
  <c r="S33" i="15"/>
  <c r="AU33" i="15"/>
  <c r="M34" i="15"/>
  <c r="N34" i="15"/>
  <c r="O34" i="15"/>
  <c r="P34" i="15"/>
  <c r="Q34" i="15"/>
  <c r="R34" i="15"/>
  <c r="S34" i="15"/>
  <c r="AU34" i="15"/>
  <c r="M35" i="15"/>
  <c r="N35" i="15"/>
  <c r="O35" i="15"/>
  <c r="P35" i="15"/>
  <c r="Q35" i="15"/>
  <c r="R35" i="15"/>
  <c r="S35" i="15"/>
  <c r="AU35" i="15"/>
  <c r="M36" i="15"/>
  <c r="N36" i="15"/>
  <c r="O36" i="15"/>
  <c r="P36" i="15"/>
  <c r="Q36" i="15"/>
  <c r="R36" i="15"/>
  <c r="S36" i="15"/>
  <c r="AU36" i="15"/>
  <c r="M37" i="15"/>
  <c r="N37" i="15"/>
  <c r="O37" i="15"/>
  <c r="P37" i="15"/>
  <c r="Q37" i="15"/>
  <c r="R37" i="15"/>
  <c r="S37" i="15"/>
  <c r="AU37" i="15"/>
  <c r="M38" i="15"/>
  <c r="N38" i="15"/>
  <c r="O38" i="15"/>
  <c r="P38" i="15"/>
  <c r="Q38" i="15"/>
  <c r="R38" i="15"/>
  <c r="S38" i="15"/>
  <c r="AU38" i="15"/>
  <c r="M39" i="15"/>
  <c r="N39" i="15"/>
  <c r="O39" i="15"/>
  <c r="P39" i="15"/>
  <c r="Q39" i="15"/>
  <c r="R39" i="15"/>
  <c r="S39" i="15"/>
  <c r="AU39" i="15"/>
  <c r="M40" i="15"/>
  <c r="N40" i="15"/>
  <c r="O40" i="15"/>
  <c r="P40" i="15"/>
  <c r="Q40" i="15"/>
  <c r="R40" i="15"/>
  <c r="S40" i="15"/>
  <c r="AU40" i="15"/>
  <c r="M41" i="15"/>
  <c r="N41" i="15"/>
  <c r="O41" i="15"/>
  <c r="P41" i="15"/>
  <c r="Q41" i="15"/>
  <c r="R41" i="15"/>
  <c r="S41" i="15"/>
  <c r="AU41" i="15"/>
  <c r="M42" i="15"/>
  <c r="N42" i="15"/>
  <c r="O42" i="15"/>
  <c r="P42" i="15"/>
  <c r="Q42" i="15"/>
  <c r="R42" i="15"/>
  <c r="S42" i="15"/>
  <c r="AU42" i="15"/>
  <c r="M43" i="15"/>
  <c r="N43" i="15"/>
  <c r="O43" i="15"/>
  <c r="P43" i="15"/>
  <c r="Q43" i="15"/>
  <c r="R43" i="15"/>
  <c r="S43" i="15"/>
  <c r="AU43" i="15"/>
  <c r="M44" i="15"/>
  <c r="N44" i="15"/>
  <c r="O44" i="15"/>
  <c r="P44" i="15"/>
  <c r="Q44" i="15"/>
  <c r="R44" i="15"/>
  <c r="S44" i="15"/>
  <c r="AU44" i="15"/>
  <c r="M45" i="15"/>
  <c r="N45" i="15"/>
  <c r="O45" i="15"/>
  <c r="P45" i="15"/>
  <c r="Q45" i="15"/>
  <c r="R45" i="15"/>
  <c r="S45" i="15"/>
  <c r="AU45" i="15"/>
  <c r="M46" i="15"/>
  <c r="N46" i="15"/>
  <c r="O46" i="15"/>
  <c r="P46" i="15"/>
  <c r="Q46" i="15"/>
  <c r="R46" i="15"/>
  <c r="S46" i="15"/>
  <c r="AU46" i="15"/>
  <c r="M47" i="15"/>
  <c r="N47" i="15"/>
  <c r="O47" i="15"/>
  <c r="P47" i="15"/>
  <c r="Q47" i="15"/>
  <c r="R47" i="15"/>
  <c r="S47" i="15"/>
  <c r="AU47" i="15"/>
  <c r="M48" i="15"/>
  <c r="N48" i="15"/>
  <c r="O48" i="15"/>
  <c r="P48" i="15"/>
  <c r="Q48" i="15"/>
  <c r="R48" i="15"/>
  <c r="S48" i="15"/>
  <c r="AU48" i="15"/>
  <c r="M49" i="15"/>
  <c r="N49" i="15"/>
  <c r="O49" i="15"/>
  <c r="P49" i="15"/>
  <c r="Q49" i="15"/>
  <c r="R49" i="15"/>
  <c r="S49" i="15"/>
  <c r="AU49" i="15"/>
  <c r="M50" i="15"/>
  <c r="N50" i="15"/>
  <c r="O50" i="15"/>
  <c r="P50" i="15"/>
  <c r="Q50" i="15"/>
  <c r="R50" i="15"/>
  <c r="S50" i="15"/>
  <c r="AU50" i="15"/>
  <c r="M51" i="15"/>
  <c r="N51" i="15"/>
  <c r="O51" i="15"/>
  <c r="P51" i="15"/>
  <c r="Q51" i="15"/>
  <c r="R51" i="15"/>
  <c r="S51" i="15"/>
  <c r="AU51" i="15"/>
  <c r="M52" i="15"/>
  <c r="N52" i="15"/>
  <c r="O52" i="15"/>
  <c r="P52" i="15"/>
  <c r="Q52" i="15"/>
  <c r="R52" i="15"/>
  <c r="S52" i="15"/>
  <c r="AU52" i="15"/>
  <c r="M53" i="15"/>
  <c r="N53" i="15"/>
  <c r="O53" i="15"/>
  <c r="P53" i="15"/>
  <c r="Q53" i="15"/>
  <c r="R53" i="15"/>
  <c r="S53" i="15"/>
  <c r="AU53" i="15"/>
  <c r="M54" i="15"/>
  <c r="N54" i="15"/>
  <c r="O54" i="15"/>
  <c r="P54" i="15"/>
  <c r="Q54" i="15"/>
  <c r="R54" i="15"/>
  <c r="S54" i="15"/>
  <c r="AU54" i="15"/>
  <c r="M55" i="15"/>
  <c r="N55" i="15"/>
  <c r="O55" i="15"/>
  <c r="P55" i="15"/>
  <c r="Q55" i="15"/>
  <c r="R55" i="15"/>
  <c r="S55" i="15"/>
  <c r="AU55" i="15"/>
  <c r="M56" i="15"/>
  <c r="N56" i="15"/>
  <c r="O56" i="15"/>
  <c r="P56" i="15"/>
  <c r="Q56" i="15"/>
  <c r="R56" i="15"/>
  <c r="S56" i="15"/>
  <c r="AU56" i="15"/>
  <c r="M57" i="15"/>
  <c r="N57" i="15"/>
  <c r="O57" i="15"/>
  <c r="P57" i="15"/>
  <c r="Q57" i="15"/>
  <c r="R57" i="15"/>
  <c r="S57" i="15"/>
  <c r="AU57" i="15"/>
  <c r="M58" i="15"/>
  <c r="N58" i="15"/>
  <c r="O58" i="15"/>
  <c r="P58" i="15"/>
  <c r="Q58" i="15"/>
  <c r="R58" i="15"/>
  <c r="S58" i="15"/>
  <c r="AU58" i="15"/>
  <c r="M59" i="15"/>
  <c r="N59" i="15"/>
  <c r="O59" i="15"/>
  <c r="P59" i="15"/>
  <c r="Q59" i="15"/>
  <c r="R59" i="15"/>
  <c r="S59" i="15"/>
  <c r="AU59" i="15"/>
  <c r="M60" i="15"/>
  <c r="N60" i="15"/>
  <c r="O60" i="15"/>
  <c r="P60" i="15"/>
  <c r="Q60" i="15"/>
  <c r="R60" i="15"/>
  <c r="S60" i="15"/>
  <c r="AU60" i="15"/>
  <c r="M61" i="15"/>
  <c r="N61" i="15"/>
  <c r="O61" i="15"/>
  <c r="P61" i="15"/>
  <c r="Q61" i="15"/>
  <c r="R61" i="15"/>
  <c r="S61" i="15"/>
  <c r="AU61" i="15"/>
  <c r="M62" i="15"/>
  <c r="N62" i="15"/>
  <c r="O62" i="15"/>
  <c r="P62" i="15"/>
  <c r="Q62" i="15"/>
  <c r="R62" i="15"/>
  <c r="S62" i="15"/>
  <c r="AU62" i="15"/>
  <c r="M63" i="15"/>
  <c r="N63" i="15"/>
  <c r="O63" i="15"/>
  <c r="P63" i="15"/>
  <c r="Q63" i="15"/>
  <c r="R63" i="15"/>
  <c r="S63" i="15"/>
  <c r="AU63" i="15"/>
  <c r="M64" i="15"/>
  <c r="N64" i="15"/>
  <c r="O64" i="15"/>
  <c r="P64" i="15"/>
  <c r="Q64" i="15"/>
  <c r="R64" i="15"/>
  <c r="S64" i="15"/>
  <c r="AU64" i="15"/>
  <c r="M65" i="15"/>
  <c r="N65" i="15"/>
  <c r="O65" i="15"/>
  <c r="P65" i="15"/>
  <c r="Q65" i="15"/>
  <c r="R65" i="15"/>
  <c r="S65" i="15"/>
  <c r="AU65" i="15"/>
  <c r="M66" i="15"/>
  <c r="N66" i="15"/>
  <c r="O66" i="15"/>
  <c r="P66" i="15"/>
  <c r="Q66" i="15"/>
  <c r="R66" i="15"/>
  <c r="S66" i="15"/>
  <c r="AU66" i="15"/>
  <c r="M67" i="15"/>
  <c r="N67" i="15"/>
  <c r="O67" i="15"/>
  <c r="P67" i="15"/>
  <c r="Q67" i="15"/>
  <c r="R67" i="15"/>
  <c r="S67" i="15"/>
  <c r="AU67" i="15"/>
  <c r="M68" i="15"/>
  <c r="N68" i="15"/>
  <c r="O68" i="15"/>
  <c r="P68" i="15"/>
  <c r="Q68" i="15"/>
  <c r="R68" i="15"/>
  <c r="S68" i="15"/>
  <c r="AU68" i="15"/>
  <c r="M69" i="15"/>
  <c r="N69" i="15"/>
  <c r="O69" i="15"/>
  <c r="P69" i="15"/>
  <c r="Q69" i="15"/>
  <c r="R69" i="15"/>
  <c r="S69" i="15"/>
  <c r="AU69" i="15"/>
  <c r="M70" i="15"/>
  <c r="N70" i="15"/>
  <c r="O70" i="15"/>
  <c r="P70" i="15"/>
  <c r="Q70" i="15"/>
  <c r="R70" i="15"/>
  <c r="S70" i="15"/>
  <c r="AU70" i="15"/>
  <c r="M71" i="15"/>
  <c r="N71" i="15"/>
  <c r="O71" i="15"/>
  <c r="P71" i="15"/>
  <c r="Q71" i="15"/>
  <c r="R71" i="15"/>
  <c r="S71" i="15"/>
  <c r="AU71" i="15"/>
  <c r="M72" i="15"/>
  <c r="N72" i="15"/>
  <c r="O72" i="15"/>
  <c r="P72" i="15"/>
  <c r="Q72" i="15"/>
  <c r="R72" i="15"/>
  <c r="S72" i="15"/>
  <c r="AU72" i="15"/>
  <c r="M73" i="15"/>
  <c r="N73" i="15"/>
  <c r="O73" i="15"/>
  <c r="P73" i="15"/>
  <c r="Q73" i="15"/>
  <c r="R73" i="15"/>
  <c r="S73" i="15"/>
  <c r="AU73" i="15"/>
  <c r="M74" i="15"/>
  <c r="N74" i="15"/>
  <c r="O74" i="15"/>
  <c r="P74" i="15"/>
  <c r="Q74" i="15"/>
  <c r="R74" i="15"/>
  <c r="S74" i="15"/>
  <c r="AU74" i="15"/>
  <c r="M75" i="15"/>
  <c r="N75" i="15"/>
  <c r="O75" i="15"/>
  <c r="P75" i="15"/>
  <c r="Q75" i="15"/>
  <c r="R75" i="15"/>
  <c r="S75" i="15"/>
  <c r="AU75" i="15"/>
  <c r="M76" i="15"/>
  <c r="N76" i="15"/>
  <c r="O76" i="15"/>
  <c r="P76" i="15"/>
  <c r="Q76" i="15"/>
  <c r="R76" i="15"/>
  <c r="S76" i="15"/>
  <c r="AU76" i="15"/>
  <c r="AU5" i="15"/>
  <c r="AU6" i="15"/>
  <c r="AU7" i="15"/>
  <c r="T55" i="15" l="1"/>
  <c r="T42" i="15"/>
  <c r="T50" i="15"/>
  <c r="T49" i="15"/>
  <c r="T34" i="15"/>
  <c r="T54" i="15"/>
  <c r="T51" i="15"/>
  <c r="T44" i="15"/>
  <c r="T63" i="15"/>
  <c r="T60" i="15"/>
  <c r="T38" i="15"/>
  <c r="T52" i="15"/>
  <c r="T41" i="15"/>
  <c r="T71" i="15"/>
  <c r="T68" i="15"/>
  <c r="T33" i="15"/>
  <c r="T32" i="15"/>
  <c r="T70" i="15"/>
  <c r="T37" i="15"/>
  <c r="T72" i="15"/>
  <c r="T61" i="15"/>
  <c r="T74" i="15"/>
  <c r="T43" i="15"/>
  <c r="T58" i="15"/>
  <c r="T48" i="15"/>
  <c r="T57" i="15"/>
  <c r="T47" i="15"/>
  <c r="T67" i="15"/>
  <c r="T64" i="15"/>
  <c r="T62" i="15"/>
  <c r="T36" i="15"/>
  <c r="T35" i="15"/>
  <c r="T66" i="15"/>
  <c r="T59" i="15"/>
  <c r="T56" i="15"/>
  <c r="T53" i="15"/>
  <c r="T45" i="15"/>
  <c r="T40" i="15"/>
  <c r="T39" i="15"/>
  <c r="T46" i="15"/>
  <c r="T73" i="15"/>
  <c r="T76" i="15"/>
  <c r="T65" i="15"/>
  <c r="T75" i="15"/>
  <c r="T69" i="15"/>
  <c r="M10" i="15" l="1"/>
  <c r="N10" i="15"/>
  <c r="O10" i="15"/>
  <c r="P10" i="15"/>
  <c r="Q10" i="15"/>
  <c r="R10" i="15"/>
  <c r="S10" i="15"/>
  <c r="M11" i="15"/>
  <c r="N11" i="15"/>
  <c r="O11" i="15"/>
  <c r="P11" i="15"/>
  <c r="Q11" i="15"/>
  <c r="R11" i="15"/>
  <c r="S11" i="15"/>
  <c r="M12" i="15"/>
  <c r="N12" i="15"/>
  <c r="O12" i="15"/>
  <c r="P12" i="15"/>
  <c r="Q12" i="15"/>
  <c r="R12" i="15"/>
  <c r="S12" i="15"/>
  <c r="M13" i="15"/>
  <c r="N13" i="15"/>
  <c r="O13" i="15"/>
  <c r="P13" i="15"/>
  <c r="Q13" i="15"/>
  <c r="R13" i="15"/>
  <c r="S13" i="15"/>
  <c r="M14" i="15"/>
  <c r="N14" i="15"/>
  <c r="O14" i="15"/>
  <c r="P14" i="15"/>
  <c r="Q14" i="15"/>
  <c r="R14" i="15"/>
  <c r="S14" i="15"/>
  <c r="M15" i="15"/>
  <c r="N15" i="15"/>
  <c r="O15" i="15"/>
  <c r="P15" i="15"/>
  <c r="Q15" i="15"/>
  <c r="R15" i="15"/>
  <c r="S15" i="15"/>
  <c r="M16" i="15"/>
  <c r="N16" i="15"/>
  <c r="O16" i="15"/>
  <c r="P16" i="15"/>
  <c r="Q16" i="15"/>
  <c r="R16" i="15"/>
  <c r="S16" i="15"/>
  <c r="M17" i="15"/>
  <c r="N17" i="15"/>
  <c r="O17" i="15"/>
  <c r="P17" i="15"/>
  <c r="Q17" i="15"/>
  <c r="R17" i="15"/>
  <c r="S17" i="15"/>
  <c r="M18" i="15"/>
  <c r="N18" i="15"/>
  <c r="O18" i="15"/>
  <c r="P18" i="15"/>
  <c r="Q18" i="15"/>
  <c r="R18" i="15"/>
  <c r="S18" i="15"/>
  <c r="M19" i="15"/>
  <c r="N19" i="15"/>
  <c r="O19" i="15"/>
  <c r="P19" i="15"/>
  <c r="Q19" i="15"/>
  <c r="R19" i="15"/>
  <c r="S19" i="15"/>
  <c r="M20" i="15"/>
  <c r="N20" i="15"/>
  <c r="O20" i="15"/>
  <c r="P20" i="15"/>
  <c r="Q20" i="15"/>
  <c r="R20" i="15"/>
  <c r="S20" i="15"/>
  <c r="M21" i="15"/>
  <c r="N21" i="15"/>
  <c r="O21" i="15"/>
  <c r="P21" i="15"/>
  <c r="Q21" i="15"/>
  <c r="R21" i="15"/>
  <c r="S21" i="15"/>
  <c r="M22" i="15"/>
  <c r="N22" i="15"/>
  <c r="O22" i="15"/>
  <c r="P22" i="15"/>
  <c r="Q22" i="15"/>
  <c r="R22" i="15"/>
  <c r="S22" i="15"/>
  <c r="M23" i="15"/>
  <c r="N23" i="15"/>
  <c r="O23" i="15"/>
  <c r="P23" i="15"/>
  <c r="Q23" i="15"/>
  <c r="R23" i="15"/>
  <c r="S23" i="15"/>
  <c r="M24" i="15"/>
  <c r="N24" i="15"/>
  <c r="O24" i="15"/>
  <c r="P24" i="15"/>
  <c r="Q24" i="15"/>
  <c r="R24" i="15"/>
  <c r="S24" i="15"/>
  <c r="M25" i="15"/>
  <c r="N25" i="15"/>
  <c r="O25" i="15"/>
  <c r="P25" i="15"/>
  <c r="Q25" i="15"/>
  <c r="R25" i="15"/>
  <c r="S25" i="15"/>
  <c r="M26" i="15"/>
  <c r="N26" i="15"/>
  <c r="O26" i="15"/>
  <c r="P26" i="15"/>
  <c r="Q26" i="15"/>
  <c r="R26" i="15"/>
  <c r="S26" i="15"/>
  <c r="M27" i="15"/>
  <c r="N27" i="15"/>
  <c r="O27" i="15"/>
  <c r="P27" i="15"/>
  <c r="Q27" i="15"/>
  <c r="R27" i="15"/>
  <c r="S27" i="15"/>
  <c r="M28" i="15"/>
  <c r="N28" i="15"/>
  <c r="O28" i="15"/>
  <c r="P28" i="15"/>
  <c r="Q28" i="15"/>
  <c r="R28" i="15"/>
  <c r="S28" i="15"/>
  <c r="M29" i="15"/>
  <c r="N29" i="15"/>
  <c r="O29" i="15"/>
  <c r="P29" i="15"/>
  <c r="Q29" i="15"/>
  <c r="R29" i="15"/>
  <c r="S29" i="15"/>
  <c r="M30" i="15"/>
  <c r="N30" i="15"/>
  <c r="O30" i="15"/>
  <c r="P30" i="15"/>
  <c r="Q30" i="15"/>
  <c r="R30" i="15"/>
  <c r="S30" i="15"/>
  <c r="M31" i="15"/>
  <c r="N31" i="15"/>
  <c r="O31" i="15"/>
  <c r="P31" i="15"/>
  <c r="Q31" i="15"/>
  <c r="R31" i="15"/>
  <c r="S31" i="15"/>
  <c r="M8" i="15"/>
  <c r="N8" i="15"/>
  <c r="O8" i="15"/>
  <c r="P8" i="15"/>
  <c r="Q8" i="15"/>
  <c r="R8" i="15"/>
  <c r="S8" i="15"/>
  <c r="M5" i="15"/>
  <c r="N5" i="15"/>
  <c r="O5" i="15"/>
  <c r="P5" i="15"/>
  <c r="Q5" i="15"/>
  <c r="R5" i="15"/>
  <c r="S5" i="15"/>
  <c r="M6" i="15"/>
  <c r="N6" i="15"/>
  <c r="O6" i="15"/>
  <c r="P6" i="15"/>
  <c r="Q6" i="15"/>
  <c r="R6" i="15"/>
  <c r="S6" i="15"/>
  <c r="M7" i="15"/>
  <c r="N7" i="15"/>
  <c r="O7" i="15"/>
  <c r="P7" i="15"/>
  <c r="Q7" i="15"/>
  <c r="R7" i="15"/>
  <c r="S7" i="15"/>
  <c r="AU13" i="15"/>
  <c r="AU14" i="15"/>
  <c r="AU15" i="15"/>
  <c r="AU16" i="15"/>
  <c r="AU17" i="15"/>
  <c r="AU18" i="15"/>
  <c r="AU19" i="15"/>
  <c r="AU20" i="15"/>
  <c r="AU21" i="15"/>
  <c r="AU22" i="15"/>
  <c r="AU23" i="15"/>
  <c r="AU24" i="15"/>
  <c r="AU25" i="15"/>
  <c r="AU26" i="15"/>
  <c r="AU27" i="15"/>
  <c r="AU28" i="15"/>
  <c r="AU29" i="15"/>
  <c r="AU30" i="15"/>
  <c r="AU31" i="15"/>
  <c r="T26" i="15" l="1"/>
  <c r="T18" i="15"/>
  <c r="T28" i="15"/>
  <c r="T29" i="15"/>
  <c r="T21" i="15"/>
  <c r="T27" i="15"/>
  <c r="T11" i="15"/>
  <c r="T22" i="15"/>
  <c r="T14" i="15"/>
  <c r="T31" i="15"/>
  <c r="T15" i="15"/>
  <c r="T24" i="15"/>
  <c r="T16" i="15"/>
  <c r="T5" i="15"/>
  <c r="T30" i="15"/>
  <c r="T25" i="15"/>
  <c r="T23" i="15"/>
  <c r="T20" i="15"/>
  <c r="T19" i="15"/>
  <c r="T17" i="15"/>
  <c r="T13" i="15"/>
  <c r="T12" i="15"/>
  <c r="T10" i="15"/>
  <c r="T6" i="15"/>
  <c r="T7" i="15"/>
  <c r="T8" i="15"/>
  <c r="AU12" i="15"/>
  <c r="AU8" i="15"/>
  <c r="AU11" i="15" l="1"/>
  <c r="AU9" i="15"/>
  <c r="AU10" i="15"/>
  <c r="A14" i="15" l="1"/>
  <c r="A30" i="15"/>
  <c r="A23" i="15"/>
  <c r="A15" i="15"/>
  <c r="A27" i="15"/>
  <c r="A19" i="15"/>
  <c r="A31" i="15"/>
  <c r="A22" i="15"/>
  <c r="A18" i="15"/>
  <c r="A26" i="15"/>
  <c r="A6" i="15"/>
  <c r="A9" i="15"/>
  <c r="A17" i="15" l="1"/>
  <c r="A66" i="15"/>
  <c r="A74" i="15"/>
  <c r="A49" i="15"/>
  <c r="A72" i="15"/>
  <c r="A24" i="15"/>
  <c r="A35" i="15"/>
  <c r="A64" i="15"/>
  <c r="A58" i="15"/>
  <c r="A51" i="15"/>
  <c r="A50" i="15"/>
  <c r="A32" i="15"/>
  <c r="A60" i="15"/>
  <c r="A16" i="15"/>
  <c r="A57" i="15"/>
  <c r="A44" i="15"/>
  <c r="A37" i="15"/>
  <c r="A42" i="15"/>
  <c r="A46" i="15"/>
  <c r="A67" i="15"/>
  <c r="A75" i="15"/>
  <c r="A34" i="15"/>
  <c r="A69" i="15"/>
  <c r="A21" i="15"/>
  <c r="A28" i="15"/>
  <c r="A5" i="15"/>
  <c r="A36" i="15"/>
  <c r="A65" i="15"/>
  <c r="A73" i="15"/>
  <c r="A59" i="15"/>
  <c r="A61" i="15"/>
  <c r="A29" i="15"/>
  <c r="A11" i="15"/>
  <c r="A20" i="15"/>
  <c r="A41" i="15"/>
  <c r="A71" i="15"/>
  <c r="A53" i="15"/>
  <c r="A62" i="15"/>
  <c r="A47" i="15"/>
  <c r="A13" i="15"/>
  <c r="A25" i="15"/>
  <c r="A43" i="15"/>
  <c r="A33" i="15"/>
  <c r="A52" i="15"/>
  <c r="A63" i="15"/>
  <c r="A70" i="15"/>
  <c r="A39" i="15"/>
  <c r="A12" i="15"/>
  <c r="A56" i="15"/>
  <c r="A38" i="15"/>
  <c r="A45" i="15"/>
  <c r="A55" i="15"/>
  <c r="A54" i="15"/>
  <c r="A48" i="15"/>
  <c r="A76" i="15"/>
  <c r="A7" i="15"/>
  <c r="A40" i="15"/>
  <c r="A68" i="15"/>
  <c r="M3" i="15" l="1"/>
  <c r="N3" i="15"/>
  <c r="O3" i="15"/>
  <c r="P3" i="15"/>
  <c r="Q3" i="15"/>
  <c r="R3" i="15"/>
  <c r="S3" i="15"/>
  <c r="M4" i="15"/>
  <c r="N4" i="15"/>
  <c r="O4" i="15"/>
  <c r="P4" i="15"/>
  <c r="Q4" i="15"/>
  <c r="R4" i="15"/>
  <c r="S4" i="15"/>
  <c r="M9" i="15"/>
  <c r="N9" i="15"/>
  <c r="O9" i="15"/>
  <c r="P9" i="15"/>
  <c r="Q9" i="15"/>
  <c r="R9" i="15"/>
  <c r="S9" i="15"/>
  <c r="T9" i="15" l="1"/>
  <c r="T4" i="15"/>
  <c r="T3" i="15"/>
  <c r="X1" i="59" l="1"/>
  <c r="M2" i="15" l="1"/>
  <c r="N2" i="15"/>
  <c r="O2" i="15"/>
  <c r="P2" i="15"/>
  <c r="Q2" i="15"/>
  <c r="R2" i="15"/>
  <c r="S2" i="15"/>
  <c r="AB37" i="15" l="1"/>
  <c r="AB49" i="15"/>
  <c r="AB50" i="15"/>
  <c r="AB44" i="15"/>
  <c r="AB46" i="15"/>
  <c r="AB51" i="15"/>
  <c r="AB38" i="15"/>
  <c r="AB40" i="15"/>
  <c r="AB39" i="15"/>
  <c r="AB41" i="15"/>
  <c r="AB45" i="15"/>
  <c r="AB32" i="15"/>
  <c r="AB33" i="15"/>
  <c r="AB52" i="15"/>
  <c r="AB54" i="15"/>
  <c r="AB42" i="15"/>
  <c r="AB53" i="15"/>
  <c r="AB55" i="15"/>
  <c r="AB34" i="15"/>
  <c r="AB64" i="15"/>
  <c r="AB66" i="15"/>
  <c r="AB59" i="15"/>
  <c r="AB60" i="15"/>
  <c r="AB68" i="15"/>
  <c r="AB62" i="15"/>
  <c r="AB74" i="15"/>
  <c r="AB73" i="15"/>
  <c r="AB65" i="15"/>
  <c r="AB72" i="15"/>
  <c r="AB56" i="15"/>
  <c r="AB48" i="15"/>
  <c r="AB63" i="15"/>
  <c r="AB70" i="15"/>
  <c r="AB58" i="15"/>
  <c r="AB36" i="15"/>
  <c r="AB57" i="15"/>
  <c r="AB43" i="15"/>
  <c r="AB61" i="15"/>
  <c r="AB47" i="15"/>
  <c r="AB69" i="15"/>
  <c r="AB76" i="15"/>
  <c r="AB35" i="15"/>
  <c r="AB71" i="15"/>
  <c r="AB75" i="15"/>
  <c r="AB67" i="15"/>
  <c r="AB29" i="15"/>
  <c r="AB21" i="15"/>
  <c r="AB13" i="15"/>
  <c r="AB5" i="15"/>
  <c r="AB22" i="15"/>
  <c r="AB28" i="15"/>
  <c r="AB20" i="15"/>
  <c r="AB12" i="15"/>
  <c r="AB30" i="15"/>
  <c r="AB27" i="15"/>
  <c r="AB19" i="15"/>
  <c r="AB11" i="15"/>
  <c r="AB6" i="15"/>
  <c r="AB26" i="15"/>
  <c r="AB18" i="15"/>
  <c r="AB10" i="15"/>
  <c r="AB25" i="15"/>
  <c r="AB17" i="15"/>
  <c r="AB14" i="15"/>
  <c r="AB8" i="15"/>
  <c r="AB24" i="15"/>
  <c r="AB16" i="15"/>
  <c r="AB7" i="15"/>
  <c r="AB31" i="15"/>
  <c r="AB23" i="15"/>
  <c r="AB15" i="15"/>
  <c r="AB9" i="15"/>
  <c r="Y41" i="15"/>
  <c r="Y32" i="15"/>
  <c r="Y33" i="15"/>
  <c r="Y52" i="15"/>
  <c r="Y54" i="15"/>
  <c r="Y42" i="15"/>
  <c r="Y55" i="15"/>
  <c r="Y67" i="15"/>
  <c r="Y43" i="15"/>
  <c r="Y57" i="15"/>
  <c r="Y58" i="15"/>
  <c r="Y60" i="15"/>
  <c r="Y63" i="15"/>
  <c r="Y68" i="15"/>
  <c r="Y34" i="15"/>
  <c r="Y35" i="15"/>
  <c r="Y36" i="15"/>
  <c r="Y64" i="15"/>
  <c r="Y65" i="15"/>
  <c r="Y37" i="15"/>
  <c r="Y49" i="15"/>
  <c r="Y50" i="15"/>
  <c r="Y38" i="15"/>
  <c r="Y76" i="15"/>
  <c r="Y73" i="15"/>
  <c r="Y72" i="15"/>
  <c r="Y70" i="15"/>
  <c r="Y71" i="15"/>
  <c r="Y44" i="15"/>
  <c r="Y46" i="15"/>
  <c r="Y62" i="15"/>
  <c r="Y66" i="15"/>
  <c r="Y61" i="15"/>
  <c r="Y74" i="15"/>
  <c r="Y51" i="15"/>
  <c r="Y59" i="15"/>
  <c r="Y56" i="15"/>
  <c r="Y53" i="15"/>
  <c r="Y75" i="15"/>
  <c r="Y47" i="15"/>
  <c r="Y45" i="15"/>
  <c r="Y69" i="15"/>
  <c r="Y40" i="15"/>
  <c r="Y39" i="15"/>
  <c r="Y48" i="15"/>
  <c r="Y26" i="15"/>
  <c r="Y18" i="15"/>
  <c r="Y10" i="15"/>
  <c r="Y6" i="15"/>
  <c r="Y25" i="15"/>
  <c r="Y17" i="15"/>
  <c r="Y11" i="15"/>
  <c r="Y8" i="15"/>
  <c r="Y24" i="15"/>
  <c r="Y16" i="15"/>
  <c r="Y27" i="15"/>
  <c r="Y31" i="15"/>
  <c r="Y23" i="15"/>
  <c r="Y15" i="15"/>
  <c r="Y30" i="15"/>
  <c r="Y22" i="15"/>
  <c r="Y14" i="15"/>
  <c r="Y29" i="15"/>
  <c r="Y21" i="15"/>
  <c r="Y13" i="15"/>
  <c r="Y7" i="15"/>
  <c r="Y28" i="15"/>
  <c r="Y20" i="15"/>
  <c r="Y12" i="15"/>
  <c r="Y5" i="15"/>
  <c r="Y19" i="15"/>
  <c r="Y9" i="15"/>
  <c r="AA44" i="15"/>
  <c r="AA51" i="15"/>
  <c r="AA38" i="15"/>
  <c r="AA40" i="15"/>
  <c r="AA39" i="15"/>
  <c r="AA41" i="15"/>
  <c r="AA45" i="15"/>
  <c r="AA32" i="15"/>
  <c r="AA33" i="15"/>
  <c r="AA52" i="15"/>
  <c r="AA42" i="15"/>
  <c r="AA55" i="15"/>
  <c r="AA43" i="15"/>
  <c r="AA57" i="15"/>
  <c r="AA58" i="15"/>
  <c r="AA60" i="15"/>
  <c r="AA62" i="15"/>
  <c r="AA63" i="15"/>
  <c r="AA68" i="15"/>
  <c r="AA37" i="15"/>
  <c r="AA49" i="15"/>
  <c r="AA50" i="15"/>
  <c r="AA36" i="15"/>
  <c r="AA70" i="15"/>
  <c r="AA75" i="15"/>
  <c r="AA35" i="15"/>
  <c r="AA34" i="15"/>
  <c r="AA64" i="15"/>
  <c r="AA72" i="15"/>
  <c r="AA66" i="15"/>
  <c r="AA71" i="15"/>
  <c r="AA61" i="15"/>
  <c r="AA54" i="15"/>
  <c r="AA48" i="15"/>
  <c r="AA53" i="15"/>
  <c r="AA59" i="15"/>
  <c r="AA56" i="15"/>
  <c r="AA76" i="15"/>
  <c r="AA69" i="15"/>
  <c r="AA65" i="15"/>
  <c r="AA46" i="15"/>
  <c r="AA74" i="15"/>
  <c r="AA73" i="15"/>
  <c r="AA67" i="15"/>
  <c r="AA47" i="15"/>
  <c r="AA25" i="15"/>
  <c r="AA17" i="15"/>
  <c r="AA6" i="15"/>
  <c r="AA8" i="15"/>
  <c r="AA24" i="15"/>
  <c r="AA16" i="15"/>
  <c r="AA10" i="15"/>
  <c r="AA31" i="15"/>
  <c r="AA23" i="15"/>
  <c r="AA15" i="15"/>
  <c r="AA26" i="15"/>
  <c r="AA30" i="15"/>
  <c r="AA22" i="15"/>
  <c r="AA14" i="15"/>
  <c r="AA5" i="15"/>
  <c r="AA29" i="15"/>
  <c r="AA21" i="15"/>
  <c r="AA13" i="15"/>
  <c r="AA7" i="15"/>
  <c r="AA28" i="15"/>
  <c r="AA20" i="15"/>
  <c r="AA12" i="15"/>
  <c r="AA27" i="15"/>
  <c r="AA19" i="15"/>
  <c r="AA11" i="15"/>
  <c r="AA18" i="15"/>
  <c r="AA9" i="15"/>
  <c r="Z38" i="15"/>
  <c r="Z39" i="15"/>
  <c r="Z41" i="15"/>
  <c r="Z32" i="15"/>
  <c r="Z33" i="15"/>
  <c r="Z52" i="15"/>
  <c r="Z54" i="15"/>
  <c r="Z42" i="15"/>
  <c r="Z55" i="15"/>
  <c r="Z70" i="15"/>
  <c r="Z43" i="15"/>
  <c r="Z56" i="15"/>
  <c r="Z57" i="15"/>
  <c r="Z58" i="15"/>
  <c r="Z59" i="15"/>
  <c r="Z60" i="15"/>
  <c r="Z63" i="15"/>
  <c r="Z66" i="15"/>
  <c r="Z68" i="15"/>
  <c r="Z34" i="15"/>
  <c r="Z44" i="15"/>
  <c r="Z51" i="15"/>
  <c r="Z61" i="15"/>
  <c r="Z47" i="15"/>
  <c r="Z48" i="15"/>
  <c r="Z72" i="15"/>
  <c r="Z71" i="15"/>
  <c r="Z49" i="15"/>
  <c r="Z37" i="15"/>
  <c r="Z45" i="15"/>
  <c r="Z36" i="15"/>
  <c r="Z75" i="15"/>
  <c r="Z35" i="15"/>
  <c r="Z53" i="15"/>
  <c r="Z74" i="15"/>
  <c r="Z65" i="15"/>
  <c r="Z73" i="15"/>
  <c r="Z76" i="15"/>
  <c r="Z69" i="15"/>
  <c r="Z64" i="15"/>
  <c r="Z62" i="15"/>
  <c r="Z67" i="15"/>
  <c r="Z50" i="15"/>
  <c r="Z46" i="15"/>
  <c r="Z40" i="15"/>
  <c r="Z7" i="15"/>
  <c r="Z28" i="15"/>
  <c r="Z20" i="15"/>
  <c r="Z12" i="15"/>
  <c r="Z29" i="15"/>
  <c r="Z27" i="15"/>
  <c r="Z19" i="15"/>
  <c r="Z11" i="15"/>
  <c r="Z5" i="15"/>
  <c r="Z26" i="15"/>
  <c r="Z18" i="15"/>
  <c r="Z10" i="15"/>
  <c r="Z25" i="15"/>
  <c r="Z17" i="15"/>
  <c r="Z21" i="15"/>
  <c r="Z8" i="15"/>
  <c r="Z24" i="15"/>
  <c r="Z16" i="15"/>
  <c r="Z13" i="15"/>
  <c r="Z31" i="15"/>
  <c r="Z23" i="15"/>
  <c r="Z15" i="15"/>
  <c r="Z6" i="15"/>
  <c r="Z30" i="15"/>
  <c r="Z22" i="15"/>
  <c r="Z14" i="15"/>
  <c r="Z9" i="15"/>
  <c r="X32" i="15"/>
  <c r="X33" i="15"/>
  <c r="X52" i="15"/>
  <c r="X42" i="15"/>
  <c r="X55" i="15"/>
  <c r="X70" i="15"/>
  <c r="X43" i="15"/>
  <c r="X53" i="15"/>
  <c r="X56" i="15"/>
  <c r="X57" i="15"/>
  <c r="X58" i="15"/>
  <c r="X59" i="15"/>
  <c r="X60" i="15"/>
  <c r="X63" i="15"/>
  <c r="X66" i="15"/>
  <c r="X68" i="15"/>
  <c r="X69" i="15"/>
  <c r="X34" i="15"/>
  <c r="X35" i="15"/>
  <c r="X36" i="15"/>
  <c r="X37" i="15"/>
  <c r="X47" i="15"/>
  <c r="X48" i="15"/>
  <c r="X49" i="15"/>
  <c r="X50" i="15"/>
  <c r="X61" i="15"/>
  <c r="X44" i="15"/>
  <c r="X51" i="15"/>
  <c r="X41" i="15"/>
  <c r="X45" i="15"/>
  <c r="X46" i="15"/>
  <c r="X72" i="15"/>
  <c r="X40" i="15"/>
  <c r="X76" i="15"/>
  <c r="X38" i="15"/>
  <c r="X71" i="15"/>
  <c r="X62" i="15"/>
  <c r="X75" i="15"/>
  <c r="X67" i="15"/>
  <c r="X65" i="15"/>
  <c r="X39" i="15"/>
  <c r="X73" i="15"/>
  <c r="X64" i="15"/>
  <c r="X54" i="15"/>
  <c r="X74" i="15"/>
  <c r="X31" i="15"/>
  <c r="X23" i="15"/>
  <c r="X15" i="15"/>
  <c r="X20" i="15"/>
  <c r="X26" i="15"/>
  <c r="X8" i="15"/>
  <c r="X7" i="15"/>
  <c r="X30" i="15"/>
  <c r="X22" i="15"/>
  <c r="X14" i="15"/>
  <c r="X13" i="15"/>
  <c r="X5" i="15"/>
  <c r="X29" i="15"/>
  <c r="X21" i="15"/>
  <c r="X10" i="15"/>
  <c r="X28" i="15"/>
  <c r="X12" i="15"/>
  <c r="X16" i="15"/>
  <c r="X6" i="15"/>
  <c r="X27" i="15"/>
  <c r="X19" i="15"/>
  <c r="X11" i="15"/>
  <c r="X18" i="15"/>
  <c r="X24" i="15"/>
  <c r="X25" i="15"/>
  <c r="X17" i="15"/>
  <c r="X9" i="15"/>
  <c r="W42" i="15"/>
  <c r="W55" i="15"/>
  <c r="W67" i="15"/>
  <c r="W43" i="15"/>
  <c r="W53" i="15"/>
  <c r="W57" i="15"/>
  <c r="W58" i="15"/>
  <c r="W60" i="15"/>
  <c r="W63" i="15"/>
  <c r="W68" i="15"/>
  <c r="W34" i="15"/>
  <c r="W35" i="15"/>
  <c r="W36" i="15"/>
  <c r="W62" i="15"/>
  <c r="W64" i="15"/>
  <c r="W65" i="15"/>
  <c r="W37" i="15"/>
  <c r="W49" i="15"/>
  <c r="W50" i="15"/>
  <c r="W44" i="15"/>
  <c r="W51" i="15"/>
  <c r="W38" i="15"/>
  <c r="W32" i="15"/>
  <c r="W33" i="15"/>
  <c r="W52" i="15"/>
  <c r="W45" i="15"/>
  <c r="W72" i="15"/>
  <c r="W39" i="15"/>
  <c r="W74" i="15"/>
  <c r="W76" i="15"/>
  <c r="W70" i="15"/>
  <c r="W40" i="15"/>
  <c r="W69" i="15"/>
  <c r="W59" i="15"/>
  <c r="W66" i="15"/>
  <c r="W56" i="15"/>
  <c r="W75" i="15"/>
  <c r="W61" i="15"/>
  <c r="W54" i="15"/>
  <c r="W47" i="15"/>
  <c r="W46" i="15"/>
  <c r="W73" i="15"/>
  <c r="W48" i="15"/>
  <c r="W71" i="15"/>
  <c r="W41" i="15"/>
  <c r="W27" i="15"/>
  <c r="W19" i="15"/>
  <c r="W11" i="15"/>
  <c r="W20" i="15"/>
  <c r="W26" i="15"/>
  <c r="W18" i="15"/>
  <c r="W10" i="15"/>
  <c r="W25" i="15"/>
  <c r="W17" i="15"/>
  <c r="W6" i="15"/>
  <c r="W7" i="15"/>
  <c r="W12" i="15"/>
  <c r="W8" i="15"/>
  <c r="W24" i="15"/>
  <c r="W16" i="15"/>
  <c r="W31" i="15"/>
  <c r="W23" i="15"/>
  <c r="W15" i="15"/>
  <c r="W28" i="15"/>
  <c r="W5" i="15"/>
  <c r="W30" i="15"/>
  <c r="W22" i="15"/>
  <c r="W14" i="15"/>
  <c r="W29" i="15"/>
  <c r="W21" i="15"/>
  <c r="W13" i="15"/>
  <c r="W9" i="15"/>
  <c r="V43" i="15"/>
  <c r="V57" i="15"/>
  <c r="V58" i="15"/>
  <c r="V60" i="15"/>
  <c r="V63" i="15"/>
  <c r="V66" i="15"/>
  <c r="V68" i="15"/>
  <c r="V69" i="15"/>
  <c r="V34" i="15"/>
  <c r="V35" i="15"/>
  <c r="V36" i="15"/>
  <c r="V37" i="15"/>
  <c r="V47" i="15"/>
  <c r="V48" i="15"/>
  <c r="V49" i="15"/>
  <c r="V50" i="15"/>
  <c r="V61" i="15"/>
  <c r="V44" i="15"/>
  <c r="V51" i="15"/>
  <c r="V38" i="15"/>
  <c r="V40" i="15"/>
  <c r="V46" i="15"/>
  <c r="V41" i="15"/>
  <c r="V42" i="15"/>
  <c r="V55" i="15"/>
  <c r="V67" i="15"/>
  <c r="V72" i="15"/>
  <c r="V54" i="15"/>
  <c r="V33" i="15"/>
  <c r="V71" i="15"/>
  <c r="V70" i="15"/>
  <c r="V75" i="15"/>
  <c r="V74" i="15"/>
  <c r="V64" i="15"/>
  <c r="V62" i="15"/>
  <c r="V39" i="15"/>
  <c r="V59" i="15"/>
  <c r="V52" i="15"/>
  <c r="V76" i="15"/>
  <c r="V56" i="15"/>
  <c r="V53" i="15"/>
  <c r="V45" i="15"/>
  <c r="V73" i="15"/>
  <c r="V65" i="15"/>
  <c r="V32" i="15"/>
  <c r="V10" i="15"/>
  <c r="V22" i="15"/>
  <c r="V29" i="15"/>
  <c r="V11" i="15"/>
  <c r="V14" i="15"/>
  <c r="V8" i="15"/>
  <c r="V17" i="15"/>
  <c r="V30" i="15"/>
  <c r="V24" i="15"/>
  <c r="V23" i="15"/>
  <c r="V31" i="15"/>
  <c r="V18" i="15"/>
  <c r="V20" i="15"/>
  <c r="V5" i="15"/>
  <c r="V6" i="15"/>
  <c r="V26" i="15"/>
  <c r="V19" i="15"/>
  <c r="V27" i="15"/>
  <c r="V21" i="15"/>
  <c r="V12" i="15"/>
  <c r="V28" i="15"/>
  <c r="V7" i="15"/>
  <c r="V25" i="15"/>
  <c r="V13" i="15"/>
  <c r="V16" i="15"/>
  <c r="V15" i="15"/>
  <c r="V9" i="15"/>
  <c r="B37" i="15"/>
  <c r="B38" i="15"/>
  <c r="B46" i="15"/>
  <c r="B54" i="15"/>
  <c r="B62" i="15"/>
  <c r="B70" i="15"/>
  <c r="B39" i="15"/>
  <c r="B47" i="15"/>
  <c r="B55" i="15"/>
  <c r="B63" i="15"/>
  <c r="B71" i="15"/>
  <c r="B40" i="15"/>
  <c r="B48" i="15"/>
  <c r="B56" i="15"/>
  <c r="B64" i="15"/>
  <c r="B72" i="15"/>
  <c r="B41" i="15"/>
  <c r="B49" i="15"/>
  <c r="B57" i="15"/>
  <c r="B65" i="15"/>
  <c r="B73" i="15"/>
  <c r="B33" i="15"/>
  <c r="B42" i="15"/>
  <c r="B50" i="15"/>
  <c r="B58" i="15"/>
  <c r="B66" i="15"/>
  <c r="B74" i="15"/>
  <c r="B34" i="15"/>
  <c r="B43" i="15"/>
  <c r="B51" i="15"/>
  <c r="B59" i="15"/>
  <c r="B67" i="15"/>
  <c r="B75" i="15"/>
  <c r="B35" i="15"/>
  <c r="B44" i="15"/>
  <c r="B52" i="15"/>
  <c r="B60" i="15"/>
  <c r="B68" i="15"/>
  <c r="B76" i="15"/>
  <c r="B36" i="15"/>
  <c r="B45" i="15"/>
  <c r="B53" i="15"/>
  <c r="B61" i="15"/>
  <c r="B69" i="15"/>
  <c r="A10" i="15"/>
  <c r="Z2" i="57" a="1"/>
  <c r="Z2" i="57" s="1"/>
  <c r="X4" i="57"/>
  <c r="W5" i="57"/>
  <c r="Y5" i="57"/>
  <c r="T2" i="15"/>
  <c r="AR25" i="15" l="1"/>
  <c r="AS25" i="15" s="1"/>
  <c r="AT25" i="15" s="1"/>
  <c r="AR8" i="15"/>
  <c r="AS8" i="15" s="1"/>
  <c r="AT8" i="15" s="1"/>
  <c r="A2" i="15"/>
  <c r="A8" i="15"/>
  <c r="AR24" i="15"/>
  <c r="AS24" i="15" s="1"/>
  <c r="AT24" i="15" s="1"/>
  <c r="AR75" i="15"/>
  <c r="AS75" i="15" s="1"/>
  <c r="AT75" i="15" s="1"/>
  <c r="AR73" i="15"/>
  <c r="AS73" i="15" s="1"/>
  <c r="AT73" i="15" s="1"/>
  <c r="AR76" i="15"/>
  <c r="AS76" i="15" s="1"/>
  <c r="AT76" i="15" s="1"/>
  <c r="AR39" i="15"/>
  <c r="AS39" i="15" s="1"/>
  <c r="AT39" i="15" s="1"/>
  <c r="AR71" i="15"/>
  <c r="AS71" i="15" s="1"/>
  <c r="AT71" i="15" s="1"/>
  <c r="AR36" i="15"/>
  <c r="AS36" i="15" s="1"/>
  <c r="AT36" i="15" s="1"/>
  <c r="AR48" i="15"/>
  <c r="AS48" i="15" s="1"/>
  <c r="AT48" i="15" s="1"/>
  <c r="AR47" i="15"/>
  <c r="AS47" i="15" s="1"/>
  <c r="AT47" i="15" s="1"/>
  <c r="AR59" i="15"/>
  <c r="AS59" i="15" s="1"/>
  <c r="AT59" i="15" s="1"/>
  <c r="AR43" i="15"/>
  <c r="AS43" i="15" s="1"/>
  <c r="AT43" i="15" s="1"/>
  <c r="AR41" i="15"/>
  <c r="AS41" i="15" s="1"/>
  <c r="AT41" i="15" s="1"/>
  <c r="AR72" i="15"/>
  <c r="AS72" i="15" s="1"/>
  <c r="AT72" i="15" s="1"/>
  <c r="AR6" i="15"/>
  <c r="AS6" i="15" s="1"/>
  <c r="AT6" i="15" s="1"/>
  <c r="AR65" i="15"/>
  <c r="AS65" i="15" s="1"/>
  <c r="AT65" i="15" s="1"/>
  <c r="AR62" i="15"/>
  <c r="AS62" i="15" s="1"/>
  <c r="AT62" i="15" s="1"/>
  <c r="AR74" i="15"/>
  <c r="AS74" i="15" s="1"/>
  <c r="AT74" i="15" s="1"/>
  <c r="AR33" i="15"/>
  <c r="AS33" i="15" s="1"/>
  <c r="AT33" i="15" s="1"/>
  <c r="AR67" i="15"/>
  <c r="AS67" i="15" s="1"/>
  <c r="AT67" i="15" s="1"/>
  <c r="AR35" i="15"/>
  <c r="AS35" i="15" s="1"/>
  <c r="AT35" i="15" s="1"/>
  <c r="AR51" i="15"/>
  <c r="AS51" i="15" s="1"/>
  <c r="AT51" i="15" s="1"/>
  <c r="AR57" i="15"/>
  <c r="AS57" i="15" s="1"/>
  <c r="AT57" i="15" s="1"/>
  <c r="AC60" i="15"/>
  <c r="AL60" i="15" s="1"/>
  <c r="AC41" i="15"/>
  <c r="AL41" i="15" s="1"/>
  <c r="AC33" i="15"/>
  <c r="AI33" i="15" s="1"/>
  <c r="AC71" i="15"/>
  <c r="AL71" i="15" s="1"/>
  <c r="AC49" i="15"/>
  <c r="AL49" i="15" s="1"/>
  <c r="AC34" i="15"/>
  <c r="AN34" i="15" s="1"/>
  <c r="AC42" i="15"/>
  <c r="AL42" i="15" s="1"/>
  <c r="AC32" i="15"/>
  <c r="AL32" i="15" s="1"/>
  <c r="AC63" i="15"/>
  <c r="AL63" i="15" s="1"/>
  <c r="AC44" i="15"/>
  <c r="AL44" i="15" s="1"/>
  <c r="AC52" i="15"/>
  <c r="AL52" i="15" s="1"/>
  <c r="AC68" i="15"/>
  <c r="AL68" i="15" s="1"/>
  <c r="AC55" i="15"/>
  <c r="AL55" i="15" s="1"/>
  <c r="AC38" i="15"/>
  <c r="AL38" i="15" s="1"/>
  <c r="AC50" i="15"/>
  <c r="AL50" i="15" s="1"/>
  <c r="AC51" i="15"/>
  <c r="AL51" i="15" s="1"/>
  <c r="AC70" i="15"/>
  <c r="AL70" i="15" s="1"/>
  <c r="AC54" i="15"/>
  <c r="AL54" i="15" s="1"/>
  <c r="AC73" i="15"/>
  <c r="AE73" i="15" s="1"/>
  <c r="AC43" i="15"/>
  <c r="AL43" i="15" s="1"/>
  <c r="AC58" i="15"/>
  <c r="AL58" i="15" s="1"/>
  <c r="AC47" i="15"/>
  <c r="AL47" i="15" s="1"/>
  <c r="AC36" i="15"/>
  <c r="AL36" i="15" s="1"/>
  <c r="AC65" i="15"/>
  <c r="AL65" i="15" s="1"/>
  <c r="AC75" i="15"/>
  <c r="AF75" i="15" s="1"/>
  <c r="AC59" i="15"/>
  <c r="AL59" i="15" s="1"/>
  <c r="AC74" i="15"/>
  <c r="AL74" i="15" s="1"/>
  <c r="AC37" i="15"/>
  <c r="AL37" i="15" s="1"/>
  <c r="AC39" i="15"/>
  <c r="AL39" i="15" s="1"/>
  <c r="AC61" i="15"/>
  <c r="AL61" i="15" s="1"/>
  <c r="AC53" i="15"/>
  <c r="AL53" i="15" s="1"/>
  <c r="AC66" i="15"/>
  <c r="AL66" i="15" s="1"/>
  <c r="AC35" i="15"/>
  <c r="AL35" i="15" s="1"/>
  <c r="AC64" i="15"/>
  <c r="AL64" i="15" s="1"/>
  <c r="AC48" i="15"/>
  <c r="AL48" i="15" s="1"/>
  <c r="AC45" i="15"/>
  <c r="AL45" i="15" s="1"/>
  <c r="AC57" i="15"/>
  <c r="AL57" i="15" s="1"/>
  <c r="AC69" i="15"/>
  <c r="AJ69" i="15" s="1"/>
  <c r="AC56" i="15"/>
  <c r="AL56" i="15" s="1"/>
  <c r="AC76" i="15"/>
  <c r="AK76" i="15" s="1"/>
  <c r="AC67" i="15"/>
  <c r="AL67" i="15" s="1"/>
  <c r="AC46" i="15"/>
  <c r="AL46" i="15" s="1"/>
  <c r="AC40" i="15"/>
  <c r="AL40" i="15" s="1"/>
  <c r="AC62" i="15"/>
  <c r="AL62" i="15" s="1"/>
  <c r="AC72" i="15"/>
  <c r="AL72" i="15" s="1"/>
  <c r="AC26" i="15"/>
  <c r="AL26" i="15" s="1"/>
  <c r="AC14" i="15"/>
  <c r="AC18" i="15"/>
  <c r="AL18" i="15" s="1"/>
  <c r="AC31" i="15"/>
  <c r="AC27" i="15"/>
  <c r="AL27" i="15" s="1"/>
  <c r="AC15" i="15"/>
  <c r="AC11" i="15"/>
  <c r="AC24" i="15"/>
  <c r="AL24" i="15" s="1"/>
  <c r="AC28" i="15"/>
  <c r="AG28" i="15" s="1"/>
  <c r="AC16" i="15"/>
  <c r="AL16" i="15" s="1"/>
  <c r="AC29" i="15"/>
  <c r="AL29" i="15" s="1"/>
  <c r="AC21" i="15"/>
  <c r="AC22" i="15"/>
  <c r="AL22" i="15" s="1"/>
  <c r="AC7" i="15"/>
  <c r="AL7" i="15" s="1"/>
  <c r="AC13" i="15"/>
  <c r="AL13" i="15" s="1"/>
  <c r="AC25" i="15"/>
  <c r="AL25" i="15" s="1"/>
  <c r="AC5" i="15"/>
  <c r="AL5" i="15" s="1"/>
  <c r="AC8" i="15"/>
  <c r="AC17" i="15"/>
  <c r="AL17" i="15" s="1"/>
  <c r="AC10" i="15"/>
  <c r="AC19" i="15"/>
  <c r="AL19" i="15" s="1"/>
  <c r="AC20" i="15"/>
  <c r="AL20" i="15" s="1"/>
  <c r="AC30" i="15"/>
  <c r="AL30" i="15" s="1"/>
  <c r="AC23" i="15"/>
  <c r="AL23" i="15" s="1"/>
  <c r="AC12" i="15"/>
  <c r="AL12" i="15" s="1"/>
  <c r="AC6" i="15"/>
  <c r="AL6" i="15" s="1"/>
  <c r="AC9" i="15"/>
  <c r="AL9" i="15" s="1"/>
  <c r="AO55" i="15"/>
  <c r="AR7" i="15"/>
  <c r="AS7" i="15" s="1"/>
  <c r="AT7" i="15" s="1"/>
  <c r="AR5" i="15"/>
  <c r="AS5" i="15" s="1"/>
  <c r="AT5" i="15" s="1"/>
  <c r="AR61" i="15"/>
  <c r="AS61" i="15" s="1"/>
  <c r="AT61" i="15" s="1"/>
  <c r="AR38" i="15"/>
  <c r="AS38" i="15" s="1"/>
  <c r="AT38" i="15" s="1"/>
  <c r="AR34" i="15"/>
  <c r="AS34" i="15" s="1"/>
  <c r="AT34" i="15" s="1"/>
  <c r="AR55" i="15"/>
  <c r="AS55" i="15" s="1"/>
  <c r="AT55" i="15" s="1"/>
  <c r="AK74" i="15"/>
  <c r="AR64" i="15"/>
  <c r="AS64" i="15" s="1"/>
  <c r="AT64" i="15" s="1"/>
  <c r="AR69" i="15"/>
  <c r="AS69" i="15" s="1"/>
  <c r="AT69" i="15" s="1"/>
  <c r="AR50" i="15"/>
  <c r="AS50" i="15" s="1"/>
  <c r="AT50" i="15" s="1"/>
  <c r="AR68" i="15"/>
  <c r="AS68" i="15" s="1"/>
  <c r="AT68" i="15" s="1"/>
  <c r="AR42" i="15"/>
  <c r="AS42" i="15" s="1"/>
  <c r="AT42" i="15" s="1"/>
  <c r="AR45" i="15"/>
  <c r="AS45" i="15" s="1"/>
  <c r="AT45" i="15" s="1"/>
  <c r="AR56" i="15"/>
  <c r="AS56" i="15" s="1"/>
  <c r="AT56" i="15" s="1"/>
  <c r="AR49" i="15"/>
  <c r="AS49" i="15" s="1"/>
  <c r="AT49" i="15" s="1"/>
  <c r="AR63" i="15"/>
  <c r="AS63" i="15" s="1"/>
  <c r="AT63" i="15" s="1"/>
  <c r="AR54" i="15"/>
  <c r="AS54" i="15" s="1"/>
  <c r="AT54" i="15" s="1"/>
  <c r="AR70" i="15"/>
  <c r="AS70" i="15" s="1"/>
  <c r="AT70" i="15" s="1"/>
  <c r="AR53" i="15"/>
  <c r="AS53" i="15" s="1"/>
  <c r="AT53" i="15" s="1"/>
  <c r="AR46" i="15"/>
  <c r="AS46" i="15" s="1"/>
  <c r="AT46" i="15" s="1"/>
  <c r="AR66" i="15"/>
  <c r="AS66" i="15" s="1"/>
  <c r="AT66" i="15" s="1"/>
  <c r="AJ6" i="15"/>
  <c r="AR44" i="15"/>
  <c r="AS44" i="15" s="1"/>
  <c r="AT44" i="15" s="1"/>
  <c r="AR37" i="15"/>
  <c r="AS37" i="15" s="1"/>
  <c r="AT37" i="15" s="1"/>
  <c r="AR60" i="15"/>
  <c r="AS60" i="15" s="1"/>
  <c r="AT60" i="15" s="1"/>
  <c r="AR52" i="15"/>
  <c r="AS52" i="15" s="1"/>
  <c r="AT52" i="15" s="1"/>
  <c r="AK70" i="15"/>
  <c r="AR32" i="15"/>
  <c r="AS32" i="15" s="1"/>
  <c r="AT32" i="15" s="1"/>
  <c r="AR40" i="15"/>
  <c r="AS40" i="15" s="1"/>
  <c r="AT40" i="15" s="1"/>
  <c r="AI71" i="15"/>
  <c r="AR58" i="15"/>
  <c r="AS58" i="15" s="1"/>
  <c r="AT58" i="15" s="1"/>
  <c r="AK75" i="15"/>
  <c r="AO68" i="15"/>
  <c r="AN74" i="15"/>
  <c r="AO50" i="15"/>
  <c r="AO71" i="15"/>
  <c r="AN76" i="15"/>
  <c r="B6" i="15"/>
  <c r="B5" i="15"/>
  <c r="B7" i="15"/>
  <c r="AL31" i="15"/>
  <c r="B15" i="15"/>
  <c r="AO15" i="15" s="1"/>
  <c r="B18" i="15"/>
  <c r="B13" i="15"/>
  <c r="B22" i="15"/>
  <c r="B20" i="15"/>
  <c r="B16" i="15"/>
  <c r="B21" i="15"/>
  <c r="B14" i="15"/>
  <c r="AO14" i="15" s="1"/>
  <c r="B17" i="15"/>
  <c r="B19" i="15"/>
  <c r="AR27" i="15"/>
  <c r="AS27" i="15" s="1"/>
  <c r="AT27" i="15" s="1"/>
  <c r="AR28" i="15"/>
  <c r="AS28" i="15" s="1"/>
  <c r="AT28" i="15" s="1"/>
  <c r="AR26" i="15"/>
  <c r="AS26" i="15" s="1"/>
  <c r="AT26" i="15" s="1"/>
  <c r="AR30" i="15"/>
  <c r="AS30" i="15" s="1"/>
  <c r="AT30" i="15" s="1"/>
  <c r="AR29" i="15"/>
  <c r="AS29" i="15" s="1"/>
  <c r="AT29" i="15" s="1"/>
  <c r="AR31" i="15"/>
  <c r="AS31" i="15" s="1"/>
  <c r="AT31" i="15" s="1"/>
  <c r="AR23" i="15"/>
  <c r="AS23" i="15" s="1"/>
  <c r="AT23" i="15" s="1"/>
  <c r="AR15" i="15"/>
  <c r="AS15" i="15" s="1"/>
  <c r="AT15" i="15" s="1"/>
  <c r="AL15" i="15"/>
  <c r="AL10" i="15"/>
  <c r="AL14" i="15"/>
  <c r="AR16" i="15"/>
  <c r="AS16" i="15" s="1"/>
  <c r="AT16" i="15" s="1"/>
  <c r="AR19" i="15"/>
  <c r="AS19" i="15" s="1"/>
  <c r="AT19" i="15" s="1"/>
  <c r="AR22" i="15"/>
  <c r="AS22" i="15" s="1"/>
  <c r="AT22" i="15" s="1"/>
  <c r="AR12" i="15"/>
  <c r="AS12" i="15" s="1"/>
  <c r="AT12" i="15" s="1"/>
  <c r="AR11" i="15"/>
  <c r="AS11" i="15" s="1"/>
  <c r="AT11" i="15" s="1"/>
  <c r="AR20" i="15"/>
  <c r="AS20" i="15" s="1"/>
  <c r="AT20" i="15" s="1"/>
  <c r="AR10" i="15"/>
  <c r="AS10" i="15" s="1"/>
  <c r="AT10" i="15" s="1"/>
  <c r="AR21" i="15"/>
  <c r="AS21" i="15" s="1"/>
  <c r="AT21" i="15" s="1"/>
  <c r="AR17" i="15"/>
  <c r="AS17" i="15" s="1"/>
  <c r="AT17" i="15" s="1"/>
  <c r="B9" i="15"/>
  <c r="B25" i="15"/>
  <c r="B24" i="15"/>
  <c r="B29" i="15"/>
  <c r="B12" i="15"/>
  <c r="B28" i="15"/>
  <c r="B27" i="15"/>
  <c r="B23" i="15"/>
  <c r="B30" i="15"/>
  <c r="B11" i="15"/>
  <c r="B31" i="15"/>
  <c r="AO31" i="15" s="1"/>
  <c r="B26" i="15"/>
  <c r="AR13" i="15"/>
  <c r="AS13" i="15" s="1"/>
  <c r="AT13" i="15" s="1"/>
  <c r="AR18" i="15"/>
  <c r="AS18" i="15" s="1"/>
  <c r="AT18" i="15" s="1"/>
  <c r="AR14" i="15"/>
  <c r="AS14" i="15" s="1"/>
  <c r="AT14" i="15" s="1"/>
  <c r="AR9" i="15"/>
  <c r="AS9" i="15" s="1"/>
  <c r="AT9" i="15" s="1"/>
  <c r="AF8" i="15"/>
  <c r="AI65" i="15" l="1"/>
  <c r="AE68" i="15"/>
  <c r="AO67" i="15"/>
  <c r="AN49" i="15"/>
  <c r="AN69" i="15"/>
  <c r="AF50" i="15"/>
  <c r="AO65" i="15"/>
  <c r="AO74" i="15"/>
  <c r="AJ65" i="15"/>
  <c r="AH75" i="15"/>
  <c r="AO21" i="15"/>
  <c r="AO60" i="15"/>
  <c r="AN75" i="15"/>
  <c r="AH65" i="15"/>
  <c r="AI49" i="15"/>
  <c r="AN65" i="15"/>
  <c r="AN68" i="15"/>
  <c r="AG65" i="15"/>
  <c r="AI68" i="15"/>
  <c r="AH68" i="15"/>
  <c r="AK68" i="15"/>
  <c r="AK65" i="15"/>
  <c r="AN60" i="15"/>
  <c r="AO76" i="15"/>
  <c r="AO63" i="15"/>
  <c r="AH71" i="15"/>
  <c r="AH5" i="15"/>
  <c r="AI38" i="15"/>
  <c r="AO70" i="15"/>
  <c r="AH49" i="15"/>
  <c r="AF67" i="15"/>
  <c r="AI75" i="15"/>
  <c r="AG55" i="15"/>
  <c r="AJ60" i="15"/>
  <c r="AF57" i="15"/>
  <c r="AN55" i="15"/>
  <c r="AI60" i="15"/>
  <c r="AN57" i="15"/>
  <c r="AK55" i="15"/>
  <c r="AG57" i="15"/>
  <c r="AF6" i="15"/>
  <c r="AG51" i="15"/>
  <c r="AO75" i="15"/>
  <c r="AO57" i="15"/>
  <c r="AI76" i="15"/>
  <c r="AH60" i="15"/>
  <c r="AK71" i="15"/>
  <c r="AN71" i="15"/>
  <c r="AK60" i="15"/>
  <c r="AF76" i="15"/>
  <c r="AJ55" i="15"/>
  <c r="AF55" i="15"/>
  <c r="AJ57" i="15"/>
  <c r="AH55" i="15"/>
  <c r="AE63" i="15"/>
  <c r="AH63" i="15"/>
  <c r="AK63" i="15"/>
  <c r="AE43" i="15"/>
  <c r="AN35" i="15"/>
  <c r="AJ28" i="15"/>
  <c r="AN50" i="15"/>
  <c r="AG35" i="15"/>
  <c r="AK43" i="15"/>
  <c r="AF35" i="15"/>
  <c r="AF70" i="15"/>
  <c r="AJ70" i="15"/>
  <c r="AO12" i="15"/>
  <c r="AO47" i="15"/>
  <c r="AG64" i="15"/>
  <c r="AN64" i="15"/>
  <c r="AI35" i="15"/>
  <c r="AE5" i="15"/>
  <c r="AO26" i="15"/>
  <c r="AK67" i="15"/>
  <c r="AF43" i="15"/>
  <c r="AJ35" i="15"/>
  <c r="AI6" i="15"/>
  <c r="AN39" i="15"/>
  <c r="AE47" i="15"/>
  <c r="AI55" i="15"/>
  <c r="AK44" i="15"/>
  <c r="AJ67" i="15"/>
  <c r="AI63" i="15"/>
  <c r="AK64" i="15"/>
  <c r="AE64" i="15"/>
  <c r="AI43" i="15"/>
  <c r="AK42" i="15"/>
  <c r="AO16" i="15"/>
  <c r="AE70" i="15"/>
  <c r="AF49" i="15"/>
  <c r="AF64" i="15"/>
  <c r="AG46" i="15"/>
  <c r="AO49" i="15"/>
  <c r="AG16" i="15"/>
  <c r="AN42" i="15"/>
  <c r="AJ43" i="15"/>
  <c r="AF44" i="15"/>
  <c r="AE49" i="15"/>
  <c r="AN47" i="15"/>
  <c r="AJ49" i="15"/>
  <c r="AN70" i="15"/>
  <c r="AF47" i="15"/>
  <c r="AO64" i="15"/>
  <c r="AJ34" i="15"/>
  <c r="AI70" i="15"/>
  <c r="AH64" i="15"/>
  <c r="AO28" i="15"/>
  <c r="AO20" i="15"/>
  <c r="AN43" i="15"/>
  <c r="AG67" i="15"/>
  <c r="AK49" i="15"/>
  <c r="AO43" i="15"/>
  <c r="AI47" i="15"/>
  <c r="AI64" i="15"/>
  <c r="A3" i="15"/>
  <c r="A4" i="15"/>
  <c r="B4" i="15"/>
  <c r="B3" i="15"/>
  <c r="AJ73" i="15"/>
  <c r="AK27" i="15"/>
  <c r="AJ61" i="15"/>
  <c r="AK66" i="15"/>
  <c r="AK53" i="15"/>
  <c r="AH56" i="15"/>
  <c r="AG50" i="15"/>
  <c r="AN33" i="15"/>
  <c r="AF45" i="15"/>
  <c r="AF72" i="15"/>
  <c r="AH73" i="15"/>
  <c r="AH72" i="15"/>
  <c r="AN72" i="15"/>
  <c r="AO73" i="15"/>
  <c r="AG52" i="15"/>
  <c r="AE50" i="15"/>
  <c r="AJ33" i="15"/>
  <c r="AO72" i="15"/>
  <c r="AN73" i="15"/>
  <c r="AH52" i="15"/>
  <c r="AE45" i="15"/>
  <c r="AE42" i="15"/>
  <c r="AN52" i="15"/>
  <c r="AG72" i="15"/>
  <c r="AO25" i="15"/>
  <c r="AJ45" i="15"/>
  <c r="AG73" i="15"/>
  <c r="AG63" i="15"/>
  <c r="AO24" i="15"/>
  <c r="AO23" i="15"/>
  <c r="AG33" i="15"/>
  <c r="AO33" i="15"/>
  <c r="AH50" i="15"/>
  <c r="AK33" i="15"/>
  <c r="AN45" i="15"/>
  <c r="AK72" i="15"/>
  <c r="AO52" i="15"/>
  <c r="AK45" i="15"/>
  <c r="AJ72" i="15"/>
  <c r="AF39" i="15"/>
  <c r="AI45" i="15"/>
  <c r="AO13" i="15"/>
  <c r="AO62" i="15"/>
  <c r="AK41" i="15"/>
  <c r="AG36" i="15"/>
  <c r="AE54" i="15"/>
  <c r="AO30" i="15"/>
  <c r="AO17" i="15"/>
  <c r="AO53" i="15"/>
  <c r="AO44" i="15"/>
  <c r="AJ41" i="15"/>
  <c r="AJ36" i="15"/>
  <c r="AG44" i="15"/>
  <c r="AN62" i="15"/>
  <c r="AI41" i="15"/>
  <c r="AE65" i="15"/>
  <c r="AI54" i="15"/>
  <c r="AO54" i="15"/>
  <c r="AO36" i="15"/>
  <c r="AK62" i="15"/>
  <c r="AH40" i="15"/>
  <c r="AG53" i="15"/>
  <c r="AN37" i="15"/>
  <c r="AO41" i="15"/>
  <c r="AG54" i="15"/>
  <c r="AF41" i="15"/>
  <c r="AH44" i="15"/>
  <c r="AJ53" i="15"/>
  <c r="AE53" i="15"/>
  <c r="AF53" i="15"/>
  <c r="AE41" i="15"/>
  <c r="AF62" i="15"/>
  <c r="AJ44" i="15"/>
  <c r="AO11" i="15"/>
  <c r="AN44" i="15"/>
  <c r="AH54" i="15"/>
  <c r="AF36" i="15"/>
  <c r="AH53" i="15"/>
  <c r="AN53" i="15"/>
  <c r="AK7" i="15"/>
  <c r="AG7" i="15"/>
  <c r="AI5" i="15"/>
  <c r="AE7" i="15"/>
  <c r="AJ7" i="15"/>
  <c r="AF5" i="15"/>
  <c r="AF7" i="15"/>
  <c r="AO58" i="15"/>
  <c r="AJ48" i="15"/>
  <c r="AE32" i="15"/>
  <c r="AE48" i="15"/>
  <c r="AK56" i="15"/>
  <c r="AG40" i="15"/>
  <c r="AF40" i="15"/>
  <c r="AI40" i="15"/>
  <c r="AF58" i="15"/>
  <c r="AG39" i="15"/>
  <c r="AE39" i="15"/>
  <c r="AN48" i="15"/>
  <c r="AH66" i="15"/>
  <c r="AG32" i="15"/>
  <c r="AO69" i="15"/>
  <c r="AF66" i="15"/>
  <c r="AF56" i="15"/>
  <c r="AO46" i="15"/>
  <c r="AJ74" i="15"/>
  <c r="AG56" i="15"/>
  <c r="AF48" i="15"/>
  <c r="AN40" i="15"/>
  <c r="AI69" i="15"/>
  <c r="AE46" i="15"/>
  <c r="AK61" i="15"/>
  <c r="AH32" i="15"/>
  <c r="AE60" i="15"/>
  <c r="AK48" i="15"/>
  <c r="AJ62" i="15"/>
  <c r="AG60" i="15"/>
  <c r="AF32" i="15"/>
  <c r="AE61" i="15"/>
  <c r="AK51" i="15"/>
  <c r="AO27" i="15"/>
  <c r="AO22" i="15"/>
  <c r="AK39" i="15"/>
  <c r="AG69" i="15"/>
  <c r="AJ50" i="15"/>
  <c r="AI50" i="15"/>
  <c r="AK69" i="15"/>
  <c r="AJ58" i="15"/>
  <c r="AG74" i="15"/>
  <c r="AF46" i="15"/>
  <c r="AO39" i="15"/>
  <c r="AH42" i="15"/>
  <c r="AI39" i="15"/>
  <c r="AI46" i="15"/>
  <c r="AK58" i="15"/>
  <c r="AG41" i="15"/>
  <c r="AF69" i="15"/>
  <c r="AK52" i="15"/>
  <c r="AJ54" i="15"/>
  <c r="AE51" i="15"/>
  <c r="AJ40" i="15"/>
  <c r="AO19" i="15"/>
  <c r="AN56" i="15"/>
  <c r="AH58" i="15"/>
  <c r="AJ39" i="15"/>
  <c r="AI42" i="15"/>
  <c r="AK50" i="15"/>
  <c r="AO56" i="15"/>
  <c r="AK32" i="15"/>
  <c r="AI58" i="15"/>
  <c r="AK35" i="15"/>
  <c r="AI48" i="15"/>
  <c r="AO66" i="15"/>
  <c r="AO40" i="15"/>
  <c r="AH46" i="15"/>
  <c r="AG58" i="15"/>
  <c r="AJ32" i="15"/>
  <c r="AI66" i="15"/>
  <c r="AG42" i="15"/>
  <c r="AE69" i="15"/>
  <c r="AK46" i="15"/>
  <c r="AH74" i="15"/>
  <c r="AJ66" i="15"/>
  <c r="AF61" i="15"/>
  <c r="AH35" i="15"/>
  <c r="AE33" i="15"/>
  <c r="AN41" i="15"/>
  <c r="AI67" i="15"/>
  <c r="AN51" i="15"/>
  <c r="AN61" i="15"/>
  <c r="AE40" i="15"/>
  <c r="AE56" i="15"/>
  <c r="AO61" i="15"/>
  <c r="AG61" i="15"/>
  <c r="AE66" i="15"/>
  <c r="AO48" i="15"/>
  <c r="AJ46" i="15"/>
  <c r="AH61" i="15"/>
  <c r="AI61" i="15"/>
  <c r="AF51" i="15"/>
  <c r="AO51" i="15"/>
  <c r="AO42" i="15"/>
  <c r="AJ56" i="15"/>
  <c r="AH51" i="15"/>
  <c r="AG70" i="15"/>
  <c r="AN58" i="15"/>
  <c r="AO29" i="15"/>
  <c r="AJ37" i="15"/>
  <c r="AG37" i="15"/>
  <c r="AE75" i="15"/>
  <c r="AL75" i="15"/>
  <c r="AH67" i="15"/>
  <c r="AK54" i="15"/>
  <c r="AK5" i="15"/>
  <c r="AJ42" i="15"/>
  <c r="AN66" i="15"/>
  <c r="AG68" i="15"/>
  <c r="AH34" i="15"/>
  <c r="AL34" i="15"/>
  <c r="AK38" i="15"/>
  <c r="AK34" i="15"/>
  <c r="AJ76" i="15"/>
  <c r="AL76" i="15"/>
  <c r="AH39" i="15"/>
  <c r="AG6" i="15"/>
  <c r="AN36" i="15"/>
  <c r="AI52" i="15"/>
  <c r="AK59" i="15"/>
  <c r="AH41" i="15"/>
  <c r="AH59" i="15"/>
  <c r="AJ68" i="15"/>
  <c r="AI57" i="15"/>
  <c r="AG43" i="15"/>
  <c r="AG5" i="15"/>
  <c r="AO35" i="15"/>
  <c r="AO18" i="15"/>
  <c r="AO34" i="15"/>
  <c r="AG59" i="15"/>
  <c r="AO37" i="15"/>
  <c r="AH38" i="15"/>
  <c r="AH6" i="15"/>
  <c r="AE34" i="15"/>
  <c r="AF73" i="15"/>
  <c r="AL73" i="15"/>
  <c r="AH33" i="15"/>
  <c r="AL33" i="15"/>
  <c r="AH76" i="15"/>
  <c r="AH7" i="15"/>
  <c r="AI36" i="15"/>
  <c r="AG47" i="15"/>
  <c r="AF60" i="15"/>
  <c r="AE57" i="15"/>
  <c r="AE74" i="15"/>
  <c r="AI74" i="15"/>
  <c r="AK73" i="15"/>
  <c r="AI44" i="15"/>
  <c r="AG66" i="15"/>
  <c r="AF42" i="15"/>
  <c r="AO45" i="15"/>
  <c r="AF68" i="15"/>
  <c r="AI34" i="15"/>
  <c r="AO9" i="15"/>
  <c r="AI59" i="15"/>
  <c r="AF59" i="15"/>
  <c r="AJ59" i="15"/>
  <c r="AG38" i="15"/>
  <c r="AE59" i="15"/>
  <c r="AO38" i="15"/>
  <c r="AG75" i="15"/>
  <c r="AJ51" i="15"/>
  <c r="AJ47" i="15"/>
  <c r="AI53" i="15"/>
  <c r="AG45" i="15"/>
  <c r="AF65" i="15"/>
  <c r="AE35" i="15"/>
  <c r="AG49" i="15"/>
  <c r="AH43" i="15"/>
  <c r="AH47" i="15"/>
  <c r="AI72" i="15"/>
  <c r="AG48" i="15"/>
  <c r="AF63" i="15"/>
  <c r="AF71" i="15"/>
  <c r="AE71" i="15"/>
  <c r="AF54" i="15"/>
  <c r="AJ38" i="15"/>
  <c r="AN59" i="15"/>
  <c r="AF38" i="15"/>
  <c r="AJ52" i="15"/>
  <c r="AJ5" i="15"/>
  <c r="AI73" i="15"/>
  <c r="AG76" i="15"/>
  <c r="AF33" i="15"/>
  <c r="AE6" i="15"/>
  <c r="AK6" i="15"/>
  <c r="AJ71" i="15"/>
  <c r="AF37" i="15"/>
  <c r="AE58" i="15"/>
  <c r="AE37" i="15"/>
  <c r="AG34" i="15"/>
  <c r="AE55" i="15"/>
  <c r="AK40" i="15"/>
  <c r="AK36" i="15"/>
  <c r="AH62" i="15"/>
  <c r="AJ63" i="15"/>
  <c r="AI32" i="15"/>
  <c r="AI62" i="15"/>
  <c r="AG71" i="15"/>
  <c r="AF74" i="15"/>
  <c r="AE44" i="15"/>
  <c r="AE62" i="15"/>
  <c r="AN46" i="15"/>
  <c r="AH70" i="15"/>
  <c r="AK57" i="15"/>
  <c r="AH36" i="15"/>
  <c r="AH48" i="15"/>
  <c r="AG62" i="15"/>
  <c r="AF52" i="15"/>
  <c r="AE36" i="15"/>
  <c r="AJ64" i="15"/>
  <c r="AE76" i="15"/>
  <c r="AN38" i="15"/>
  <c r="AK37" i="15"/>
  <c r="AI37" i="15"/>
  <c r="AF34" i="15"/>
  <c r="AH37" i="15"/>
  <c r="AO59" i="15"/>
  <c r="AN67" i="15"/>
  <c r="AH69" i="15"/>
  <c r="AL69" i="15"/>
  <c r="AH57" i="15"/>
  <c r="AE38" i="15"/>
  <c r="AJ75" i="15"/>
  <c r="AI56" i="15"/>
  <c r="AI7" i="15"/>
  <c r="AE67" i="15"/>
  <c r="AE52" i="15"/>
  <c r="AN63" i="15"/>
  <c r="AH45" i="15"/>
  <c r="AE72" i="15"/>
  <c r="AK47" i="15"/>
  <c r="AN54" i="15"/>
  <c r="AI51" i="15"/>
  <c r="AN6" i="15"/>
  <c r="AO6" i="15"/>
  <c r="AN7" i="15"/>
  <c r="AO7" i="15"/>
  <c r="B8" i="15"/>
  <c r="AO8" i="15" s="1"/>
  <c r="AN5" i="15"/>
  <c r="AO5" i="15"/>
  <c r="AN14" i="15"/>
  <c r="AN22" i="15"/>
  <c r="AN26" i="15"/>
  <c r="AN12" i="15"/>
  <c r="AN11" i="15"/>
  <c r="AN29" i="15"/>
  <c r="B32" i="15"/>
  <c r="AN30" i="15"/>
  <c r="AN25" i="15"/>
  <c r="AN23" i="15"/>
  <c r="AN9" i="15"/>
  <c r="AN27" i="15"/>
  <c r="AN19" i="15"/>
  <c r="AN28" i="15"/>
  <c r="AN17" i="15"/>
  <c r="AN21" i="15"/>
  <c r="AN18" i="15"/>
  <c r="AN31" i="15"/>
  <c r="AN16" i="15"/>
  <c r="AN13" i="15"/>
  <c r="AN24" i="15"/>
  <c r="AN20" i="15"/>
  <c r="AN15" i="15"/>
  <c r="AL28" i="15"/>
  <c r="AH24" i="15"/>
  <c r="AI10" i="15"/>
  <c r="AF10" i="15"/>
  <c r="AJ17" i="15"/>
  <c r="AI19" i="15"/>
  <c r="AE27" i="15"/>
  <c r="AK10" i="15"/>
  <c r="AH12" i="15"/>
  <c r="AJ10" i="15"/>
  <c r="AH10" i="15"/>
  <c r="AH9" i="15"/>
  <c r="AF9" i="15"/>
  <c r="AJ31" i="15"/>
  <c r="AG9" i="15"/>
  <c r="AG27" i="15"/>
  <c r="AE10" i="15"/>
  <c r="AJ23" i="15"/>
  <c r="AE26" i="15"/>
  <c r="AH28" i="15"/>
  <c r="AH31" i="15"/>
  <c r="AG23" i="15"/>
  <c r="AK17" i="15"/>
  <c r="AI30" i="15"/>
  <c r="AF27" i="15"/>
  <c r="AH23" i="15"/>
  <c r="AK30" i="15"/>
  <c r="AG30" i="15"/>
  <c r="AL11" i="15"/>
  <c r="AK26" i="15"/>
  <c r="AG26" i="15"/>
  <c r="AK23" i="15"/>
  <c r="AI23" i="15"/>
  <c r="AI11" i="15"/>
  <c r="AE23" i="15"/>
  <c r="AI28" i="15"/>
  <c r="AI26" i="15"/>
  <c r="AK9" i="15"/>
  <c r="AF25" i="15"/>
  <c r="AE28" i="15"/>
  <c r="AF17" i="15"/>
  <c r="AI9" i="15"/>
  <c r="AI31" i="15"/>
  <c r="AF23" i="15"/>
  <c r="AJ30" i="15"/>
  <c r="AK31" i="15"/>
  <c r="AF30" i="15"/>
  <c r="AG29" i="15"/>
  <c r="AG15" i="15"/>
  <c r="AE22" i="15"/>
  <c r="AI24" i="15"/>
  <c r="AJ29" i="15"/>
  <c r="AJ15" i="15"/>
  <c r="AF24" i="15"/>
  <c r="AK29" i="15"/>
  <c r="AH17" i="15"/>
  <c r="AF26" i="15"/>
  <c r="AF29" i="15"/>
  <c r="AI29" i="15"/>
  <c r="AG24" i="15"/>
  <c r="AH29" i="15"/>
  <c r="AH15" i="15"/>
  <c r="AF15" i="15"/>
  <c r="AG20" i="15"/>
  <c r="AK15" i="15"/>
  <c r="AE17" i="15"/>
  <c r="AH26" i="15"/>
  <c r="AF28" i="15"/>
  <c r="AF16" i="15"/>
  <c r="AJ21" i="15"/>
  <c r="AE24" i="15"/>
  <c r="AE31" i="15"/>
  <c r="AK24" i="15"/>
  <c r="AK28" i="15"/>
  <c r="AE30" i="15"/>
  <c r="AE11" i="15"/>
  <c r="AJ26" i="15"/>
  <c r="AJ24" i="15"/>
  <c r="AH27" i="15"/>
  <c r="AG17" i="15"/>
  <c r="AI17" i="15"/>
  <c r="AI15" i="15"/>
  <c r="AH30" i="15"/>
  <c r="AH21" i="15"/>
  <c r="AG10" i="15"/>
  <c r="AJ25" i="15"/>
  <c r="AF12" i="15"/>
  <c r="AF19" i="15"/>
  <c r="AE12" i="15"/>
  <c r="AE19" i="15"/>
  <c r="AK11" i="15"/>
  <c r="AJ16" i="15"/>
  <c r="AF20" i="15"/>
  <c r="AH25" i="15"/>
  <c r="AK20" i="15"/>
  <c r="AJ12" i="15"/>
  <c r="AF11" i="15"/>
  <c r="AK19" i="15"/>
  <c r="AH11" i="15"/>
  <c r="AE15" i="15"/>
  <c r="AJ11" i="15"/>
  <c r="AG12" i="15"/>
  <c r="AE16" i="15"/>
  <c r="AK12" i="15"/>
  <c r="AK16" i="15"/>
  <c r="AJ20" i="15"/>
  <c r="AH16" i="15"/>
  <c r="AI12" i="15"/>
  <c r="AE25" i="15"/>
  <c r="AG19" i="15"/>
  <c r="AF31" i="15"/>
  <c r="AG31" i="15"/>
  <c r="AI20" i="15"/>
  <c r="AE20" i="15"/>
  <c r="AK25" i="15"/>
  <c r="AI27" i="15"/>
  <c r="AJ9" i="15"/>
  <c r="AE14" i="15"/>
  <c r="AI25" i="15"/>
  <c r="AH20" i="15"/>
  <c r="AJ19" i="15"/>
  <c r="AI16" i="15"/>
  <c r="AH19" i="15"/>
  <c r="AG25" i="15"/>
  <c r="AG11" i="15"/>
  <c r="AJ27" i="15"/>
  <c r="AE29" i="15"/>
  <c r="AJ13" i="15"/>
  <c r="AI13" i="15"/>
  <c r="AE18" i="15"/>
  <c r="AG18" i="15"/>
  <c r="AI18" i="15"/>
  <c r="AJ18" i="15"/>
  <c r="AK18" i="15"/>
  <c r="AK14" i="15"/>
  <c r="AG13" i="15"/>
  <c r="AH13" i="15"/>
  <c r="AG14" i="15"/>
  <c r="AF14" i="15"/>
  <c r="AJ14" i="15"/>
  <c r="AI22" i="15"/>
  <c r="AH14" i="15"/>
  <c r="AF13" i="15"/>
  <c r="AK13" i="15"/>
  <c r="AE13" i="15"/>
  <c r="AI14" i="15"/>
  <c r="AF22" i="15"/>
  <c r="AH18" i="15"/>
  <c r="AH22" i="15"/>
  <c r="AK22" i="15"/>
  <c r="AJ22" i="15"/>
  <c r="AG22" i="15"/>
  <c r="AF18" i="15"/>
  <c r="AE9" i="15"/>
  <c r="AE8" i="15"/>
  <c r="AK8" i="15"/>
  <c r="AI8" i="15"/>
  <c r="AH8" i="15"/>
  <c r="AL8" i="15"/>
  <c r="AJ8" i="15"/>
  <c r="AG8" i="15"/>
  <c r="AQ75" i="15" l="1"/>
  <c r="AP55" i="15"/>
  <c r="AP60" i="15"/>
  <c r="AQ71" i="15"/>
  <c r="AQ49" i="15"/>
  <c r="AP49" i="15"/>
  <c r="AP70" i="15"/>
  <c r="AQ64" i="15"/>
  <c r="AP65" i="15"/>
  <c r="AP64" i="15"/>
  <c r="AP71" i="15"/>
  <c r="AQ43" i="15"/>
  <c r="AP35" i="15"/>
  <c r="AQ72" i="15"/>
  <c r="AP50" i="15"/>
  <c r="AP72" i="15"/>
  <c r="AQ38" i="15"/>
  <c r="AQ35" i="15"/>
  <c r="AQ56" i="15"/>
  <c r="AP53" i="15"/>
  <c r="AQ73" i="15"/>
  <c r="AQ50" i="15"/>
  <c r="AP75" i="15"/>
  <c r="AP56" i="15"/>
  <c r="AP51" i="15"/>
  <c r="AP73" i="15"/>
  <c r="AP43" i="15"/>
  <c r="AP37" i="15"/>
  <c r="AQ60" i="15"/>
  <c r="AQ67" i="15"/>
  <c r="AP33" i="15"/>
  <c r="AQ44" i="15"/>
  <c r="AQ51" i="15"/>
  <c r="AQ33" i="15"/>
  <c r="AQ66" i="15"/>
  <c r="AQ37" i="15"/>
  <c r="AQ74" i="15"/>
  <c r="AQ39" i="15"/>
  <c r="AQ53" i="15"/>
  <c r="B2" i="15"/>
  <c r="AP39" i="15"/>
  <c r="AQ61" i="15"/>
  <c r="AP61" i="15"/>
  <c r="AP74" i="15"/>
  <c r="AQ65" i="15"/>
  <c r="AQ58" i="15"/>
  <c r="AQ40" i="15"/>
  <c r="AQ76" i="15"/>
  <c r="AP66" i="15"/>
  <c r="AP40" i="15"/>
  <c r="AP46" i="15"/>
  <c r="AQ46" i="15"/>
  <c r="AP58" i="15"/>
  <c r="AQ34" i="15"/>
  <c r="AP62" i="15"/>
  <c r="AQ62" i="15"/>
  <c r="AP76" i="15"/>
  <c r="AP38" i="15"/>
  <c r="AP42" i="15"/>
  <c r="AQ42" i="15"/>
  <c r="AQ47" i="15"/>
  <c r="AP47" i="15"/>
  <c r="AP34" i="15"/>
  <c r="AP59" i="15"/>
  <c r="AQ59" i="15"/>
  <c r="AQ57" i="15"/>
  <c r="AP57" i="15"/>
  <c r="AQ41" i="15"/>
  <c r="AP41" i="15"/>
  <c r="AP44" i="15"/>
  <c r="AP48" i="15"/>
  <c r="AQ48" i="15"/>
  <c r="AP63" i="15"/>
  <c r="AQ63" i="15"/>
  <c r="AQ45" i="15"/>
  <c r="AP45" i="15"/>
  <c r="AQ52" i="15"/>
  <c r="AP52" i="15"/>
  <c r="AP54" i="15"/>
  <c r="AQ54" i="15"/>
  <c r="AP69" i="15"/>
  <c r="AQ69" i="15"/>
  <c r="AQ36" i="15"/>
  <c r="AP36" i="15"/>
  <c r="AQ70" i="15"/>
  <c r="AP67" i="15"/>
  <c r="AQ55" i="15"/>
  <c r="AQ68" i="15"/>
  <c r="AP68" i="15"/>
  <c r="AN8" i="15"/>
  <c r="AQ8" i="15" s="1"/>
  <c r="AQ6" i="15"/>
  <c r="AP6" i="15"/>
  <c r="AO32" i="15"/>
  <c r="AN32" i="15"/>
  <c r="AQ5" i="15"/>
  <c r="AP5" i="15"/>
  <c r="AQ7" i="15"/>
  <c r="AP7" i="15"/>
  <c r="AP17" i="15"/>
  <c r="AP15" i="15"/>
  <c r="AE21" i="15"/>
  <c r="AI21" i="15"/>
  <c r="AG21" i="15"/>
  <c r="AL21" i="15"/>
  <c r="AK21" i="15"/>
  <c r="AF21" i="15"/>
  <c r="AQ12" i="15"/>
  <c r="AQ11" i="15"/>
  <c r="AP22" i="15"/>
  <c r="AP12" i="15"/>
  <c r="AP16" i="15"/>
  <c r="AQ22" i="15"/>
  <c r="AQ16" i="15"/>
  <c r="AQ15" i="15"/>
  <c r="AQ17" i="15"/>
  <c r="AQ20" i="15"/>
  <c r="AQ27" i="15"/>
  <c r="AP27" i="15"/>
  <c r="AP19" i="15"/>
  <c r="AQ26" i="15"/>
  <c r="AP26" i="15"/>
  <c r="AQ31" i="15"/>
  <c r="AP31" i="15"/>
  <c r="AP30" i="15"/>
  <c r="AQ30" i="15"/>
  <c r="AP29" i="15"/>
  <c r="AQ29" i="15"/>
  <c r="AQ25" i="15"/>
  <c r="AP25" i="15"/>
  <c r="AQ23" i="15"/>
  <c r="AP23" i="15"/>
  <c r="AQ19" i="15"/>
  <c r="AQ24" i="15"/>
  <c r="AP24" i="15"/>
  <c r="AP28" i="15"/>
  <c r="AQ28" i="15"/>
  <c r="AP11" i="15"/>
  <c r="AP20" i="15"/>
  <c r="B10" i="15"/>
  <c r="AP8" i="15" l="1"/>
  <c r="AQ21" i="15"/>
  <c r="AP32" i="15"/>
  <c r="AQ32" i="15"/>
  <c r="AO10" i="15"/>
  <c r="AN10" i="15"/>
  <c r="AP21" i="15"/>
  <c r="AQ18" i="15"/>
  <c r="AQ9" i="15"/>
  <c r="AP9" i="15"/>
  <c r="AP18" i="15"/>
  <c r="AP10" i="15" l="1"/>
  <c r="AQ10" i="15"/>
  <c r="AP14" i="15"/>
  <c r="AQ14" i="15"/>
  <c r="AQ13" i="15"/>
  <c r="AP13" i="1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05C637B-4014-4FA2-BB2C-486B5F224466}" keepAlive="1" name="Query - lanupro_vocabulary_combined" description="Verbinding maken met de query lanupro_vocabulary_combined in de werkmap." type="5" refreshedVersion="8" background="1" saveData="1">
    <dbPr connection="Provider=Microsoft.Mashup.OleDb.1;Data Source=$Workbook$;Location=lanupro_vocabulary_combined;Extended Properties=&quot;&quot;" command="SELECT * FROM [lanupro_vocabulary_combined]"/>
  </connection>
  <connection id="2" xr16:uid="{BE732B1F-4400-4CF0-ADD0-11DB76585200}" keepAlive="1" name="Query - lanupro_vocabulary_general" description="Verbinding maken met de query lanupro_vocabulary_general in de werkmap." type="5" refreshedVersion="8" background="1" saveData="1">
    <dbPr connection="Provider=Microsoft.Mashup.OleDb.1;Data Source=$Workbook$;Location=lanupro_vocabulary_general;Extended Properties=&quot;&quot;" command="SELECT * FROM [lanupro_vocabulary_general]"/>
  </connection>
  <connection id="3" xr16:uid="{CC37F7D4-CD9C-4B30-8A7D-AF633DA290BB}" keepAlive="1" name="Query - lanupro_vocabulary_incubations" description="Verbinding maken met de query lanupro_vocabulary_incubations in de werkmap." type="5" refreshedVersion="8" background="1" saveData="1">
    <dbPr connection="Provider=Microsoft.Mashup.OleDb.1;Data Source=$Workbook$;Location=lanupro_vocabulary_incubations;Extended Properties=&quot;&quot;" command="SELECT * FROM [lanupro_vocabulary_incubatio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<sst xmlns="http://schemas.openxmlformats.org/spreadsheetml/2006/main" count="324" uniqueCount="260">
  <si>
    <t xml:space="preserve">vo </t>
  </si>
  <si>
    <t>Experiment Code</t>
  </si>
  <si>
    <t>Year (start of experiment)</t>
  </si>
  <si>
    <t>Project full name</t>
  </si>
  <si>
    <t>Code project</t>
  </si>
  <si>
    <t>#Experiment</t>
  </si>
  <si>
    <t>Short Experiment Description</t>
  </si>
  <si>
    <t>(Rumen) incubation protocol</t>
  </si>
  <si>
    <t>Responsible of the Project</t>
  </si>
  <si>
    <t>Main researcher(s)</t>
  </si>
  <si>
    <t>People involved in the project</t>
  </si>
  <si>
    <t>Start Date</t>
  </si>
  <si>
    <t>Legend Masterfile</t>
  </si>
  <si>
    <r>
      <t xml:space="preserve">Black title: </t>
    </r>
    <r>
      <rPr>
        <sz val="10"/>
        <color indexed="8"/>
        <rFont val="Calibri"/>
        <family val="2"/>
      </rPr>
      <t>to be filled in by main researcher</t>
    </r>
  </si>
  <si>
    <r>
      <t>Blue title:</t>
    </r>
    <r>
      <rPr>
        <sz val="10"/>
        <color indexed="8"/>
        <rFont val="Calibri"/>
        <family val="2"/>
      </rPr>
      <t xml:space="preserve"> contains a formula that allows copying down, to fill in automatically</t>
    </r>
  </si>
  <si>
    <r>
      <t>Green title:</t>
    </r>
    <r>
      <rPr>
        <sz val="10"/>
        <color indexed="8"/>
        <rFont val="Calibri"/>
        <family val="2"/>
      </rPr>
      <t xml:space="preserve"> are linked to lists which allow selecting from limited amounts of terms</t>
    </r>
  </si>
  <si>
    <r>
      <t>Red title:</t>
    </r>
    <r>
      <rPr>
        <b/>
        <sz val="10"/>
        <color indexed="8"/>
        <rFont val="Calibri"/>
        <family val="2"/>
      </rPr>
      <t xml:space="preserve"> </t>
    </r>
    <r>
      <rPr>
        <sz val="10"/>
        <color indexed="8"/>
        <rFont val="Calibri"/>
        <family val="2"/>
      </rPr>
      <t>to be filled in by the person performing analysis in the lab</t>
    </r>
  </si>
  <si>
    <t>Dependend variables</t>
  </si>
  <si>
    <t>Independend variables</t>
  </si>
  <si>
    <t>Number</t>
  </si>
  <si>
    <t>Sample_ID</t>
  </si>
  <si>
    <t>Sample_Type</t>
  </si>
  <si>
    <t>Sample_Form</t>
  </si>
  <si>
    <t>Date</t>
  </si>
  <si>
    <t>Anal.Rep.</t>
  </si>
  <si>
    <t>Run</t>
  </si>
  <si>
    <t>Treatment</t>
  </si>
  <si>
    <t>Incubation_duration</t>
  </si>
  <si>
    <t>pH</t>
  </si>
  <si>
    <t>Pressure</t>
  </si>
  <si>
    <t>Temp</t>
  </si>
  <si>
    <t>PROTOCOL 1</t>
  </si>
  <si>
    <t>#</t>
  </si>
  <si>
    <t>Analytical_ID</t>
  </si>
  <si>
    <t>sample_ID</t>
  </si>
  <si>
    <t>Sample type_form</t>
  </si>
  <si>
    <t>Storage place</t>
  </si>
  <si>
    <t>Date available</t>
  </si>
  <si>
    <t>IS</t>
  </si>
  <si>
    <t>Protocol 1</t>
  </si>
  <si>
    <t>Init</t>
  </si>
  <si>
    <t>Storage</t>
  </si>
  <si>
    <t>Amount IS in solution (mg/ml)</t>
  </si>
  <si>
    <t>Amount IS solution added (ml)</t>
  </si>
  <si>
    <t>Volume of sample (ml)</t>
  </si>
  <si>
    <t>GCMethod</t>
  </si>
  <si>
    <t>2:0_µmol/mL</t>
  </si>
  <si>
    <t>3:0_µmol/mL</t>
  </si>
  <si>
    <t>iso4:0_µmol/mL</t>
  </si>
  <si>
    <t>4:0_µmol/mL</t>
  </si>
  <si>
    <t>iso5:0_µmol/L</t>
  </si>
  <si>
    <t>5:0_µmol/mL</t>
  </si>
  <si>
    <t>2-EBA_Area</t>
  </si>
  <si>
    <t>6:0_µmol/mL</t>
  </si>
  <si>
    <t>V (mL)</t>
  </si>
  <si>
    <t>AMOUNT (µmol)</t>
  </si>
  <si>
    <t>2:0_µmol</t>
  </si>
  <si>
    <t>3:0_µmol</t>
  </si>
  <si>
    <t>iso4:0_µmol</t>
  </si>
  <si>
    <t>4:0_µmol</t>
  </si>
  <si>
    <t>5:0_µmol</t>
  </si>
  <si>
    <t>6:0_µmol</t>
  </si>
  <si>
    <t>totalVFA_µmol</t>
  </si>
  <si>
    <t>NET PRODUCTION (µmol)</t>
  </si>
  <si>
    <t>MOLAR PROPORTIONS (mmol/mol)</t>
  </si>
  <si>
    <t>2:0_mmol/mol</t>
  </si>
  <si>
    <t>3:0_mmol/mol</t>
  </si>
  <si>
    <t>iso4:0_mmol/mol</t>
  </si>
  <si>
    <t>4:0_mmol/mol</t>
  </si>
  <si>
    <t>iso5:0_mmol/mol/L</t>
  </si>
  <si>
    <t>5:0_mmol/mol</t>
  </si>
  <si>
    <t>6:0_mmol/mol</t>
  </si>
  <si>
    <t>totalVFA_mmol/mol</t>
  </si>
  <si>
    <t>CH4_mmol_mol</t>
  </si>
  <si>
    <t>H2_mmol_mol</t>
  </si>
  <si>
    <t>H_recovery_excl_H2</t>
  </si>
  <si>
    <t>H_recovery_incl_H2</t>
  </si>
  <si>
    <t>ARDCH_µmol</t>
  </si>
  <si>
    <t>ARDCH_mg</t>
  </si>
  <si>
    <t>ARDCH_mg/ 100 mg substrate</t>
  </si>
  <si>
    <t>Samples</t>
  </si>
  <si>
    <t>Signal_01</t>
  </si>
  <si>
    <t>Signal_02</t>
  </si>
  <si>
    <t>signal 1</t>
  </si>
  <si>
    <t>signal 2</t>
  </si>
  <si>
    <t>Area_hydrogen</t>
  </si>
  <si>
    <t>Area_O2</t>
  </si>
  <si>
    <t>Area_N2</t>
  </si>
  <si>
    <t>Area_Methane</t>
  </si>
  <si>
    <t>Area_Hydrogen</t>
  </si>
  <si>
    <t>Area_O2_and_N2</t>
  </si>
  <si>
    <t>Area_Ethane</t>
  </si>
  <si>
    <r>
      <t>V_H</t>
    </r>
    <r>
      <rPr>
        <vertAlign val="subscript"/>
        <sz val="11"/>
        <color rgb="FF0000FF"/>
        <rFont val="Calibri"/>
        <family val="2"/>
      </rPr>
      <t>2</t>
    </r>
    <r>
      <rPr>
        <sz val="11"/>
        <color rgb="FF0000FF"/>
        <rFont val="Calibri"/>
        <family val="2"/>
      </rPr>
      <t>/V_C</t>
    </r>
    <r>
      <rPr>
        <vertAlign val="subscript"/>
        <sz val="11"/>
        <color rgb="FF0000FF"/>
        <rFont val="Calibri"/>
        <family val="2"/>
      </rPr>
      <t>2</t>
    </r>
    <r>
      <rPr>
        <sz val="11"/>
        <color rgb="FF0000FF"/>
        <rFont val="Calibri"/>
        <family val="2"/>
      </rPr>
      <t>H</t>
    </r>
    <r>
      <rPr>
        <vertAlign val="subscript"/>
        <sz val="11"/>
        <color rgb="FF0000FF"/>
        <rFont val="Calibri"/>
        <family val="2"/>
      </rPr>
      <t>6</t>
    </r>
  </si>
  <si>
    <r>
      <t>V_CH</t>
    </r>
    <r>
      <rPr>
        <vertAlign val="subscript"/>
        <sz val="11"/>
        <color rgb="FF0000FF"/>
        <rFont val="Calibri"/>
        <family val="2"/>
      </rPr>
      <t>4</t>
    </r>
    <r>
      <rPr>
        <sz val="11"/>
        <color rgb="FF0000FF"/>
        <rFont val="Calibri"/>
        <family val="2"/>
      </rPr>
      <t>/V_C</t>
    </r>
    <r>
      <rPr>
        <vertAlign val="subscript"/>
        <sz val="11"/>
        <color rgb="FF0000FF"/>
        <rFont val="Calibri"/>
        <family val="2"/>
      </rPr>
      <t>2</t>
    </r>
    <r>
      <rPr>
        <sz val="11"/>
        <color rgb="FF0000FF"/>
        <rFont val="Calibri"/>
        <family val="2"/>
      </rPr>
      <t>H</t>
    </r>
    <r>
      <rPr>
        <vertAlign val="subscript"/>
        <sz val="11"/>
        <color rgb="FF0000FF"/>
        <rFont val="Calibri"/>
        <family val="2"/>
      </rPr>
      <t>6</t>
    </r>
  </si>
  <si>
    <r>
      <t>V_H</t>
    </r>
    <r>
      <rPr>
        <vertAlign val="subscript"/>
        <sz val="11"/>
        <color rgb="FF0000FF"/>
        <rFont val="Calibri"/>
        <family val="2"/>
      </rPr>
      <t xml:space="preserve">2 </t>
    </r>
    <r>
      <rPr>
        <sz val="11"/>
        <color rgb="FF0000FF"/>
        <rFont val="Calibri"/>
        <family val="2"/>
      </rPr>
      <t>(µL)</t>
    </r>
  </si>
  <si>
    <r>
      <t>V_CH</t>
    </r>
    <r>
      <rPr>
        <vertAlign val="subscript"/>
        <sz val="11"/>
        <color rgb="FF0000FF"/>
        <rFont val="Calibri"/>
        <family val="2"/>
      </rPr>
      <t xml:space="preserve">4 </t>
    </r>
    <r>
      <rPr>
        <sz val="11"/>
        <color rgb="FF0000FF"/>
        <rFont val="Calibri"/>
        <family val="2"/>
      </rPr>
      <t>(µL)</t>
    </r>
  </si>
  <si>
    <t>molar gas volume</t>
  </si>
  <si>
    <r>
      <t>H</t>
    </r>
    <r>
      <rPr>
        <vertAlign val="subscript"/>
        <sz val="11"/>
        <color rgb="FF0000FF"/>
        <rFont val="Calibri"/>
        <family val="2"/>
      </rPr>
      <t>2</t>
    </r>
    <r>
      <rPr>
        <sz val="11"/>
        <color indexed="12"/>
        <rFont val="Calibri"/>
        <family val="2"/>
      </rPr>
      <t xml:space="preserve"> (µmol)</t>
    </r>
  </si>
  <si>
    <r>
      <t>CH</t>
    </r>
    <r>
      <rPr>
        <vertAlign val="subscript"/>
        <sz val="11"/>
        <color rgb="FF0000FF"/>
        <rFont val="Calibri"/>
        <family val="2"/>
      </rPr>
      <t>4</t>
    </r>
    <r>
      <rPr>
        <sz val="11"/>
        <color indexed="12"/>
        <rFont val="Calibri"/>
        <family val="2"/>
      </rPr>
      <t xml:space="preserve"> (µmol)</t>
    </r>
  </si>
  <si>
    <t>Standard_Nr</t>
  </si>
  <si>
    <r>
      <t>A_H</t>
    </r>
    <r>
      <rPr>
        <b/>
        <vertAlign val="subscript"/>
        <sz val="11"/>
        <color rgb="FFFF0000"/>
        <rFont val="Calibri"/>
        <family val="2"/>
      </rPr>
      <t>2</t>
    </r>
    <r>
      <rPr>
        <b/>
        <sz val="11"/>
        <color indexed="10"/>
        <rFont val="Calibri"/>
        <family val="2"/>
      </rPr>
      <t>,S1</t>
    </r>
  </si>
  <si>
    <r>
      <t>A_O</t>
    </r>
    <r>
      <rPr>
        <b/>
        <vertAlign val="subscript"/>
        <sz val="11"/>
        <color rgb="FFFF0000"/>
        <rFont val="Calibri"/>
        <family val="2"/>
      </rPr>
      <t>2</t>
    </r>
    <r>
      <rPr>
        <b/>
        <sz val="11"/>
        <color indexed="10"/>
        <rFont val="Calibri"/>
        <family val="2"/>
      </rPr>
      <t>,S1</t>
    </r>
  </si>
  <si>
    <r>
      <t>A_N</t>
    </r>
    <r>
      <rPr>
        <b/>
        <vertAlign val="subscript"/>
        <sz val="11"/>
        <color rgb="FFFF0000"/>
        <rFont val="Calibri"/>
        <family val="2"/>
      </rPr>
      <t>2</t>
    </r>
    <r>
      <rPr>
        <b/>
        <sz val="11"/>
        <color indexed="10"/>
        <rFont val="Calibri"/>
        <family val="2"/>
      </rPr>
      <t>,S1</t>
    </r>
  </si>
  <si>
    <r>
      <t>A_CH</t>
    </r>
    <r>
      <rPr>
        <b/>
        <vertAlign val="subscript"/>
        <sz val="11"/>
        <color rgb="FFFF0000"/>
        <rFont val="Calibri"/>
        <family val="2"/>
      </rPr>
      <t>4</t>
    </r>
    <r>
      <rPr>
        <b/>
        <sz val="11"/>
        <color indexed="10"/>
        <rFont val="Calibri"/>
        <family val="2"/>
      </rPr>
      <t>,S1</t>
    </r>
  </si>
  <si>
    <r>
      <t>A_H</t>
    </r>
    <r>
      <rPr>
        <b/>
        <vertAlign val="subscript"/>
        <sz val="11"/>
        <color rgb="FFFF0000"/>
        <rFont val="Calibri"/>
        <family val="2"/>
      </rPr>
      <t>2</t>
    </r>
    <r>
      <rPr>
        <b/>
        <sz val="11"/>
        <color indexed="10"/>
        <rFont val="Calibri"/>
        <family val="2"/>
      </rPr>
      <t>,S2</t>
    </r>
  </si>
  <si>
    <r>
      <t>A_O</t>
    </r>
    <r>
      <rPr>
        <b/>
        <vertAlign val="subscript"/>
        <sz val="11"/>
        <color rgb="FFFF0000"/>
        <rFont val="Calibri"/>
        <family val="2"/>
      </rPr>
      <t>2</t>
    </r>
    <r>
      <rPr>
        <b/>
        <sz val="11"/>
        <color indexed="10"/>
        <rFont val="Calibri"/>
        <family val="2"/>
      </rPr>
      <t>+ N</t>
    </r>
    <r>
      <rPr>
        <b/>
        <vertAlign val="subscript"/>
        <sz val="11"/>
        <color rgb="FFFF0000"/>
        <rFont val="Calibri"/>
        <family val="2"/>
      </rPr>
      <t>2</t>
    </r>
    <r>
      <rPr>
        <b/>
        <sz val="11"/>
        <color indexed="10"/>
        <rFont val="Calibri"/>
        <family val="2"/>
      </rPr>
      <t>,S2</t>
    </r>
  </si>
  <si>
    <r>
      <t>A_CH</t>
    </r>
    <r>
      <rPr>
        <b/>
        <vertAlign val="subscript"/>
        <sz val="11"/>
        <color rgb="FFFF0000"/>
        <rFont val="Calibri"/>
        <family val="2"/>
      </rPr>
      <t>4</t>
    </r>
    <r>
      <rPr>
        <b/>
        <sz val="11"/>
        <color indexed="10"/>
        <rFont val="Calibri"/>
        <family val="2"/>
      </rPr>
      <t>,S2</t>
    </r>
  </si>
  <si>
    <r>
      <t>A_C</t>
    </r>
    <r>
      <rPr>
        <b/>
        <vertAlign val="subscript"/>
        <sz val="11"/>
        <color rgb="FFFF0000"/>
        <rFont val="Calibri"/>
        <family val="2"/>
      </rPr>
      <t>2</t>
    </r>
    <r>
      <rPr>
        <b/>
        <sz val="11"/>
        <color indexed="10"/>
        <rFont val="Calibri"/>
        <family val="2"/>
      </rPr>
      <t>H</t>
    </r>
    <r>
      <rPr>
        <b/>
        <vertAlign val="subscript"/>
        <sz val="11"/>
        <color rgb="FFFF0000"/>
        <rFont val="Calibri"/>
        <family val="2"/>
      </rPr>
      <t>6</t>
    </r>
    <r>
      <rPr>
        <b/>
        <sz val="11"/>
        <color indexed="10"/>
        <rFont val="Calibri"/>
        <family val="2"/>
      </rPr>
      <t>,S2</t>
    </r>
  </si>
  <si>
    <r>
      <t>V_H</t>
    </r>
    <r>
      <rPr>
        <b/>
        <vertAlign val="subscript"/>
        <sz val="11"/>
        <rFont val="Calibri"/>
        <family val="2"/>
      </rPr>
      <t>2 (</t>
    </r>
    <r>
      <rPr>
        <b/>
        <sz val="11"/>
        <rFont val="Calibri"/>
        <family val="2"/>
      </rPr>
      <t xml:space="preserve">µl) </t>
    </r>
  </si>
  <si>
    <r>
      <t>V_CH</t>
    </r>
    <r>
      <rPr>
        <b/>
        <vertAlign val="subscript"/>
        <sz val="11"/>
        <rFont val="Calibri"/>
        <family val="2"/>
      </rPr>
      <t>4 (</t>
    </r>
    <r>
      <rPr>
        <b/>
        <sz val="11"/>
        <rFont val="Calibri"/>
        <family val="2"/>
      </rPr>
      <t xml:space="preserve">µl) </t>
    </r>
  </si>
  <si>
    <r>
      <t>V_C</t>
    </r>
    <r>
      <rPr>
        <b/>
        <vertAlign val="subscript"/>
        <sz val="11"/>
        <rFont val="Calibri"/>
        <family val="2"/>
      </rPr>
      <t>2</t>
    </r>
    <r>
      <rPr>
        <b/>
        <sz val="11"/>
        <rFont val="Calibri"/>
        <family val="2"/>
      </rPr>
      <t>H</t>
    </r>
    <r>
      <rPr>
        <b/>
        <vertAlign val="subscript"/>
        <sz val="11"/>
        <rFont val="Calibri"/>
        <family val="2"/>
      </rPr>
      <t>6 (</t>
    </r>
    <r>
      <rPr>
        <b/>
        <sz val="11"/>
        <rFont val="Calibri"/>
        <family val="2"/>
      </rPr>
      <t xml:space="preserve">µl) </t>
    </r>
  </si>
  <si>
    <r>
      <t>V_H</t>
    </r>
    <r>
      <rPr>
        <b/>
        <vertAlign val="subscript"/>
        <sz val="11"/>
        <color rgb="FF0000FF"/>
        <rFont val="Calibri"/>
        <family val="2"/>
      </rPr>
      <t>2</t>
    </r>
    <r>
      <rPr>
        <b/>
        <sz val="11"/>
        <color rgb="FF0000FF"/>
        <rFont val="Calibri"/>
        <family val="2"/>
      </rPr>
      <t>/V_C</t>
    </r>
    <r>
      <rPr>
        <b/>
        <vertAlign val="subscript"/>
        <sz val="11"/>
        <color rgb="FF0000FF"/>
        <rFont val="Calibri"/>
        <family val="2"/>
      </rPr>
      <t>2</t>
    </r>
    <r>
      <rPr>
        <b/>
        <sz val="11"/>
        <color rgb="FF0000FF"/>
        <rFont val="Calibri"/>
        <family val="2"/>
      </rPr>
      <t>H</t>
    </r>
    <r>
      <rPr>
        <b/>
        <vertAlign val="subscript"/>
        <sz val="11"/>
        <color rgb="FF0000FF"/>
        <rFont val="Calibri"/>
        <family val="2"/>
      </rPr>
      <t>6</t>
    </r>
  </si>
  <si>
    <r>
      <t>V_CH</t>
    </r>
    <r>
      <rPr>
        <b/>
        <vertAlign val="subscript"/>
        <sz val="11"/>
        <color rgb="FF0000FF"/>
        <rFont val="Calibri"/>
        <family val="2"/>
      </rPr>
      <t>4</t>
    </r>
    <r>
      <rPr>
        <b/>
        <sz val="11"/>
        <color rgb="FF0000FF"/>
        <rFont val="Calibri"/>
        <family val="2"/>
      </rPr>
      <t>/V_C</t>
    </r>
    <r>
      <rPr>
        <b/>
        <vertAlign val="subscript"/>
        <sz val="11"/>
        <color rgb="FF0000FF"/>
        <rFont val="Calibri"/>
        <family val="2"/>
      </rPr>
      <t>2</t>
    </r>
    <r>
      <rPr>
        <b/>
        <sz val="11"/>
        <color rgb="FF0000FF"/>
        <rFont val="Calibri"/>
        <family val="2"/>
      </rPr>
      <t>H</t>
    </r>
    <r>
      <rPr>
        <b/>
        <vertAlign val="subscript"/>
        <sz val="11"/>
        <color rgb="FF0000FF"/>
        <rFont val="Calibri"/>
        <family val="2"/>
      </rPr>
      <t>6</t>
    </r>
  </si>
  <si>
    <r>
      <t>A</t>
    </r>
    <r>
      <rPr>
        <b/>
        <vertAlign val="subscript"/>
        <sz val="11"/>
        <color rgb="FF0000FF"/>
        <rFont val="Calibri"/>
        <family val="2"/>
      </rPr>
      <t>H2</t>
    </r>
    <r>
      <rPr>
        <b/>
        <sz val="11"/>
        <color rgb="FF0000FF"/>
        <rFont val="Calibri"/>
        <family val="2"/>
      </rPr>
      <t>/A</t>
    </r>
    <r>
      <rPr>
        <b/>
        <vertAlign val="subscript"/>
        <sz val="11"/>
        <color rgb="FF0000FF"/>
        <rFont val="Calibri"/>
        <family val="2"/>
      </rPr>
      <t>C2H6</t>
    </r>
    <r>
      <rPr>
        <b/>
        <sz val="11"/>
        <color rgb="FF0000FF"/>
        <rFont val="Calibri"/>
        <family val="2"/>
      </rPr>
      <t xml:space="preserve"> S1</t>
    </r>
  </si>
  <si>
    <r>
      <t>A</t>
    </r>
    <r>
      <rPr>
        <b/>
        <vertAlign val="subscript"/>
        <sz val="11"/>
        <color rgb="FF0000FF"/>
        <rFont val="Calibri"/>
        <family val="2"/>
      </rPr>
      <t>CH4</t>
    </r>
    <r>
      <rPr>
        <b/>
        <sz val="11"/>
        <color rgb="FF0000FF"/>
        <rFont val="Calibri"/>
        <family val="2"/>
      </rPr>
      <t>/A</t>
    </r>
    <r>
      <rPr>
        <b/>
        <vertAlign val="subscript"/>
        <sz val="11"/>
        <color rgb="FF0000FF"/>
        <rFont val="Calibri"/>
        <family val="2"/>
      </rPr>
      <t xml:space="preserve">C2H6 </t>
    </r>
    <r>
      <rPr>
        <b/>
        <sz val="11"/>
        <color rgb="FF0000FF"/>
        <rFont val="Calibri"/>
        <family val="2"/>
      </rPr>
      <t>S1</t>
    </r>
  </si>
  <si>
    <r>
      <t>A</t>
    </r>
    <r>
      <rPr>
        <b/>
        <vertAlign val="subscript"/>
        <sz val="11"/>
        <color rgb="FF0000FF"/>
        <rFont val="Calibri"/>
        <family val="2"/>
      </rPr>
      <t>H2</t>
    </r>
    <r>
      <rPr>
        <b/>
        <sz val="11"/>
        <color rgb="FF0000FF"/>
        <rFont val="Calibri"/>
        <family val="2"/>
      </rPr>
      <t>/A</t>
    </r>
    <r>
      <rPr>
        <b/>
        <vertAlign val="subscript"/>
        <sz val="11"/>
        <color rgb="FF0000FF"/>
        <rFont val="Calibri"/>
        <family val="2"/>
      </rPr>
      <t>C2H6</t>
    </r>
    <r>
      <rPr>
        <b/>
        <sz val="11"/>
        <color rgb="FF0000FF"/>
        <rFont val="Calibri"/>
        <family val="2"/>
      </rPr>
      <t xml:space="preserve"> S2</t>
    </r>
  </si>
  <si>
    <r>
      <t>A</t>
    </r>
    <r>
      <rPr>
        <b/>
        <vertAlign val="subscript"/>
        <sz val="11"/>
        <color rgb="FF0000FF"/>
        <rFont val="Calibri"/>
        <family val="2"/>
      </rPr>
      <t>CH4</t>
    </r>
    <r>
      <rPr>
        <b/>
        <sz val="11"/>
        <color rgb="FF0000FF"/>
        <rFont val="Calibri"/>
        <family val="2"/>
      </rPr>
      <t>/A</t>
    </r>
    <r>
      <rPr>
        <b/>
        <vertAlign val="subscript"/>
        <sz val="11"/>
        <color rgb="FF0000FF"/>
        <rFont val="Calibri"/>
        <family val="2"/>
      </rPr>
      <t xml:space="preserve">C2H6 </t>
    </r>
    <r>
      <rPr>
        <b/>
        <sz val="11"/>
        <color rgb="FF0000FF"/>
        <rFont val="Calibri"/>
        <family val="2"/>
      </rPr>
      <t>S2</t>
    </r>
  </si>
  <si>
    <r>
      <t>V%_H</t>
    </r>
    <r>
      <rPr>
        <b/>
        <vertAlign val="subscript"/>
        <sz val="11"/>
        <color rgb="FF0000FF"/>
        <rFont val="Calibri"/>
        <family val="2"/>
      </rPr>
      <t>2</t>
    </r>
  </si>
  <si>
    <r>
      <t>V%_CH</t>
    </r>
    <r>
      <rPr>
        <b/>
        <vertAlign val="subscript"/>
        <sz val="11"/>
        <color rgb="FF0000FF"/>
        <rFont val="Calibri"/>
        <family val="2"/>
      </rPr>
      <t>4</t>
    </r>
  </si>
  <si>
    <r>
      <t>R²_H</t>
    </r>
    <r>
      <rPr>
        <b/>
        <vertAlign val="subscript"/>
        <sz val="11"/>
        <color rgb="FF0000FF"/>
        <rFont val="Calibri"/>
        <family val="2"/>
      </rPr>
      <t>2</t>
    </r>
    <r>
      <rPr>
        <b/>
        <sz val="11"/>
        <color rgb="FF0000FF"/>
        <rFont val="Calibri"/>
        <family val="2"/>
      </rPr>
      <t>_S1</t>
    </r>
  </si>
  <si>
    <r>
      <t>R²_CH</t>
    </r>
    <r>
      <rPr>
        <b/>
        <vertAlign val="subscript"/>
        <sz val="11"/>
        <color rgb="FF0000FF"/>
        <rFont val="Calibri"/>
        <family val="2"/>
      </rPr>
      <t>4</t>
    </r>
    <r>
      <rPr>
        <b/>
        <sz val="11"/>
        <color rgb="FF0000FF"/>
        <rFont val="Calibri"/>
        <family val="2"/>
      </rPr>
      <t>_S1</t>
    </r>
  </si>
  <si>
    <r>
      <t>R²_H</t>
    </r>
    <r>
      <rPr>
        <b/>
        <vertAlign val="subscript"/>
        <sz val="11"/>
        <color rgb="FF0000FF"/>
        <rFont val="Calibri"/>
        <family val="2"/>
      </rPr>
      <t>2</t>
    </r>
    <r>
      <rPr>
        <b/>
        <sz val="11"/>
        <color rgb="FF0000FF"/>
        <rFont val="Calibri"/>
        <family val="2"/>
      </rPr>
      <t>_S2</t>
    </r>
  </si>
  <si>
    <r>
      <t>R²_CH</t>
    </r>
    <r>
      <rPr>
        <b/>
        <vertAlign val="subscript"/>
        <sz val="11"/>
        <color rgb="FF0000FF"/>
        <rFont val="Calibri"/>
        <family val="2"/>
      </rPr>
      <t>4</t>
    </r>
    <r>
      <rPr>
        <b/>
        <sz val="11"/>
        <color rgb="FF0000FF"/>
        <rFont val="Calibri"/>
        <family val="2"/>
      </rPr>
      <t>_S2</t>
    </r>
  </si>
  <si>
    <t>H2O_ml</t>
  </si>
  <si>
    <t>RF_Buffer_Mixture_ml</t>
  </si>
  <si>
    <t>Ethane_ml</t>
  </si>
  <si>
    <t xml:space="preserve">Analytical_ID </t>
  </si>
  <si>
    <t>Nylon Bag</t>
  </si>
  <si>
    <t>Exact (g)</t>
  </si>
  <si>
    <t>Shelf</t>
  </si>
  <si>
    <t>g/1000ml</t>
  </si>
  <si>
    <t>Na2HPO4.12H2O</t>
  </si>
  <si>
    <t>KH2PO4</t>
  </si>
  <si>
    <t>MgCl2.6H2O</t>
  </si>
  <si>
    <t>NaHCO3</t>
  </si>
  <si>
    <t>NH4HCO3</t>
  </si>
  <si>
    <t>pH buffer</t>
  </si>
  <si>
    <t>pH RF</t>
  </si>
  <si>
    <t>RF+Buffer</t>
  </si>
  <si>
    <t>Substrate_incubated_mg</t>
  </si>
  <si>
    <t>Volume % H2</t>
  </si>
  <si>
    <t xml:space="preserve">Volume % CH4 </t>
  </si>
  <si>
    <t>pressure</t>
  </si>
  <si>
    <t>total volume (mL)</t>
  </si>
  <si>
    <t>H2 (µL)</t>
  </si>
  <si>
    <t>CH4 (µL)</t>
  </si>
  <si>
    <t>H2 (µmol)</t>
  </si>
  <si>
    <t>CH4 (µmol)</t>
  </si>
  <si>
    <t>Protocol</t>
  </si>
  <si>
    <t>Bag number</t>
  </si>
  <si>
    <t>Weight after sealing (g)</t>
  </si>
  <si>
    <t>%DM_after rumen incubation</t>
  </si>
  <si>
    <t>DM_degradability_Rumen (%)</t>
  </si>
  <si>
    <t>Weight_substrate(g)</t>
  </si>
  <si>
    <t>S_QCI12_01_28</t>
  </si>
  <si>
    <t>S_QCI12_01_27</t>
  </si>
  <si>
    <t>S_QCI12_01_29</t>
  </si>
  <si>
    <t>22.5 mg 3-NOP in 100 ml of dis.water</t>
  </si>
  <si>
    <t>3-NOP solution (225 µg/flask)</t>
  </si>
  <si>
    <t>Postive_Control 2: Bromoform</t>
  </si>
  <si>
    <t>2-steps in order to ensure accurate transfer and respect bromoform solubility in water (as such 1 µl bromoform / ml of water is not exceeded)</t>
  </si>
  <si>
    <t>1. Add 20 µl bromoform to a 20 ml volumetric flaks and fill with Ethanol = solution (a)</t>
  </si>
  <si>
    <t>2. Mix well</t>
  </si>
  <si>
    <t>3. Take 218,7 µl of solution (a) in a volumetric flask of 100 ml and fill with water = solution (b)</t>
  </si>
  <si>
    <t>4. Mix well</t>
  </si>
  <si>
    <t>5. Bring 1 ml of solution (b) in each of the positive control flasks</t>
  </si>
  <si>
    <t>Sample_left_after_drying-rumen(g)</t>
  </si>
  <si>
    <t>%DM_after post-rumen incubation</t>
  </si>
  <si>
    <t>Sample_left_after drying_post-rumen incubation (g)</t>
  </si>
  <si>
    <t>Sample_left_nylon_bag_after_drying-post-rumen(g)</t>
  </si>
  <si>
    <t>DM_digestibility_Post-rumen (%)</t>
  </si>
  <si>
    <t>Overal_DM_digestibility (%)</t>
  </si>
  <si>
    <t>Method of Pos-rumen Incubation</t>
  </si>
  <si>
    <t>Surface Area (cm2)</t>
  </si>
  <si>
    <r>
      <t>Pore Size (</t>
    </r>
    <r>
      <rPr>
        <b/>
        <sz val="11"/>
        <color indexed="8"/>
        <rFont val="Aptos Narrow"/>
        <family val="2"/>
      </rPr>
      <t>µ</t>
    </r>
    <r>
      <rPr>
        <b/>
        <sz val="10.1"/>
        <color indexed="8"/>
        <rFont val="Calibri"/>
        <family val="2"/>
      </rPr>
      <t>m)</t>
    </r>
  </si>
  <si>
    <t xml:space="preserve">Group </t>
  </si>
  <si>
    <r>
      <t>Pore size of nylon bag (</t>
    </r>
    <r>
      <rPr>
        <b/>
        <sz val="11"/>
        <color indexed="8"/>
        <rFont val="Aptos Narrow"/>
        <family val="2"/>
      </rPr>
      <t>µ</t>
    </r>
    <r>
      <rPr>
        <b/>
        <sz val="11.55"/>
        <color indexed="8"/>
        <rFont val="Calibri"/>
        <family val="2"/>
      </rPr>
      <t>m)</t>
    </r>
  </si>
  <si>
    <t>250 mg</t>
  </si>
  <si>
    <t>500 mg</t>
  </si>
  <si>
    <t>3-NOP_ml</t>
  </si>
  <si>
    <t>Grass silage G1_69mg G2_138mg</t>
  </si>
  <si>
    <t>Maize silage G1_69mg G2_138mg</t>
  </si>
  <si>
    <t>Concentrate G1_92mg G2_184mg</t>
  </si>
  <si>
    <t>Brewer's grain G1_20mg G2_40mg</t>
  </si>
  <si>
    <t>Pore Size (µm)</t>
  </si>
  <si>
    <t>Weight_nylon bag (g)</t>
  </si>
  <si>
    <t>Weight_nylonbag_substrate_after drying_rumen incubation (g)</t>
  </si>
  <si>
    <t>Substrate</t>
  </si>
  <si>
    <t>Grass silage</t>
  </si>
  <si>
    <t>Maize silage</t>
  </si>
  <si>
    <t>Concentrate</t>
  </si>
  <si>
    <t>Brewer's grain</t>
  </si>
  <si>
    <t>Buffer</t>
  </si>
  <si>
    <t>Weight_substrate_nylon_bag (g)</t>
  </si>
  <si>
    <t>g/5000ml</t>
  </si>
  <si>
    <t>BG_04</t>
  </si>
  <si>
    <r>
      <t xml:space="preserve">Modification with 50 and 100 </t>
    </r>
    <r>
      <rPr>
        <sz val="11"/>
        <color indexed="8"/>
        <rFont val="Aptos Narrow"/>
        <family val="2"/>
      </rPr>
      <t>µ</t>
    </r>
    <r>
      <rPr>
        <sz val="11.55"/>
        <color indexed="8"/>
        <rFont val="Calibri"/>
        <family val="2"/>
      </rPr>
      <t>m pore size</t>
    </r>
  </si>
  <si>
    <t xml:space="preserve">No. of bag </t>
  </si>
  <si>
    <t>Rumen</t>
  </si>
  <si>
    <t>Post-rumen</t>
  </si>
  <si>
    <t>4 direct +6 combine(10h)+4(24h)</t>
  </si>
  <si>
    <t>4 direct +4 combine(10h)+4(24h)</t>
  </si>
  <si>
    <t>3 replicates/treatment</t>
  </si>
  <si>
    <t>Required dimension (cm2)</t>
  </si>
  <si>
    <t>Version Masterfile_template</t>
  </si>
  <si>
    <t>rumen_duration</t>
  </si>
  <si>
    <t>gas</t>
  </si>
  <si>
    <t>vfa</t>
  </si>
  <si>
    <t>vfa_method</t>
  </si>
  <si>
    <t>trt_rep_1_id</t>
  </si>
  <si>
    <t>bag_size_cm2</t>
  </si>
  <si>
    <t>gas_method</t>
  </si>
  <si>
    <t>post_rumen_stomach_duration</t>
  </si>
  <si>
    <t>vol_grav</t>
  </si>
  <si>
    <t>vol_flask_ml</t>
  </si>
  <si>
    <t>press</t>
  </si>
  <si>
    <t>temp</t>
  </si>
  <si>
    <t>substrate_ms_id</t>
  </si>
  <si>
    <t>substrate_ms_mg</t>
  </si>
  <si>
    <t>substrate_gs_id</t>
  </si>
  <si>
    <t>substrate_gs_mg</t>
  </si>
  <si>
    <t>substrate_conc_id</t>
  </si>
  <si>
    <t>substrate_conc_mg</t>
  </si>
  <si>
    <t>ph_b</t>
  </si>
  <si>
    <t>ph_rf</t>
  </si>
  <si>
    <t>ph_b_rf</t>
  </si>
  <si>
    <t>acetate_percent</t>
  </si>
  <si>
    <t>propionate_percent</t>
  </si>
  <si>
    <t>butyrate_percent</t>
  </si>
  <si>
    <t>isovalerate_percent</t>
  </si>
  <si>
    <t>valerate_percent</t>
  </si>
  <si>
    <t>caproate_percent</t>
  </si>
  <si>
    <t>ardom_percent</t>
  </si>
  <si>
    <t>index</t>
  </si>
  <si>
    <t>sample_id</t>
  </si>
  <si>
    <t>sample_type</t>
  </si>
  <si>
    <t>sample_form</t>
  </si>
  <si>
    <t>repetition</t>
  </si>
  <si>
    <t>run</t>
  </si>
  <si>
    <t>dm</t>
  </si>
  <si>
    <t>dm_method</t>
  </si>
  <si>
    <t>rumen_degradability_percent</t>
  </si>
  <si>
    <t>overall_degradability_percent</t>
  </si>
  <si>
    <t>post_rumen_id</t>
  </si>
  <si>
    <t>postrumen_digestibility_percent</t>
  </si>
  <si>
    <t>trt_add_1_ug_per_ml</t>
  </si>
  <si>
    <t>trt_add_1_type</t>
  </si>
  <si>
    <t>trt_add_1_id</t>
  </si>
  <si>
    <t>nylon_pore_size_um</t>
  </si>
  <si>
    <t>trt_label_1</t>
  </si>
  <si>
    <t>inocula_id</t>
  </si>
  <si>
    <t>inocula_date</t>
  </si>
  <si>
    <t>trt_rep_1_mg</t>
  </si>
  <si>
    <t>post_rumen_small_intestine_duration</t>
  </si>
  <si>
    <t>methane_umol_per_g_dm</t>
  </si>
  <si>
    <t>hydrogen_umol_per_g_dm</t>
  </si>
  <si>
    <t>total_vfa_umol_per_g_dm</t>
  </si>
  <si>
    <t>methane_total_vfa_mol_per_mol</t>
  </si>
  <si>
    <t>isobutyrate_percent</t>
  </si>
  <si>
    <t>methane_umol_per_g_dm_digested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</si>
</sst>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 * #,##0.00_ ;_ * \-#,##0.00_ ;_ * &quot;-&quot;??_ ;_ @_ "/>
    <numFmt numFmtId="165" formatCode="0.0"/>
    <numFmt numFmtId="166" formatCode="0.0000"/>
    <numFmt numFmtId="167" formatCode="0.00000"/>
    <numFmt numFmtId="168" formatCode="0.000"/>
    <numFmt numFmtId="169" formatCode="#,##0.0000"/>
    <numFmt numFmtId="170" formatCode="[$-F800]dddd\,\ mmmm\ dd\,\ yyyy"/>
  </numFmts>
  <fonts count="83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2"/>
      <color indexed="8"/>
      <name val="Calibri"/>
      <family val="2"/>
    </font>
    <font>
      <sz val="8"/>
      <name val="Calibri"/>
      <family val="2"/>
    </font>
    <font>
      <sz val="11"/>
      <name val="Calibri"/>
      <family val="2"/>
    </font>
    <font>
      <b/>
      <sz val="11"/>
      <color indexed="12"/>
      <name val="Calibri"/>
      <family val="2"/>
    </font>
    <font>
      <b/>
      <sz val="12"/>
      <color indexed="12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b/>
      <sz val="10"/>
      <name val="Calibri"/>
      <family val="2"/>
    </font>
    <font>
      <sz val="11"/>
      <color indexed="8"/>
      <name val="Calibri"/>
      <family val="2"/>
    </font>
    <font>
      <sz val="11"/>
      <color indexed="12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1"/>
      <color indexed="8"/>
      <name val="宋体"/>
      <charset val="134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8"/>
      <color theme="3"/>
      <name val="Cambria"/>
      <family val="1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2"/>
      <name val="Calibri"/>
      <family val="2"/>
    </font>
    <font>
      <sz val="10"/>
      <color indexed="8"/>
      <name val="Calibri"/>
      <family val="2"/>
    </font>
    <font>
      <b/>
      <sz val="11"/>
      <color theme="1"/>
      <name val="Calibri"/>
      <family val="2"/>
    </font>
    <font>
      <b/>
      <sz val="10"/>
      <color indexed="8"/>
      <name val="Calibri"/>
      <family val="2"/>
    </font>
    <font>
      <b/>
      <sz val="10"/>
      <color rgb="FFFF0000"/>
      <name val="Calibri"/>
      <family val="2"/>
    </font>
    <font>
      <b/>
      <u/>
      <sz val="10"/>
      <color indexed="8"/>
      <name val="Calibri"/>
      <family val="2"/>
    </font>
    <font>
      <b/>
      <sz val="10"/>
      <color rgb="FF0070C0"/>
      <name val="Calibri"/>
      <family val="2"/>
    </font>
    <font>
      <b/>
      <sz val="10"/>
      <color rgb="FF00B050"/>
      <name val="Calibri"/>
      <family val="2"/>
    </font>
    <font>
      <sz val="11"/>
      <color indexed="20"/>
      <name val="Calibri"/>
      <family val="2"/>
    </font>
    <font>
      <sz val="11"/>
      <color indexed="62"/>
      <name val="Calibri"/>
      <family val="2"/>
    </font>
    <font>
      <sz val="10"/>
      <name val="Arial"/>
      <family val="2"/>
    </font>
    <font>
      <sz val="11"/>
      <color rgb="FF0000FF"/>
      <name val="Calibri"/>
      <family val="2"/>
    </font>
    <font>
      <vertAlign val="subscript"/>
      <sz val="11"/>
      <color rgb="FF0000FF"/>
      <name val="Calibri"/>
      <family val="2"/>
    </font>
    <font>
      <sz val="18"/>
      <color theme="3"/>
      <name val="Cambria"/>
      <family val="2"/>
      <scheme val="major"/>
    </font>
    <font>
      <b/>
      <sz val="11"/>
      <color indexed="10"/>
      <name val="Calibri"/>
      <family val="2"/>
    </font>
    <font>
      <b/>
      <sz val="11"/>
      <color rgb="FF00B050"/>
      <name val="Calibri"/>
      <family val="2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sz val="11"/>
      <color indexed="17"/>
      <name val="Calibri"/>
      <family val="2"/>
    </font>
    <font>
      <sz val="11"/>
      <color theme="1"/>
      <name val="Calibri"/>
      <family val="2"/>
    </font>
    <font>
      <b/>
      <vertAlign val="subscript"/>
      <sz val="11"/>
      <color rgb="FFFF0000"/>
      <name val="Calibri"/>
      <family val="2"/>
    </font>
    <font>
      <b/>
      <vertAlign val="subscript"/>
      <sz val="11"/>
      <name val="Calibri"/>
      <family val="2"/>
    </font>
    <font>
      <b/>
      <sz val="11"/>
      <color rgb="FF0000FF"/>
      <name val="Calibri"/>
      <family val="2"/>
    </font>
    <font>
      <b/>
      <vertAlign val="subscript"/>
      <sz val="11"/>
      <color rgb="FF0000FF"/>
      <name val="Calibri"/>
      <family val="2"/>
    </font>
    <font>
      <sz val="11"/>
      <name val="Calibri"/>
      <family val="2"/>
      <scheme val="minor"/>
    </font>
    <font>
      <sz val="11"/>
      <color indexed="8"/>
      <name val="Calibri"/>
      <family val="2"/>
      <charset val="163"/>
    </font>
    <font>
      <b/>
      <sz val="11"/>
      <color indexed="8"/>
      <name val="Calibri"/>
      <family val="2"/>
      <charset val="163"/>
    </font>
    <font>
      <strike/>
      <sz val="11"/>
      <color theme="1"/>
      <name val="Calibri"/>
      <family val="2"/>
    </font>
    <font>
      <b/>
      <i/>
      <u/>
      <sz val="12"/>
      <color indexed="8"/>
      <name val="Times New Roman"/>
      <family val="1"/>
    </font>
    <font>
      <b/>
      <sz val="11"/>
      <color indexed="8"/>
      <name val="Aptos Narrow"/>
      <family val="2"/>
    </font>
    <font>
      <b/>
      <sz val="10.1"/>
      <color indexed="8"/>
      <name val="Calibri"/>
      <family val="2"/>
    </font>
    <font>
      <b/>
      <sz val="11.55"/>
      <color indexed="8"/>
      <name val="Calibri"/>
      <family val="2"/>
    </font>
    <font>
      <sz val="11"/>
      <color indexed="8"/>
      <name val="Calibri"/>
      <family val="2"/>
      <charset val="163"/>
      <scheme val="minor"/>
    </font>
    <font>
      <b/>
      <sz val="11"/>
      <color indexed="8"/>
      <name val="Calibri"/>
      <family val="2"/>
      <charset val="163"/>
      <scheme val="minor"/>
    </font>
    <font>
      <sz val="11"/>
      <name val="Calibri"/>
      <family val="2"/>
      <charset val="163"/>
    </font>
    <font>
      <sz val="11"/>
      <color indexed="8"/>
      <name val="Aptos Narrow"/>
      <family val="2"/>
    </font>
    <font>
      <sz val="11.55"/>
      <color indexed="8"/>
      <name val="Calibri"/>
      <family val="2"/>
    </font>
  </fonts>
  <fills count="74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0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rgb="FFF3AFE1"/>
        <bgColor indexed="64"/>
      </patternFill>
    </fill>
    <fill>
      <patternFill patternType="solid">
        <fgColor rgb="FFB2ECB2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FFFF"/>
        <bgColor indexed="64"/>
      </patternFill>
    </fill>
    <fill>
      <patternFill patternType="mediumGray">
        <bgColor rgb="FFFFC000"/>
      </patternFill>
    </fill>
    <fill>
      <patternFill patternType="mediumGray">
        <bgColor rgb="FFCCFFFF"/>
      </patternFill>
    </fill>
    <fill>
      <patternFill patternType="solid">
        <fgColor rgb="FF00CC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3FFEB"/>
        <bgColor indexed="64"/>
      </patternFill>
    </fill>
  </fills>
  <borders count="7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 diagonalDown="1"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22"/>
      </bottom>
      <diagonal/>
    </border>
    <border>
      <left/>
      <right/>
      <top style="medium">
        <color indexed="64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medium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27">
    <xf numFmtId="0" fontId="0" fillId="0" borderId="0"/>
    <xf numFmtId="0" fontId="11" fillId="2" borderId="1" applyNumberFormat="0" applyAlignment="0" applyProtection="0"/>
    <xf numFmtId="0" fontId="12" fillId="3" borderId="2" applyNumberFormat="0" applyAlignment="0" applyProtection="0"/>
    <xf numFmtId="0" fontId="18" fillId="0" borderId="3" applyNumberFormat="0" applyFill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7" fillId="0" borderId="6" applyNumberFormat="0" applyFill="0" applyAlignment="0" applyProtection="0"/>
    <xf numFmtId="0" fontId="17" fillId="0" borderId="0" applyNumberFormat="0" applyFill="0" applyBorder="0" applyAlignment="0" applyProtection="0"/>
    <xf numFmtId="0" fontId="19" fillId="4" borderId="0" applyNumberFormat="0" applyBorder="0" applyAlignment="0" applyProtection="0"/>
    <xf numFmtId="0" fontId="4" fillId="0" borderId="0"/>
    <xf numFmtId="0" fontId="4" fillId="5" borderId="7" applyNumberFormat="0" applyFont="0" applyAlignment="0" applyProtection="0"/>
    <xf numFmtId="0" fontId="21" fillId="0" borderId="0" applyNumberFormat="0" applyFill="0" applyBorder="0" applyAlignment="0" applyProtection="0"/>
    <xf numFmtId="0" fontId="5" fillId="0" borderId="9" applyNumberFormat="0" applyFill="0" applyAlignment="0" applyProtection="0"/>
    <xf numFmtId="0" fontId="20" fillId="2" borderId="8" applyNumberFormat="0" applyAlignment="0" applyProtection="0"/>
    <xf numFmtId="0" fontId="1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6" fillId="0" borderId="0"/>
    <xf numFmtId="0" fontId="3" fillId="0" borderId="0"/>
    <xf numFmtId="0" fontId="28" fillId="0" borderId="0"/>
    <xf numFmtId="0" fontId="28" fillId="8" borderId="0" applyNumberFormat="0" applyBorder="0" applyAlignment="0" applyProtection="0"/>
    <xf numFmtId="0" fontId="28" fillId="12" borderId="0" applyNumberFormat="0" applyBorder="0" applyAlignment="0" applyProtection="0"/>
    <xf numFmtId="0" fontId="28" fillId="16" borderId="0" applyNumberFormat="0" applyBorder="0" applyAlignment="0" applyProtection="0"/>
    <xf numFmtId="0" fontId="28" fillId="20" borderId="0" applyNumberFormat="0" applyBorder="0" applyAlignment="0" applyProtection="0"/>
    <xf numFmtId="0" fontId="28" fillId="24" borderId="0" applyNumberFormat="0" applyBorder="0" applyAlignment="0" applyProtection="0"/>
    <xf numFmtId="0" fontId="28" fillId="28" borderId="0" applyNumberFormat="0" applyBorder="0" applyAlignment="0" applyProtection="0"/>
    <xf numFmtId="0" fontId="28" fillId="9" borderId="0" applyNumberFormat="0" applyBorder="0" applyAlignment="0" applyProtection="0"/>
    <xf numFmtId="0" fontId="28" fillId="13" borderId="0" applyNumberFormat="0" applyBorder="0" applyAlignment="0" applyProtection="0"/>
    <xf numFmtId="0" fontId="28" fillId="17" borderId="0" applyNumberFormat="0" applyBorder="0" applyAlignment="0" applyProtection="0"/>
    <xf numFmtId="0" fontId="28" fillId="21" borderId="0" applyNumberFormat="0" applyBorder="0" applyAlignment="0" applyProtection="0"/>
    <xf numFmtId="0" fontId="28" fillId="25" borderId="0" applyNumberFormat="0" applyBorder="0" applyAlignment="0" applyProtection="0"/>
    <xf numFmtId="0" fontId="28" fillId="29" borderId="0" applyNumberFormat="0" applyBorder="0" applyAlignment="0" applyProtection="0"/>
    <xf numFmtId="0" fontId="30" fillId="10" borderId="0" applyNumberFormat="0" applyBorder="0" applyAlignment="0" applyProtection="0"/>
    <xf numFmtId="0" fontId="30" fillId="14" borderId="0" applyNumberFormat="0" applyBorder="0" applyAlignment="0" applyProtection="0"/>
    <xf numFmtId="0" fontId="30" fillId="18" borderId="0" applyNumberFormat="0" applyBorder="0" applyAlignment="0" applyProtection="0"/>
    <xf numFmtId="0" fontId="30" fillId="22" borderId="0" applyNumberFormat="0" applyBorder="0" applyAlignment="0" applyProtection="0"/>
    <xf numFmtId="0" fontId="30" fillId="26" borderId="0" applyNumberFormat="0" applyBorder="0" applyAlignment="0" applyProtection="0"/>
    <xf numFmtId="0" fontId="30" fillId="30" borderId="0" applyNumberFormat="0" applyBorder="0" applyAlignment="0" applyProtection="0"/>
    <xf numFmtId="0" fontId="33" fillId="0" borderId="0" applyNumberFormat="0" applyFill="0" applyBorder="0" applyAlignment="0" applyProtection="0"/>
    <xf numFmtId="0" fontId="34" fillId="0" borderId="14" applyNumberFormat="0" applyFill="0" applyAlignment="0" applyProtection="0"/>
    <xf numFmtId="0" fontId="35" fillId="0" borderId="15" applyNumberFormat="0" applyFill="0" applyAlignment="0" applyProtection="0"/>
    <xf numFmtId="0" fontId="36" fillId="0" borderId="16" applyNumberFormat="0" applyFill="0" applyAlignment="0" applyProtection="0"/>
    <xf numFmtId="0" fontId="36" fillId="0" borderId="0" applyNumberFormat="0" applyFill="0" applyBorder="0" applyAlignment="0" applyProtection="0"/>
    <xf numFmtId="0" fontId="32" fillId="32" borderId="0" applyNumberFormat="0" applyBorder="0" applyAlignment="0" applyProtection="0"/>
    <xf numFmtId="0" fontId="31" fillId="31" borderId="0" applyNumberFormat="0" applyBorder="0" applyAlignment="0" applyProtection="0"/>
    <xf numFmtId="0" fontId="38" fillId="0" borderId="18" applyNumberFormat="0" applyFill="0" applyAlignment="0" applyProtection="0"/>
    <xf numFmtId="0" fontId="41" fillId="35" borderId="20" applyNumberFormat="0" applyAlignment="0" applyProtection="0"/>
    <xf numFmtId="0" fontId="37" fillId="33" borderId="17" applyNumberFormat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5" fillId="0" borderId="22" applyNumberFormat="0" applyFill="0" applyAlignment="0" applyProtection="0"/>
    <xf numFmtId="0" fontId="30" fillId="7" borderId="0" applyNumberFormat="0" applyBorder="0" applyAlignment="0" applyProtection="0"/>
    <xf numFmtId="0" fontId="30" fillId="11" borderId="0" applyNumberFormat="0" applyBorder="0" applyAlignment="0" applyProtection="0"/>
    <xf numFmtId="0" fontId="30" fillId="15" borderId="0" applyNumberFormat="0" applyBorder="0" applyAlignment="0" applyProtection="0"/>
    <xf numFmtId="0" fontId="30" fillId="19" borderId="0" applyNumberFormat="0" applyBorder="0" applyAlignment="0" applyProtection="0"/>
    <xf numFmtId="0" fontId="30" fillId="23" borderId="0" applyNumberFormat="0" applyBorder="0" applyAlignment="0" applyProtection="0"/>
    <xf numFmtId="0" fontId="30" fillId="27" borderId="0" applyNumberFormat="0" applyBorder="0" applyAlignment="0" applyProtection="0"/>
    <xf numFmtId="0" fontId="44" fillId="37" borderId="0" applyNumberFormat="0" applyBorder="0" applyAlignment="0" applyProtection="0"/>
    <xf numFmtId="0" fontId="43" fillId="35" borderId="21" applyNumberFormat="0" applyAlignment="0" applyProtection="0"/>
    <xf numFmtId="0" fontId="42" fillId="36" borderId="20" applyNumberFormat="0" applyAlignment="0" applyProtection="0"/>
    <xf numFmtId="0" fontId="29" fillId="34" borderId="19" applyNumberFormat="0" applyFont="0" applyAlignment="0" applyProtection="0"/>
    <xf numFmtId="0" fontId="31" fillId="31" borderId="0" applyNumberFormat="0" applyBorder="0" applyAlignment="0" applyProtection="0"/>
    <xf numFmtId="0" fontId="4" fillId="0" borderId="0"/>
    <xf numFmtId="0" fontId="2" fillId="0" borderId="0"/>
    <xf numFmtId="0" fontId="2" fillId="0" borderId="0"/>
    <xf numFmtId="0" fontId="2" fillId="0" borderId="0"/>
    <xf numFmtId="0" fontId="4" fillId="0" borderId="0"/>
    <xf numFmtId="0" fontId="11" fillId="2" borderId="1" applyNumberFormat="0" applyAlignment="0" applyProtection="0"/>
    <xf numFmtId="0" fontId="12" fillId="3" borderId="2" applyNumberFormat="0" applyAlignment="0" applyProtection="0"/>
    <xf numFmtId="0" fontId="18" fillId="0" borderId="3" applyNumberFormat="0" applyFill="0" applyAlignment="0" applyProtection="0"/>
    <xf numFmtId="0" fontId="14" fillId="40" borderId="0" applyNumberFormat="0" applyBorder="0" applyAlignment="0" applyProtection="0"/>
    <xf numFmtId="0" fontId="55" fillId="41" borderId="1" applyNumberFormat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7" fillId="0" borderId="6" applyNumberFormat="0" applyFill="0" applyAlignment="0" applyProtection="0"/>
    <xf numFmtId="0" fontId="17" fillId="0" borderId="0" applyNumberFormat="0" applyFill="0" applyBorder="0" applyAlignment="0" applyProtection="0"/>
    <xf numFmtId="0" fontId="19" fillId="4" borderId="0" applyNumberFormat="0" applyBorder="0" applyAlignment="0" applyProtection="0"/>
    <xf numFmtId="0" fontId="4" fillId="5" borderId="7" applyNumberFormat="0" applyFont="0" applyAlignment="0" applyProtection="0"/>
    <xf numFmtId="0" fontId="54" fillId="39" borderId="0" applyNumberFormat="0" applyBorder="0" applyAlignment="0" applyProtection="0"/>
    <xf numFmtId="0" fontId="21" fillId="0" borderId="0" applyNumberFormat="0" applyFill="0" applyBorder="0" applyAlignment="0" applyProtection="0"/>
    <xf numFmtId="0" fontId="5" fillId="0" borderId="9" applyNumberFormat="0" applyFill="0" applyAlignment="0" applyProtection="0"/>
    <xf numFmtId="0" fontId="20" fillId="2" borderId="8" applyNumberFormat="0" applyAlignment="0" applyProtection="0"/>
    <xf numFmtId="0" fontId="1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4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2" fillId="0" borderId="0"/>
    <xf numFmtId="0" fontId="56" fillId="0" borderId="23"/>
    <xf numFmtId="0" fontId="56" fillId="0" borderId="23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2" fillId="0" borderId="0"/>
    <xf numFmtId="0" fontId="56" fillId="0" borderId="23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2" fillId="36" borderId="20" applyNumberFormat="0" applyAlignment="0" applyProtection="0"/>
    <xf numFmtId="0" fontId="32" fillId="32" borderId="0" applyNumberFormat="0" applyBorder="0" applyAlignment="0" applyProtection="0"/>
    <xf numFmtId="0" fontId="41" fillId="35" borderId="20" applyNumberFormat="0" applyAlignment="0" applyProtection="0"/>
    <xf numFmtId="0" fontId="37" fillId="33" borderId="17" applyNumberFormat="0" applyAlignment="0" applyProtection="0"/>
    <xf numFmtId="0" fontId="45" fillId="0" borderId="22" applyNumberFormat="0" applyFill="0" applyAlignment="0" applyProtection="0"/>
    <xf numFmtId="0" fontId="34" fillId="0" borderId="14" applyNumberFormat="0" applyFill="0" applyAlignment="0" applyProtection="0"/>
    <xf numFmtId="0" fontId="35" fillId="0" borderId="15" applyNumberFormat="0" applyFill="0" applyAlignment="0" applyProtection="0"/>
    <xf numFmtId="0" fontId="36" fillId="0" borderId="16" applyNumberFormat="0" applyFill="0" applyAlignment="0" applyProtection="0"/>
    <xf numFmtId="0" fontId="36" fillId="0" borderId="0" applyNumberFormat="0" applyFill="0" applyBorder="0" applyAlignment="0" applyProtection="0"/>
    <xf numFmtId="0" fontId="44" fillId="37" borderId="0" applyNumberFormat="0" applyBorder="0" applyAlignment="0" applyProtection="0"/>
    <xf numFmtId="0" fontId="1" fillId="34" borderId="19" applyNumberFormat="0" applyFont="0" applyAlignment="0" applyProtection="0"/>
    <xf numFmtId="0" fontId="59" fillId="0" borderId="0" applyNumberFormat="0" applyFill="0" applyBorder="0" applyAlignment="0" applyProtection="0"/>
    <xf numFmtId="0" fontId="38" fillId="0" borderId="18" applyNumberFormat="0" applyFill="0" applyAlignment="0" applyProtection="0"/>
    <xf numFmtId="0" fontId="43" fillId="35" borderId="21" applyNumberFormat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</cellStyleXfs>
  <cellXfs count="517">
    <xf numFmtId="0" fontId="0" fillId="0" borderId="0" xfId="0"/>
    <xf numFmtId="0" fontId="6" fillId="6" borderId="0" xfId="0" applyFont="1" applyFill="1" applyAlignment="1">
      <alignment vertical="top"/>
    </xf>
    <xf numFmtId="0" fontId="6" fillId="6" borderId="0" xfId="0" applyFont="1" applyFill="1"/>
    <xf numFmtId="0" fontId="0" fillId="6" borderId="0" xfId="0" applyFill="1"/>
    <xf numFmtId="0" fontId="0" fillId="0" borderId="0" xfId="0" applyAlignment="1">
      <alignment horizontal="left" vertical="top"/>
    </xf>
    <xf numFmtId="0" fontId="0" fillId="6" borderId="0" xfId="0" applyFill="1" applyAlignment="1">
      <alignment horizontal="left" vertical="top"/>
    </xf>
    <xf numFmtId="0" fontId="27" fillId="6" borderId="0" xfId="4" applyFill="1" applyAlignment="1" applyProtection="1">
      <alignment horizontal="left" vertical="top"/>
    </xf>
    <xf numFmtId="49" fontId="0" fillId="0" borderId="0" xfId="0" applyNumberFormat="1" applyAlignment="1">
      <alignment horizontal="left" vertical="top"/>
    </xf>
    <xf numFmtId="0" fontId="0" fillId="0" borderId="0" xfId="0" quotePrefix="1" applyAlignment="1">
      <alignment horizontal="left" vertical="top"/>
    </xf>
    <xf numFmtId="0" fontId="10" fillId="6" borderId="0" xfId="0" applyFont="1" applyFill="1" applyAlignment="1">
      <alignment vertical="top"/>
    </xf>
    <xf numFmtId="0" fontId="0" fillId="0" borderId="7" xfId="0" applyBorder="1"/>
    <xf numFmtId="0" fontId="27" fillId="0" borderId="0" xfId="4" applyAlignment="1" applyProtection="1"/>
    <xf numFmtId="0" fontId="0" fillId="6" borderId="0" xfId="0" quotePrefix="1" applyFill="1"/>
    <xf numFmtId="0" fontId="27" fillId="0" borderId="0" xfId="4" quotePrefix="1" applyAlignment="1" applyProtection="1"/>
    <xf numFmtId="0" fontId="0" fillId="0" borderId="0" xfId="0" applyAlignment="1">
      <alignment horizontal="left" vertical="top" wrapText="1"/>
    </xf>
    <xf numFmtId="0" fontId="46" fillId="6" borderId="0" xfId="0" applyFont="1" applyFill="1" applyAlignment="1">
      <alignment vertical="top"/>
    </xf>
    <xf numFmtId="0" fontId="51" fillId="0" borderId="0" xfId="0" applyFont="1" applyAlignment="1">
      <alignment vertical="center"/>
    </xf>
    <xf numFmtId="0" fontId="49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0" fillId="0" borderId="0" xfId="0" applyFont="1" applyAlignment="1">
      <alignment vertical="center"/>
    </xf>
    <xf numFmtId="0" fontId="0" fillId="43" borderId="0" xfId="0" applyFill="1"/>
    <xf numFmtId="0" fontId="0" fillId="42" borderId="0" xfId="0" quotePrefix="1" applyFill="1"/>
    <xf numFmtId="0" fontId="4" fillId="0" borderId="0" xfId="0" applyFont="1"/>
    <xf numFmtId="0" fontId="4" fillId="0" borderId="0" xfId="0" applyFont="1" applyAlignment="1">
      <alignment horizontal="center"/>
    </xf>
    <xf numFmtId="0" fontId="5" fillId="6" borderId="0" xfId="0" applyFont="1" applyFill="1" applyAlignment="1">
      <alignment horizontal="center" vertical="center" wrapText="1"/>
    </xf>
    <xf numFmtId="0" fontId="61" fillId="6" borderId="0" xfId="0" applyFont="1" applyFill="1" applyAlignment="1">
      <alignment horizontal="center" vertical="center" wrapText="1"/>
    </xf>
    <xf numFmtId="0" fontId="9" fillId="6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65" fillId="44" borderId="10" xfId="0" applyFont="1" applyFill="1" applyBorder="1"/>
    <xf numFmtId="0" fontId="60" fillId="6" borderId="27" xfId="0" applyFont="1" applyFill="1" applyBorder="1" applyAlignment="1">
      <alignment horizontal="center" vertical="center" wrapText="1"/>
    </xf>
    <xf numFmtId="0" fontId="60" fillId="6" borderId="28" xfId="0" applyFont="1" applyFill="1" applyBorder="1" applyAlignment="1">
      <alignment horizontal="center" vertical="center" wrapText="1"/>
    </xf>
    <xf numFmtId="0" fontId="61" fillId="6" borderId="28" xfId="0" applyFont="1" applyFill="1" applyBorder="1" applyAlignment="1">
      <alignment horizontal="center" vertical="center" wrapText="1"/>
    </xf>
    <xf numFmtId="0" fontId="63" fillId="6" borderId="28" xfId="0" applyFont="1" applyFill="1" applyBorder="1" applyAlignment="1">
      <alignment horizontal="center" vertical="center" wrapText="1"/>
    </xf>
    <xf numFmtId="0" fontId="62" fillId="6" borderId="28" xfId="0" applyFont="1" applyFill="1" applyBorder="1" applyAlignment="1">
      <alignment horizontal="center" vertical="center" wrapText="1"/>
    </xf>
    <xf numFmtId="0" fontId="62" fillId="6" borderId="29" xfId="0" applyFont="1" applyFill="1" applyBorder="1" applyAlignment="1">
      <alignment horizontal="center" vertical="center" wrapText="1"/>
    </xf>
    <xf numFmtId="0" fontId="9" fillId="44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0" xfId="0" applyBorder="1"/>
    <xf numFmtId="0" fontId="5" fillId="6" borderId="10" xfId="0" applyFont="1" applyFill="1" applyBorder="1" applyAlignment="1">
      <alignment horizontal="center" vertical="center"/>
    </xf>
    <xf numFmtId="0" fontId="9" fillId="6" borderId="10" xfId="0" applyFont="1" applyFill="1" applyBorder="1" applyAlignment="1">
      <alignment horizontal="center" vertical="center" wrapText="1"/>
    </xf>
    <xf numFmtId="0" fontId="9" fillId="6" borderId="10" xfId="0" applyFont="1" applyFill="1" applyBorder="1" applyAlignment="1">
      <alignment horizontal="center" vertical="center"/>
    </xf>
    <xf numFmtId="0" fontId="48" fillId="6" borderId="10" xfId="0" applyFont="1" applyFill="1" applyBorder="1" applyAlignment="1">
      <alignment horizontal="center" vertical="center" wrapText="1"/>
    </xf>
    <xf numFmtId="0" fontId="5" fillId="42" borderId="10" xfId="0" applyFont="1" applyFill="1" applyBorder="1" applyAlignment="1">
      <alignment horizontal="center" vertical="center" wrapText="1"/>
    </xf>
    <xf numFmtId="0" fontId="5" fillId="44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Border="1" applyAlignment="1">
      <alignment horizontal="left"/>
    </xf>
    <xf numFmtId="0" fontId="5" fillId="44" borderId="30" xfId="0" applyFont="1" applyFill="1" applyBorder="1" applyAlignment="1">
      <alignment horizontal="center" vertical="center"/>
    </xf>
    <xf numFmtId="0" fontId="62" fillId="44" borderId="31" xfId="0" applyFont="1" applyFill="1" applyBorder="1" applyAlignment="1">
      <alignment horizontal="center" vertical="center"/>
    </xf>
    <xf numFmtId="0" fontId="60" fillId="6" borderId="11" xfId="0" applyFont="1" applyFill="1" applyBorder="1" applyAlignment="1">
      <alignment horizontal="center" vertical="center"/>
    </xf>
    <xf numFmtId="0" fontId="60" fillId="6" borderId="12" xfId="0" applyFont="1" applyFill="1" applyBorder="1" applyAlignment="1">
      <alignment horizontal="center" vertical="center"/>
    </xf>
    <xf numFmtId="0" fontId="60" fillId="6" borderId="13" xfId="0" applyFont="1" applyFill="1" applyBorder="1" applyAlignment="1">
      <alignment horizontal="center" vertical="center"/>
    </xf>
    <xf numFmtId="0" fontId="60" fillId="50" borderId="11" xfId="0" applyFont="1" applyFill="1" applyBorder="1" applyAlignment="1">
      <alignment horizontal="center" vertical="center"/>
    </xf>
    <xf numFmtId="0" fontId="60" fillId="50" borderId="0" xfId="0" applyFont="1" applyFill="1" applyAlignment="1">
      <alignment horizontal="center" vertical="center"/>
    </xf>
    <xf numFmtId="0" fontId="60" fillId="50" borderId="13" xfId="0" applyFont="1" applyFill="1" applyBorder="1" applyAlignment="1">
      <alignment horizontal="center" vertical="center"/>
    </xf>
    <xf numFmtId="0" fontId="62" fillId="42" borderId="30" xfId="0" applyFont="1" applyFill="1" applyBorder="1" applyAlignment="1">
      <alignment horizontal="center" vertical="center"/>
    </xf>
    <xf numFmtId="0" fontId="68" fillId="42" borderId="32" xfId="0" applyFont="1" applyFill="1" applyBorder="1" applyAlignment="1">
      <alignment horizontal="center" vertical="center"/>
    </xf>
    <xf numFmtId="0" fontId="68" fillId="42" borderId="33" xfId="0" applyFont="1" applyFill="1" applyBorder="1" applyAlignment="1">
      <alignment horizontal="center" vertical="center"/>
    </xf>
    <xf numFmtId="0" fontId="68" fillId="48" borderId="32" xfId="0" applyFont="1" applyFill="1" applyBorder="1" applyAlignment="1">
      <alignment horizontal="center" vertical="center"/>
    </xf>
    <xf numFmtId="0" fontId="68" fillId="50" borderId="32" xfId="0" applyFont="1" applyFill="1" applyBorder="1" applyAlignment="1">
      <alignment horizontal="center" vertical="center"/>
    </xf>
    <xf numFmtId="0" fontId="68" fillId="46" borderId="0" xfId="0" applyFont="1" applyFill="1" applyAlignment="1">
      <alignment horizontal="center" vertical="center"/>
    </xf>
    <xf numFmtId="0" fontId="68" fillId="44" borderId="0" xfId="0" applyFont="1" applyFill="1" applyAlignment="1">
      <alignment horizontal="center" vertical="center"/>
    </xf>
    <xf numFmtId="0" fontId="68" fillId="50" borderId="0" xfId="0" applyFont="1" applyFill="1" applyAlignment="1">
      <alignment horizontal="center" vertical="center"/>
    </xf>
    <xf numFmtId="14" fontId="0" fillId="49" borderId="34" xfId="0" applyNumberFormat="1" applyFill="1" applyBorder="1" applyAlignment="1">
      <alignment horizontal="center"/>
    </xf>
    <xf numFmtId="0" fontId="0" fillId="49" borderId="11" xfId="0" applyFill="1" applyBorder="1" applyAlignment="1">
      <alignment horizontal="center"/>
    </xf>
    <xf numFmtId="1" fontId="0" fillId="49" borderId="34" xfId="0" applyNumberFormat="1" applyFill="1" applyBorder="1" applyAlignment="1">
      <alignment horizontal="center"/>
    </xf>
    <xf numFmtId="1" fontId="0" fillId="49" borderId="10" xfId="0" applyNumberFormat="1" applyFill="1" applyBorder="1" applyAlignment="1">
      <alignment horizontal="center"/>
    </xf>
    <xf numFmtId="1" fontId="0" fillId="49" borderId="35" xfId="0" applyNumberFormat="1" applyFill="1" applyBorder="1" applyAlignment="1">
      <alignment horizontal="center"/>
    </xf>
    <xf numFmtId="0" fontId="0" fillId="49" borderId="34" xfId="0" applyFill="1" applyBorder="1" applyAlignment="1">
      <alignment horizontal="center"/>
    </xf>
    <xf numFmtId="0" fontId="0" fillId="49" borderId="10" xfId="0" applyFill="1" applyBorder="1" applyAlignment="1">
      <alignment horizontal="center"/>
    </xf>
    <xf numFmtId="0" fontId="0" fillId="49" borderId="35" xfId="0" applyFill="1" applyBorder="1" applyAlignment="1">
      <alignment horizontal="center"/>
    </xf>
    <xf numFmtId="2" fontId="0" fillId="49" borderId="13" xfId="0" applyNumberFormat="1" applyFill="1" applyBorder="1" applyAlignment="1">
      <alignment horizontal="center"/>
    </xf>
    <xf numFmtId="165" fontId="0" fillId="49" borderId="10" xfId="0" applyNumberFormat="1" applyFill="1" applyBorder="1" applyAlignment="1">
      <alignment horizontal="center"/>
    </xf>
    <xf numFmtId="2" fontId="0" fillId="49" borderId="10" xfId="0" applyNumberFormat="1" applyFill="1" applyBorder="1" applyAlignment="1">
      <alignment horizontal="center"/>
    </xf>
    <xf numFmtId="166" fontId="0" fillId="49" borderId="10" xfId="0" applyNumberFormat="1" applyFill="1" applyBorder="1" applyAlignment="1">
      <alignment horizontal="center"/>
    </xf>
    <xf numFmtId="167" fontId="0" fillId="0" borderId="0" xfId="0" applyNumberFormat="1"/>
    <xf numFmtId="167" fontId="5" fillId="0" borderId="0" xfId="0" applyNumberFormat="1" applyFont="1"/>
    <xf numFmtId="166" fontId="0" fillId="0" borderId="0" xfId="0" applyNumberFormat="1"/>
    <xf numFmtId="0" fontId="0" fillId="49" borderId="13" xfId="0" applyFill="1" applyBorder="1" applyAlignment="1">
      <alignment horizontal="center"/>
    </xf>
    <xf numFmtId="166" fontId="5" fillId="0" borderId="0" xfId="0" applyNumberFormat="1" applyFont="1"/>
    <xf numFmtId="0" fontId="0" fillId="49" borderId="10" xfId="0" applyFill="1" applyBorder="1"/>
    <xf numFmtId="0" fontId="0" fillId="0" borderId="0" xfId="0" quotePrefix="1"/>
    <xf numFmtId="0" fontId="0" fillId="47" borderId="10" xfId="0" applyFill="1" applyBorder="1"/>
    <xf numFmtId="0" fontId="24" fillId="47" borderId="0" xfId="0" applyFont="1" applyFill="1"/>
    <xf numFmtId="0" fontId="65" fillId="47" borderId="10" xfId="0" applyFont="1" applyFill="1" applyBorder="1"/>
    <xf numFmtId="0" fontId="65" fillId="51" borderId="10" xfId="0" applyFont="1" applyFill="1" applyBorder="1" applyAlignment="1">
      <alignment horizontal="left"/>
    </xf>
    <xf numFmtId="0" fontId="0" fillId="47" borderId="10" xfId="0" applyFill="1" applyBorder="1" applyAlignment="1">
      <alignment horizontal="center" vertical="center" wrapText="1"/>
    </xf>
    <xf numFmtId="0" fontId="65" fillId="38" borderId="10" xfId="0" applyFont="1" applyFill="1" applyBorder="1"/>
    <xf numFmtId="0" fontId="65" fillId="38" borderId="10" xfId="0" applyFont="1" applyFill="1" applyBorder="1" applyAlignment="1">
      <alignment horizontal="left"/>
    </xf>
    <xf numFmtId="0" fontId="0" fillId="38" borderId="10" xfId="0" applyFill="1" applyBorder="1"/>
    <xf numFmtId="0" fontId="0" fillId="38" borderId="10" xfId="0" applyFill="1" applyBorder="1" applyAlignment="1">
      <alignment horizontal="center"/>
    </xf>
    <xf numFmtId="0" fontId="65" fillId="38" borderId="10" xfId="0" applyFont="1" applyFill="1" applyBorder="1" applyAlignment="1">
      <alignment horizontal="center"/>
    </xf>
    <xf numFmtId="0" fontId="0" fillId="0" borderId="0" xfId="0" applyAlignment="1">
      <alignment horizontal="center"/>
    </xf>
    <xf numFmtId="14" fontId="65" fillId="38" borderId="10" xfId="0" applyNumberFormat="1" applyFont="1" applyFill="1" applyBorder="1" applyAlignment="1">
      <alignment horizontal="center"/>
    </xf>
    <xf numFmtId="14" fontId="65" fillId="52" borderId="10" xfId="0" applyNumberFormat="1" applyFont="1" applyFill="1" applyBorder="1" applyAlignment="1">
      <alignment horizontal="center"/>
    </xf>
    <xf numFmtId="0" fontId="65" fillId="51" borderId="10" xfId="0" applyFont="1" applyFill="1" applyBorder="1"/>
    <xf numFmtId="0" fontId="65" fillId="51" borderId="10" xfId="0" applyFont="1" applyFill="1" applyBorder="1" applyAlignment="1">
      <alignment horizontal="center"/>
    </xf>
    <xf numFmtId="14" fontId="65" fillId="51" borderId="10" xfId="0" applyNumberFormat="1" applyFont="1" applyFill="1" applyBorder="1" applyAlignment="1">
      <alignment horizontal="center"/>
    </xf>
    <xf numFmtId="0" fontId="0" fillId="51" borderId="10" xfId="0" applyFill="1" applyBorder="1"/>
    <xf numFmtId="0" fontId="0" fillId="51" borderId="10" xfId="0" applyFill="1" applyBorder="1" applyAlignment="1">
      <alignment horizontal="center"/>
    </xf>
    <xf numFmtId="0" fontId="65" fillId="52" borderId="10" xfId="0" applyFont="1" applyFill="1" applyBorder="1" applyAlignment="1">
      <alignment horizontal="center"/>
    </xf>
    <xf numFmtId="0" fontId="0" fillId="42" borderId="10" xfId="0" applyFill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64" fillId="6" borderId="0" xfId="0" applyFont="1" applyFill="1" applyAlignment="1">
      <alignment horizontal="center" vertical="center" wrapText="1"/>
    </xf>
    <xf numFmtId="0" fontId="14" fillId="6" borderId="0" xfId="0" applyFont="1" applyFill="1" applyAlignment="1">
      <alignment horizontal="center" vertical="center" wrapText="1"/>
    </xf>
    <xf numFmtId="14" fontId="4" fillId="0" borderId="0" xfId="0" applyNumberFormat="1" applyFont="1"/>
    <xf numFmtId="0" fontId="8" fillId="38" borderId="10" xfId="4" applyFont="1" applyFill="1" applyBorder="1" applyAlignment="1" applyProtection="1">
      <alignment horizontal="center" vertical="center" wrapText="1"/>
    </xf>
    <xf numFmtId="0" fontId="4" fillId="38" borderId="10" xfId="0" applyFont="1" applyFill="1" applyBorder="1" applyAlignment="1">
      <alignment horizontal="center"/>
    </xf>
    <xf numFmtId="14" fontId="4" fillId="38" borderId="10" xfId="0" applyNumberFormat="1" applyFont="1" applyFill="1" applyBorder="1" applyAlignment="1">
      <alignment horizontal="center"/>
    </xf>
    <xf numFmtId="0" fontId="8" fillId="38" borderId="10" xfId="0" applyFont="1" applyFill="1" applyBorder="1" applyAlignment="1">
      <alignment horizontal="center"/>
    </xf>
    <xf numFmtId="14" fontId="0" fillId="38" borderId="10" xfId="0" applyNumberFormat="1" applyFill="1" applyBorder="1" applyAlignment="1">
      <alignment horizontal="center"/>
    </xf>
    <xf numFmtId="0" fontId="4" fillId="38" borderId="10" xfId="0" applyFont="1" applyFill="1" applyBorder="1"/>
    <xf numFmtId="0" fontId="8" fillId="51" borderId="10" xfId="4" applyFont="1" applyFill="1" applyBorder="1" applyAlignment="1" applyProtection="1">
      <alignment horizontal="center" vertical="center" wrapText="1"/>
    </xf>
    <xf numFmtId="0" fontId="4" fillId="51" borderId="10" xfId="0" applyFont="1" applyFill="1" applyBorder="1" applyAlignment="1">
      <alignment horizontal="center"/>
    </xf>
    <xf numFmtId="14" fontId="4" fillId="51" borderId="10" xfId="0" applyNumberFormat="1" applyFont="1" applyFill="1" applyBorder="1" applyAlignment="1">
      <alignment horizontal="center"/>
    </xf>
    <xf numFmtId="0" fontId="8" fillId="51" borderId="10" xfId="0" applyFont="1" applyFill="1" applyBorder="1" applyAlignment="1">
      <alignment horizontal="center"/>
    </xf>
    <xf numFmtId="0" fontId="4" fillId="51" borderId="10" xfId="0" applyFont="1" applyFill="1" applyBorder="1"/>
    <xf numFmtId="0" fontId="5" fillId="47" borderId="0" xfId="0" applyFont="1" applyFill="1"/>
    <xf numFmtId="0" fontId="24" fillId="47" borderId="10" xfId="0" applyFont="1" applyFill="1" applyBorder="1"/>
    <xf numFmtId="0" fontId="24" fillId="47" borderId="0" xfId="0" applyFont="1" applyFill="1" applyAlignment="1">
      <alignment horizontal="center" vertical="center"/>
    </xf>
    <xf numFmtId="0" fontId="8" fillId="47" borderId="0" xfId="0" applyFont="1" applyFill="1"/>
    <xf numFmtId="0" fontId="5" fillId="44" borderId="0" xfId="0" applyFont="1" applyFill="1"/>
    <xf numFmtId="0" fontId="9" fillId="44" borderId="0" xfId="0" applyFont="1" applyFill="1" applyAlignment="1">
      <alignment horizontal="center" vertical="center" wrapText="1"/>
    </xf>
    <xf numFmtId="0" fontId="5" fillId="44" borderId="0" xfId="0" quotePrefix="1" applyFont="1" applyFill="1"/>
    <xf numFmtId="0" fontId="23" fillId="44" borderId="0" xfId="0" applyFont="1" applyFill="1"/>
    <xf numFmtId="0" fontId="62" fillId="44" borderId="0" xfId="0" applyFont="1" applyFill="1"/>
    <xf numFmtId="0" fontId="24" fillId="38" borderId="10" xfId="0" applyFont="1" applyFill="1" applyBorder="1"/>
    <xf numFmtId="0" fontId="4" fillId="38" borderId="10" xfId="0" applyFont="1" applyFill="1" applyBorder="1" applyAlignment="1">
      <alignment horizontal="center" vertical="center"/>
    </xf>
    <xf numFmtId="0" fontId="8" fillId="38" borderId="10" xfId="0" applyFont="1" applyFill="1" applyBorder="1"/>
    <xf numFmtId="0" fontId="24" fillId="51" borderId="10" xfId="0" applyFont="1" applyFill="1" applyBorder="1"/>
    <xf numFmtId="0" fontId="4" fillId="51" borderId="10" xfId="0" applyFont="1" applyFill="1" applyBorder="1" applyAlignment="1">
      <alignment horizontal="center" vertical="center"/>
    </xf>
    <xf numFmtId="0" fontId="8" fillId="51" borderId="10" xfId="0" applyFont="1" applyFill="1" applyBorder="1"/>
    <xf numFmtId="0" fontId="25" fillId="47" borderId="0" xfId="10" applyFont="1" applyFill="1" applyAlignment="1">
      <alignment horizontal="center" vertical="center" wrapText="1"/>
    </xf>
    <xf numFmtId="0" fontId="25" fillId="47" borderId="0" xfId="0" applyFont="1" applyFill="1" applyAlignment="1">
      <alignment horizontal="center" vertical="center" wrapText="1"/>
    </xf>
    <xf numFmtId="0" fontId="22" fillId="47" borderId="0" xfId="0" applyFont="1" applyFill="1" applyAlignment="1">
      <alignment horizontal="center" vertical="center" wrapText="1"/>
    </xf>
    <xf numFmtId="0" fontId="57" fillId="47" borderId="0" xfId="0" applyFont="1" applyFill="1" applyAlignment="1">
      <alignment horizontal="center" vertical="center"/>
    </xf>
    <xf numFmtId="0" fontId="57" fillId="47" borderId="0" xfId="0" applyFont="1" applyFill="1" applyAlignment="1">
      <alignment horizontal="center" vertical="center" wrapText="1"/>
    </xf>
    <xf numFmtId="0" fontId="0" fillId="47" borderId="0" xfId="0" applyFill="1" applyAlignment="1">
      <alignment horizontal="center" vertical="center" wrapText="1"/>
    </xf>
    <xf numFmtId="0" fontId="4" fillId="47" borderId="0" xfId="0" applyFont="1" applyFill="1" applyAlignment="1">
      <alignment horizontal="center" vertical="center" wrapText="1"/>
    </xf>
    <xf numFmtId="0" fontId="0" fillId="47" borderId="0" xfId="0" applyFill="1"/>
    <xf numFmtId="0" fontId="0" fillId="0" borderId="42" xfId="0" applyBorder="1" applyAlignment="1">
      <alignment wrapText="1"/>
    </xf>
    <xf numFmtId="0" fontId="0" fillId="0" borderId="43" xfId="0" applyBorder="1" applyAlignment="1">
      <alignment wrapText="1"/>
    </xf>
    <xf numFmtId="0" fontId="0" fillId="0" borderId="44" xfId="0" applyBorder="1" applyAlignment="1">
      <alignment wrapText="1"/>
    </xf>
    <xf numFmtId="0" fontId="0" fillId="0" borderId="37" xfId="0" applyBorder="1" applyAlignment="1">
      <alignment wrapText="1"/>
    </xf>
    <xf numFmtId="0" fontId="0" fillId="0" borderId="45" xfId="0" applyBorder="1"/>
    <xf numFmtId="0" fontId="0" fillId="0" borderId="46" xfId="0" applyBorder="1"/>
    <xf numFmtId="0" fontId="0" fillId="0" borderId="47" xfId="0" applyBorder="1" applyAlignment="1">
      <alignment horizontal="center"/>
    </xf>
    <xf numFmtId="0" fontId="0" fillId="0" borderId="48" xfId="0" applyBorder="1"/>
    <xf numFmtId="0" fontId="0" fillId="0" borderId="49" xfId="0" applyBorder="1"/>
    <xf numFmtId="2" fontId="0" fillId="0" borderId="49" xfId="0" applyNumberFormat="1" applyBorder="1"/>
    <xf numFmtId="0" fontId="0" fillId="0" borderId="50" xfId="0" applyBorder="1"/>
    <xf numFmtId="0" fontId="0" fillId="0" borderId="41" xfId="0" applyBorder="1" applyAlignment="1">
      <alignment horizontal="right"/>
    </xf>
    <xf numFmtId="0" fontId="5" fillId="38" borderId="0" xfId="0" applyFont="1" applyFill="1"/>
    <xf numFmtId="0" fontId="25" fillId="6" borderId="0" xfId="0" applyFont="1" applyFill="1" applyAlignment="1">
      <alignment horizontal="center" vertical="center" wrapText="1"/>
    </xf>
    <xf numFmtId="0" fontId="25" fillId="6" borderId="0" xfId="10" applyFont="1" applyFill="1" applyAlignment="1">
      <alignment horizontal="center" vertical="center" wrapText="1"/>
    </xf>
    <xf numFmtId="0" fontId="65" fillId="43" borderId="10" xfId="0" applyFont="1" applyFill="1" applyBorder="1" applyAlignment="1">
      <alignment horizontal="center"/>
    </xf>
    <xf numFmtId="1" fontId="0" fillId="38" borderId="10" xfId="0" applyNumberFormat="1" applyFill="1" applyBorder="1" applyAlignment="1">
      <alignment horizontal="center"/>
    </xf>
    <xf numFmtId="2" fontId="4" fillId="38" borderId="10" xfId="0" applyNumberFormat="1" applyFont="1" applyFill="1" applyBorder="1" applyAlignment="1">
      <alignment horizontal="center" vertical="center"/>
    </xf>
    <xf numFmtId="165" fontId="65" fillId="38" borderId="10" xfId="0" applyNumberFormat="1" applyFont="1" applyFill="1" applyBorder="1" applyAlignment="1">
      <alignment horizontal="center"/>
    </xf>
    <xf numFmtId="2" fontId="65" fillId="47" borderId="10" xfId="0" applyNumberFormat="1" applyFont="1" applyFill="1" applyBorder="1"/>
    <xf numFmtId="2" fontId="65" fillId="47" borderId="10" xfId="0" applyNumberFormat="1" applyFont="1" applyFill="1" applyBorder="1" applyAlignment="1">
      <alignment horizontal="center"/>
    </xf>
    <xf numFmtId="2" fontId="0" fillId="47" borderId="10" xfId="0" applyNumberFormat="1" applyFill="1" applyBorder="1" applyAlignment="1">
      <alignment horizontal="center"/>
    </xf>
    <xf numFmtId="14" fontId="65" fillId="52" borderId="10" xfId="0" applyNumberFormat="1" applyFont="1" applyFill="1" applyBorder="1" applyAlignment="1">
      <alignment horizontal="center" vertical="center"/>
    </xf>
    <xf numFmtId="166" fontId="0" fillId="38" borderId="10" xfId="0" applyNumberFormat="1" applyFill="1" applyBorder="1" applyAlignment="1">
      <alignment horizontal="center"/>
    </xf>
    <xf numFmtId="166" fontId="0" fillId="51" borderId="10" xfId="0" applyNumberFormat="1" applyFill="1" applyBorder="1" applyAlignment="1">
      <alignment horizontal="center"/>
    </xf>
    <xf numFmtId="0" fontId="0" fillId="38" borderId="53" xfId="0" applyFill="1" applyBorder="1"/>
    <xf numFmtId="0" fontId="8" fillId="38" borderId="53" xfId="4" applyFont="1" applyFill="1" applyBorder="1" applyAlignment="1" applyProtection="1">
      <alignment horizontal="center" vertical="center" wrapText="1"/>
    </xf>
    <xf numFmtId="165" fontId="65" fillId="47" borderId="10" xfId="0" applyNumberFormat="1" applyFont="1" applyFill="1" applyBorder="1" applyAlignment="1">
      <alignment horizontal="center"/>
    </xf>
    <xf numFmtId="165" fontId="0" fillId="47" borderId="10" xfId="0" applyNumberFormat="1" applyFill="1" applyBorder="1" applyAlignment="1">
      <alignment horizontal="center"/>
    </xf>
    <xf numFmtId="14" fontId="0" fillId="51" borderId="10" xfId="0" applyNumberFormat="1" applyFill="1" applyBorder="1" applyAlignment="1">
      <alignment horizontal="center"/>
    </xf>
    <xf numFmtId="0" fontId="24" fillId="38" borderId="10" xfId="0" applyFont="1" applyFill="1" applyBorder="1" applyAlignment="1">
      <alignment horizontal="center" vertical="center"/>
    </xf>
    <xf numFmtId="2" fontId="4" fillId="38" borderId="10" xfId="0" applyNumberFormat="1" applyFont="1" applyFill="1" applyBorder="1"/>
    <xf numFmtId="2" fontId="4" fillId="51" borderId="10" xfId="0" applyNumberFormat="1" applyFont="1" applyFill="1" applyBorder="1" applyAlignment="1">
      <alignment horizontal="center" vertical="center"/>
    </xf>
    <xf numFmtId="2" fontId="4" fillId="51" borderId="10" xfId="0" applyNumberFormat="1" applyFont="1" applyFill="1" applyBorder="1"/>
    <xf numFmtId="166" fontId="65" fillId="38" borderId="10" xfId="0" applyNumberFormat="1" applyFont="1" applyFill="1" applyBorder="1" applyAlignment="1">
      <alignment horizontal="center"/>
    </xf>
    <xf numFmtId="0" fontId="73" fillId="47" borderId="10" xfId="0" applyFont="1" applyFill="1" applyBorder="1"/>
    <xf numFmtId="165" fontId="73" fillId="47" borderId="10" xfId="0" applyNumberFormat="1" applyFont="1" applyFill="1" applyBorder="1" applyAlignment="1">
      <alignment horizontal="center"/>
    </xf>
    <xf numFmtId="2" fontId="73" fillId="47" borderId="10" xfId="0" applyNumberFormat="1" applyFont="1" applyFill="1" applyBorder="1" applyAlignment="1">
      <alignment horizontal="center"/>
    </xf>
    <xf numFmtId="0" fontId="73" fillId="44" borderId="10" xfId="0" applyFont="1" applyFill="1" applyBorder="1"/>
    <xf numFmtId="170" fontId="0" fillId="0" borderId="0" xfId="0" applyNumberFormat="1" applyAlignment="1">
      <alignment horizontal="left" vertical="top"/>
    </xf>
    <xf numFmtId="0" fontId="0" fillId="0" borderId="42" xfId="0" applyBorder="1" applyAlignment="1">
      <alignment horizontal="right"/>
    </xf>
    <xf numFmtId="0" fontId="0" fillId="0" borderId="43" xfId="0" applyBorder="1" applyAlignment="1">
      <alignment horizontal="right"/>
    </xf>
    <xf numFmtId="0" fontId="0" fillId="0" borderId="0" xfId="0" applyAlignment="1">
      <alignment horizontal="right"/>
    </xf>
    <xf numFmtId="168" fontId="0" fillId="0" borderId="0" xfId="0" applyNumberFormat="1"/>
    <xf numFmtId="169" fontId="0" fillId="0" borderId="0" xfId="0" applyNumberFormat="1" applyAlignment="1">
      <alignment horizontal="center"/>
    </xf>
    <xf numFmtId="0" fontId="72" fillId="0" borderId="0" xfId="0" applyFont="1"/>
    <xf numFmtId="0" fontId="5" fillId="38" borderId="60" xfId="0" applyFont="1" applyFill="1" applyBorder="1"/>
    <xf numFmtId="0" fontId="0" fillId="0" borderId="61" xfId="0" applyBorder="1"/>
    <xf numFmtId="14" fontId="0" fillId="0" borderId="61" xfId="0" applyNumberFormat="1" applyBorder="1"/>
    <xf numFmtId="0" fontId="0" fillId="0" borderId="59" xfId="0" applyBorder="1"/>
    <xf numFmtId="0" fontId="0" fillId="38" borderId="60" xfId="0" applyFill="1" applyBorder="1"/>
    <xf numFmtId="14" fontId="65" fillId="53" borderId="10" xfId="0" applyNumberFormat="1" applyFont="1" applyFill="1" applyBorder="1" applyAlignment="1">
      <alignment horizontal="center"/>
    </xf>
    <xf numFmtId="0" fontId="65" fillId="53" borderId="10" xfId="0" applyFont="1" applyFill="1" applyBorder="1" applyAlignment="1">
      <alignment horizontal="center"/>
    </xf>
    <xf numFmtId="14" fontId="65" fillId="53" borderId="10" xfId="0" applyNumberFormat="1" applyFont="1" applyFill="1" applyBorder="1" applyAlignment="1">
      <alignment horizontal="center" vertical="center"/>
    </xf>
    <xf numFmtId="0" fontId="65" fillId="51" borderId="36" xfId="0" applyFont="1" applyFill="1" applyBorder="1"/>
    <xf numFmtId="0" fontId="65" fillId="51" borderId="36" xfId="0" applyFont="1" applyFill="1" applyBorder="1" applyAlignment="1">
      <alignment horizontal="left"/>
    </xf>
    <xf numFmtId="0" fontId="65" fillId="51" borderId="36" xfId="0" applyFont="1" applyFill="1" applyBorder="1" applyAlignment="1">
      <alignment horizontal="center"/>
    </xf>
    <xf numFmtId="14" fontId="65" fillId="51" borderId="36" xfId="0" applyNumberFormat="1" applyFont="1" applyFill="1" applyBorder="1" applyAlignment="1">
      <alignment horizontal="center"/>
    </xf>
    <xf numFmtId="14" fontId="65" fillId="53" borderId="36" xfId="0" applyNumberFormat="1" applyFont="1" applyFill="1" applyBorder="1" applyAlignment="1">
      <alignment horizontal="center"/>
    </xf>
    <xf numFmtId="0" fontId="65" fillId="53" borderId="36" xfId="0" applyFont="1" applyFill="1" applyBorder="1" applyAlignment="1">
      <alignment horizontal="center"/>
    </xf>
    <xf numFmtId="0" fontId="8" fillId="51" borderId="36" xfId="0" applyFont="1" applyFill="1" applyBorder="1" applyAlignment="1">
      <alignment horizontal="center"/>
    </xf>
    <xf numFmtId="0" fontId="65" fillId="47" borderId="36" xfId="0" applyFont="1" applyFill="1" applyBorder="1"/>
    <xf numFmtId="0" fontId="65" fillId="38" borderId="62" xfId="0" applyFont="1" applyFill="1" applyBorder="1"/>
    <xf numFmtId="0" fontId="65" fillId="38" borderId="62" xfId="0" applyFont="1" applyFill="1" applyBorder="1" applyAlignment="1">
      <alignment horizontal="left"/>
    </xf>
    <xf numFmtId="0" fontId="0" fillId="38" borderId="62" xfId="0" applyFill="1" applyBorder="1" applyAlignment="1">
      <alignment horizontal="center"/>
    </xf>
    <xf numFmtId="0" fontId="65" fillId="38" borderId="62" xfId="0" applyFont="1" applyFill="1" applyBorder="1" applyAlignment="1">
      <alignment horizontal="center"/>
    </xf>
    <xf numFmtId="14" fontId="65" fillId="38" borderId="62" xfId="0" applyNumberFormat="1" applyFont="1" applyFill="1" applyBorder="1" applyAlignment="1">
      <alignment horizontal="center"/>
    </xf>
    <xf numFmtId="0" fontId="65" fillId="47" borderId="62" xfId="0" applyFont="1" applyFill="1" applyBorder="1"/>
    <xf numFmtId="0" fontId="65" fillId="51" borderId="62" xfId="0" applyFont="1" applyFill="1" applyBorder="1" applyAlignment="1">
      <alignment horizontal="left"/>
    </xf>
    <xf numFmtId="0" fontId="0" fillId="51" borderId="62" xfId="0" applyFill="1" applyBorder="1" applyAlignment="1">
      <alignment horizontal="center"/>
    </xf>
    <xf numFmtId="0" fontId="65" fillId="51" borderId="62" xfId="0" applyFont="1" applyFill="1" applyBorder="1" applyAlignment="1">
      <alignment horizontal="center"/>
    </xf>
    <xf numFmtId="14" fontId="73" fillId="38" borderId="10" xfId="0" applyNumberFormat="1" applyFont="1" applyFill="1" applyBorder="1" applyAlignment="1">
      <alignment horizontal="center"/>
    </xf>
    <xf numFmtId="166" fontId="73" fillId="38" borderId="10" xfId="0" applyNumberFormat="1" applyFont="1" applyFill="1" applyBorder="1" applyAlignment="1">
      <alignment horizontal="center"/>
    </xf>
    <xf numFmtId="0" fontId="0" fillId="51" borderId="36" xfId="0" applyFill="1" applyBorder="1"/>
    <xf numFmtId="0" fontId="65" fillId="43" borderId="36" xfId="0" applyFont="1" applyFill="1" applyBorder="1" applyAlignment="1">
      <alignment horizontal="center"/>
    </xf>
    <xf numFmtId="0" fontId="0" fillId="47" borderId="36" xfId="0" applyFill="1" applyBorder="1"/>
    <xf numFmtId="0" fontId="0" fillId="0" borderId="36" xfId="0" applyBorder="1"/>
    <xf numFmtId="0" fontId="65" fillId="43" borderId="62" xfId="0" applyFont="1" applyFill="1" applyBorder="1" applyAlignment="1">
      <alignment horizontal="center"/>
    </xf>
    <xf numFmtId="0" fontId="65" fillId="52" borderId="62" xfId="0" applyFont="1" applyFill="1" applyBorder="1" applyAlignment="1">
      <alignment horizontal="center"/>
    </xf>
    <xf numFmtId="0" fontId="0" fillId="47" borderId="62" xfId="0" applyFill="1" applyBorder="1"/>
    <xf numFmtId="0" fontId="0" fillId="0" borderId="62" xfId="0" applyBorder="1"/>
    <xf numFmtId="0" fontId="65" fillId="53" borderId="62" xfId="0" applyFont="1" applyFill="1" applyBorder="1" applyAlignment="1">
      <alignment horizontal="center"/>
    </xf>
    <xf numFmtId="0" fontId="65" fillId="38" borderId="36" xfId="0" applyFont="1" applyFill="1" applyBorder="1"/>
    <xf numFmtId="0" fontId="65" fillId="38" borderId="36" xfId="0" applyFont="1" applyFill="1" applyBorder="1" applyAlignment="1">
      <alignment horizontal="left"/>
    </xf>
    <xf numFmtId="0" fontId="0" fillId="38" borderId="36" xfId="0" applyFill="1" applyBorder="1" applyAlignment="1">
      <alignment horizontal="center"/>
    </xf>
    <xf numFmtId="0" fontId="65" fillId="38" borderId="36" xfId="0" applyFont="1" applyFill="1" applyBorder="1" applyAlignment="1">
      <alignment horizontal="center"/>
    </xf>
    <xf numFmtId="14" fontId="65" fillId="38" borderId="36" xfId="0" applyNumberFormat="1" applyFont="1" applyFill="1" applyBorder="1" applyAlignment="1">
      <alignment horizontal="center"/>
    </xf>
    <xf numFmtId="0" fontId="65" fillId="52" borderId="36" xfId="0" applyFont="1" applyFill="1" applyBorder="1" applyAlignment="1">
      <alignment horizontal="center"/>
    </xf>
    <xf numFmtId="0" fontId="65" fillId="38" borderId="63" xfId="0" applyFont="1" applyFill="1" applyBorder="1"/>
    <xf numFmtId="0" fontId="65" fillId="38" borderId="63" xfId="0" applyFont="1" applyFill="1" applyBorder="1" applyAlignment="1">
      <alignment horizontal="left"/>
    </xf>
    <xf numFmtId="0" fontId="65" fillId="38" borderId="63" xfId="0" applyFont="1" applyFill="1" applyBorder="1" applyAlignment="1">
      <alignment horizontal="center"/>
    </xf>
    <xf numFmtId="14" fontId="65" fillId="38" borderId="63" xfId="0" applyNumberFormat="1" applyFont="1" applyFill="1" applyBorder="1" applyAlignment="1">
      <alignment horizontal="center"/>
    </xf>
    <xf numFmtId="14" fontId="65" fillId="52" borderId="63" xfId="0" applyNumberFormat="1" applyFont="1" applyFill="1" applyBorder="1" applyAlignment="1">
      <alignment horizontal="center"/>
    </xf>
    <xf numFmtId="0" fontId="0" fillId="38" borderId="63" xfId="0" applyFill="1" applyBorder="1" applyAlignment="1">
      <alignment horizontal="center"/>
    </xf>
    <xf numFmtId="0" fontId="0" fillId="47" borderId="63" xfId="0" applyFill="1" applyBorder="1"/>
    <xf numFmtId="0" fontId="65" fillId="47" borderId="63" xfId="0" applyFont="1" applyFill="1" applyBorder="1"/>
    <xf numFmtId="0" fontId="0" fillId="0" borderId="63" xfId="0" applyBorder="1"/>
    <xf numFmtId="0" fontId="0" fillId="51" borderId="36" xfId="0" applyFill="1" applyBorder="1" applyAlignment="1">
      <alignment horizontal="center"/>
    </xf>
    <xf numFmtId="0" fontId="0" fillId="51" borderId="63" xfId="0" applyFill="1" applyBorder="1"/>
    <xf numFmtId="0" fontId="65" fillId="51" borderId="63" xfId="0" applyFont="1" applyFill="1" applyBorder="1" applyAlignment="1">
      <alignment horizontal="left"/>
    </xf>
    <xf numFmtId="0" fontId="65" fillId="51" borderId="63" xfId="0" applyFont="1" applyFill="1" applyBorder="1" applyAlignment="1">
      <alignment horizontal="center"/>
    </xf>
    <xf numFmtId="0" fontId="0" fillId="51" borderId="63" xfId="0" applyFill="1" applyBorder="1" applyAlignment="1">
      <alignment horizontal="center"/>
    </xf>
    <xf numFmtId="0" fontId="8" fillId="51" borderId="36" xfId="4" applyFont="1" applyFill="1" applyBorder="1" applyAlignment="1" applyProtection="1">
      <alignment horizontal="center" vertical="center" wrapText="1"/>
    </xf>
    <xf numFmtId="0" fontId="4" fillId="51" borderId="36" xfId="0" applyFont="1" applyFill="1" applyBorder="1" applyAlignment="1">
      <alignment horizontal="center"/>
    </xf>
    <xf numFmtId="14" fontId="4" fillId="51" borderId="36" xfId="0" applyNumberFormat="1" applyFont="1" applyFill="1" applyBorder="1" applyAlignment="1">
      <alignment horizontal="center"/>
    </xf>
    <xf numFmtId="14" fontId="0" fillId="51" borderId="36" xfId="0" applyNumberFormat="1" applyFill="1" applyBorder="1" applyAlignment="1">
      <alignment horizontal="center"/>
    </xf>
    <xf numFmtId="0" fontId="4" fillId="51" borderId="36" xfId="0" applyFont="1" applyFill="1" applyBorder="1"/>
    <xf numFmtId="0" fontId="8" fillId="38" borderId="63" xfId="4" applyFont="1" applyFill="1" applyBorder="1" applyAlignment="1" applyProtection="1">
      <alignment horizontal="center" vertical="center" wrapText="1"/>
    </xf>
    <xf numFmtId="0" fontId="4" fillId="38" borderId="63" xfId="0" applyFont="1" applyFill="1" applyBorder="1" applyAlignment="1">
      <alignment horizontal="center"/>
    </xf>
    <xf numFmtId="0" fontId="8" fillId="38" borderId="63" xfId="0" applyFont="1" applyFill="1" applyBorder="1" applyAlignment="1">
      <alignment horizontal="center"/>
    </xf>
    <xf numFmtId="14" fontId="4" fillId="38" borderId="63" xfId="0" applyNumberFormat="1" applyFont="1" applyFill="1" applyBorder="1" applyAlignment="1">
      <alignment horizontal="center"/>
    </xf>
    <xf numFmtId="14" fontId="0" fillId="38" borderId="63" xfId="0" applyNumberFormat="1" applyFill="1" applyBorder="1" applyAlignment="1">
      <alignment horizontal="center"/>
    </xf>
    <xf numFmtId="0" fontId="4" fillId="38" borderId="63" xfId="0" applyFont="1" applyFill="1" applyBorder="1"/>
    <xf numFmtId="0" fontId="0" fillId="38" borderId="63" xfId="0" applyFill="1" applyBorder="1"/>
    <xf numFmtId="0" fontId="8" fillId="51" borderId="63" xfId="4" applyFont="1" applyFill="1" applyBorder="1" applyAlignment="1" applyProtection="1">
      <alignment horizontal="center" vertical="center" wrapText="1"/>
    </xf>
    <xf numFmtId="0" fontId="4" fillId="51" borderId="63" xfId="0" applyFont="1" applyFill="1" applyBorder="1" applyAlignment="1">
      <alignment horizontal="center"/>
    </xf>
    <xf numFmtId="0" fontId="8" fillId="51" borderId="63" xfId="0" applyFont="1" applyFill="1" applyBorder="1" applyAlignment="1">
      <alignment horizontal="center"/>
    </xf>
    <xf numFmtId="14" fontId="4" fillId="51" borderId="63" xfId="0" applyNumberFormat="1" applyFont="1" applyFill="1" applyBorder="1" applyAlignment="1">
      <alignment horizontal="center"/>
    </xf>
    <xf numFmtId="14" fontId="0" fillId="51" borderId="63" xfId="0" applyNumberFormat="1" applyFill="1" applyBorder="1" applyAlignment="1">
      <alignment horizontal="center"/>
    </xf>
    <xf numFmtId="0" fontId="4" fillId="51" borderId="63" xfId="0" applyFont="1" applyFill="1" applyBorder="1"/>
    <xf numFmtId="166" fontId="0" fillId="52" borderId="10" xfId="0" applyNumberFormat="1" applyFill="1" applyBorder="1" applyAlignment="1">
      <alignment horizontal="center"/>
    </xf>
    <xf numFmtId="2" fontId="70" fillId="38" borderId="11" xfId="112" applyNumberFormat="1" applyFont="1" applyFill="1" applyBorder="1" applyAlignment="1">
      <alignment horizontal="center"/>
    </xf>
    <xf numFmtId="2" fontId="70" fillId="51" borderId="11" xfId="112" applyNumberFormat="1" applyFont="1" applyFill="1" applyBorder="1" applyAlignment="1">
      <alignment horizontal="center"/>
    </xf>
    <xf numFmtId="0" fontId="0" fillId="52" borderId="10" xfId="0" applyFill="1" applyBorder="1"/>
    <xf numFmtId="166" fontId="0" fillId="52" borderId="11" xfId="0" applyNumberFormat="1" applyFill="1" applyBorder="1" applyAlignment="1">
      <alignment horizontal="center"/>
    </xf>
    <xf numFmtId="2" fontId="70" fillId="52" borderId="10" xfId="112" applyNumberFormat="1" applyFont="1" applyFill="1" applyBorder="1" applyAlignment="1">
      <alignment horizontal="center"/>
    </xf>
    <xf numFmtId="1" fontId="0" fillId="51" borderId="10" xfId="0" applyNumberFormat="1" applyFill="1" applyBorder="1" applyAlignment="1">
      <alignment horizontal="center"/>
    </xf>
    <xf numFmtId="166" fontId="0" fillId="53" borderId="11" xfId="0" applyNumberFormat="1" applyFill="1" applyBorder="1" applyAlignment="1">
      <alignment horizontal="center"/>
    </xf>
    <xf numFmtId="2" fontId="70" fillId="53" borderId="10" xfId="112" applyNumberFormat="1" applyFont="1" applyFill="1" applyBorder="1" applyAlignment="1">
      <alignment horizontal="center"/>
    </xf>
    <xf numFmtId="0" fontId="0" fillId="53" borderId="10" xfId="0" applyFill="1" applyBorder="1"/>
    <xf numFmtId="0" fontId="8" fillId="51" borderId="13" xfId="4" applyFont="1" applyFill="1" applyBorder="1" applyAlignment="1" applyProtection="1">
      <alignment horizontal="center" vertical="center" wrapText="1"/>
    </xf>
    <xf numFmtId="0" fontId="5" fillId="52" borderId="10" xfId="0" applyFont="1" applyFill="1" applyBorder="1"/>
    <xf numFmtId="0" fontId="65" fillId="56" borderId="10" xfId="0" applyFont="1" applyFill="1" applyBorder="1" applyAlignment="1">
      <alignment horizontal="center"/>
    </xf>
    <xf numFmtId="0" fontId="65" fillId="55" borderId="10" xfId="0" applyFont="1" applyFill="1" applyBorder="1" applyAlignment="1">
      <alignment horizontal="center"/>
    </xf>
    <xf numFmtId="0" fontId="65" fillId="58" borderId="10" xfId="0" applyFont="1" applyFill="1" applyBorder="1" applyAlignment="1">
      <alignment horizontal="center"/>
    </xf>
    <xf numFmtId="0" fontId="65" fillId="57" borderId="10" xfId="0" applyFont="1" applyFill="1" applyBorder="1" applyAlignment="1">
      <alignment horizontal="center"/>
    </xf>
    <xf numFmtId="0" fontId="65" fillId="59" borderId="10" xfId="0" applyFont="1" applyFill="1" applyBorder="1" applyAlignment="1">
      <alignment horizontal="center"/>
    </xf>
    <xf numFmtId="0" fontId="65" fillId="60" borderId="10" xfId="0" applyFont="1" applyFill="1" applyBorder="1" applyAlignment="1">
      <alignment horizontal="center"/>
    </xf>
    <xf numFmtId="0" fontId="65" fillId="62" borderId="10" xfId="0" applyFont="1" applyFill="1" applyBorder="1" applyAlignment="1">
      <alignment horizontal="center"/>
    </xf>
    <xf numFmtId="0" fontId="65" fillId="63" borderId="10" xfId="0" applyFont="1" applyFill="1" applyBorder="1" applyAlignment="1">
      <alignment horizontal="center"/>
    </xf>
    <xf numFmtId="0" fontId="65" fillId="64" borderId="10" xfId="0" applyFont="1" applyFill="1" applyBorder="1" applyAlignment="1">
      <alignment horizontal="center"/>
    </xf>
    <xf numFmtId="2" fontId="71" fillId="56" borderId="10" xfId="0" applyNumberFormat="1" applyFont="1" applyFill="1" applyBorder="1" applyAlignment="1">
      <alignment horizontal="center"/>
    </xf>
    <xf numFmtId="2" fontId="71" fillId="55" borderId="10" xfId="0" applyNumberFormat="1" applyFont="1" applyFill="1" applyBorder="1" applyAlignment="1">
      <alignment horizontal="center"/>
    </xf>
    <xf numFmtId="2" fontId="71" fillId="58" borderId="10" xfId="0" applyNumberFormat="1" applyFont="1" applyFill="1" applyBorder="1" applyAlignment="1">
      <alignment horizontal="center"/>
    </xf>
    <xf numFmtId="2" fontId="71" fillId="57" borderId="10" xfId="0" applyNumberFormat="1" applyFont="1" applyFill="1" applyBorder="1" applyAlignment="1">
      <alignment horizontal="center"/>
    </xf>
    <xf numFmtId="2" fontId="71" fillId="59" borderId="10" xfId="0" applyNumberFormat="1" applyFont="1" applyFill="1" applyBorder="1" applyAlignment="1">
      <alignment horizontal="center"/>
    </xf>
    <xf numFmtId="2" fontId="71" fillId="65" borderId="10" xfId="0" applyNumberFormat="1" applyFont="1" applyFill="1" applyBorder="1" applyAlignment="1">
      <alignment horizontal="center"/>
    </xf>
    <xf numFmtId="0" fontId="5" fillId="66" borderId="10" xfId="0" applyFont="1" applyFill="1" applyBorder="1"/>
    <xf numFmtId="0" fontId="5" fillId="61" borderId="10" xfId="0" applyFont="1" applyFill="1" applyBorder="1"/>
    <xf numFmtId="0" fontId="63" fillId="0" borderId="0" xfId="0" applyFont="1" applyAlignment="1">
      <alignment horizontal="center"/>
    </xf>
    <xf numFmtId="0" fontId="63" fillId="0" borderId="0" xfId="0" applyFont="1"/>
    <xf numFmtId="0" fontId="0" fillId="54" borderId="12" xfId="0" applyFill="1" applyBorder="1"/>
    <xf numFmtId="0" fontId="0" fillId="0" borderId="12" xfId="0" applyBorder="1"/>
    <xf numFmtId="14" fontId="0" fillId="0" borderId="0" xfId="0" applyNumberFormat="1"/>
    <xf numFmtId="0" fontId="0" fillId="0" borderId="54" xfId="0" applyBorder="1"/>
    <xf numFmtId="0" fontId="65" fillId="51" borderId="63" xfId="0" applyFont="1" applyFill="1" applyBorder="1"/>
    <xf numFmtId="14" fontId="65" fillId="51" borderId="63" xfId="0" applyNumberFormat="1" applyFont="1" applyFill="1" applyBorder="1" applyAlignment="1">
      <alignment horizontal="center"/>
    </xf>
    <xf numFmtId="0" fontId="65" fillId="67" borderId="36" xfId="0" applyFont="1" applyFill="1" applyBorder="1" applyAlignment="1">
      <alignment horizontal="center"/>
    </xf>
    <xf numFmtId="0" fontId="65" fillId="67" borderId="10" xfId="0" applyFont="1" applyFill="1" applyBorder="1" applyAlignment="1">
      <alignment horizontal="center"/>
    </xf>
    <xf numFmtId="0" fontId="65" fillId="51" borderId="53" xfId="0" applyFont="1" applyFill="1" applyBorder="1"/>
    <xf numFmtId="0" fontId="65" fillId="51" borderId="53" xfId="0" applyFont="1" applyFill="1" applyBorder="1" applyAlignment="1">
      <alignment horizontal="left"/>
    </xf>
    <xf numFmtId="0" fontId="65" fillId="51" borderId="53" xfId="0" applyFont="1" applyFill="1" applyBorder="1" applyAlignment="1">
      <alignment horizontal="center"/>
    </xf>
    <xf numFmtId="14" fontId="65" fillId="51" borderId="53" xfId="0" applyNumberFormat="1" applyFont="1" applyFill="1" applyBorder="1" applyAlignment="1">
      <alignment horizontal="center"/>
    </xf>
    <xf numFmtId="0" fontId="65" fillId="51" borderId="56" xfId="0" applyFont="1" applyFill="1" applyBorder="1" applyAlignment="1">
      <alignment horizontal="center"/>
    </xf>
    <xf numFmtId="0" fontId="65" fillId="58" borderId="53" xfId="0" applyFont="1" applyFill="1" applyBorder="1" applyAlignment="1">
      <alignment horizontal="center"/>
    </xf>
    <xf numFmtId="0" fontId="65" fillId="63" borderId="53" xfId="0" applyFont="1" applyFill="1" applyBorder="1" applyAlignment="1">
      <alignment horizontal="center"/>
    </xf>
    <xf numFmtId="2" fontId="71" fillId="58" borderId="53" xfId="0" applyNumberFormat="1" applyFont="1" applyFill="1" applyBorder="1" applyAlignment="1">
      <alignment horizontal="center"/>
    </xf>
    <xf numFmtId="0" fontId="5" fillId="66" borderId="53" xfId="0" applyFont="1" applyFill="1" applyBorder="1"/>
    <xf numFmtId="0" fontId="0" fillId="47" borderId="53" xfId="0" applyFill="1" applyBorder="1"/>
    <xf numFmtId="0" fontId="65" fillId="47" borderId="53" xfId="0" applyFont="1" applyFill="1" applyBorder="1"/>
    <xf numFmtId="0" fontId="0" fillId="0" borderId="53" xfId="0" applyBorder="1"/>
    <xf numFmtId="0" fontId="65" fillId="58" borderId="36" xfId="0" applyFont="1" applyFill="1" applyBorder="1" applyAlignment="1">
      <alignment horizontal="center"/>
    </xf>
    <xf numFmtId="0" fontId="65" fillId="63" borderId="36" xfId="0" applyFont="1" applyFill="1" applyBorder="1" applyAlignment="1">
      <alignment horizontal="center"/>
    </xf>
    <xf numFmtId="2" fontId="71" fillId="58" borderId="36" xfId="0" applyNumberFormat="1" applyFont="1" applyFill="1" applyBorder="1" applyAlignment="1">
      <alignment horizontal="center"/>
    </xf>
    <xf numFmtId="0" fontId="5" fillId="61" borderId="36" xfId="0" applyFont="1" applyFill="1" applyBorder="1"/>
    <xf numFmtId="0" fontId="65" fillId="53" borderId="53" xfId="0" applyFont="1" applyFill="1" applyBorder="1" applyAlignment="1">
      <alignment horizontal="center"/>
    </xf>
    <xf numFmtId="14" fontId="65" fillId="52" borderId="36" xfId="0" applyNumberFormat="1" applyFont="1" applyFill="1" applyBorder="1" applyAlignment="1">
      <alignment horizontal="center"/>
    </xf>
    <xf numFmtId="14" fontId="65" fillId="52" borderId="36" xfId="0" applyNumberFormat="1" applyFont="1" applyFill="1" applyBorder="1" applyAlignment="1">
      <alignment horizontal="center" vertical="center"/>
    </xf>
    <xf numFmtId="0" fontId="5" fillId="52" borderId="36" xfId="0" applyFont="1" applyFill="1" applyBorder="1"/>
    <xf numFmtId="165" fontId="65" fillId="38" borderId="36" xfId="0" applyNumberFormat="1" applyFont="1" applyFill="1" applyBorder="1" applyAlignment="1">
      <alignment horizontal="center"/>
    </xf>
    <xf numFmtId="165" fontId="0" fillId="47" borderId="36" xfId="0" applyNumberFormat="1" applyFill="1" applyBorder="1" applyAlignment="1">
      <alignment horizontal="center"/>
    </xf>
    <xf numFmtId="2" fontId="0" fillId="47" borderId="36" xfId="0" applyNumberFormat="1" applyFill="1" applyBorder="1" applyAlignment="1">
      <alignment horizontal="center"/>
    </xf>
    <xf numFmtId="0" fontId="65" fillId="60" borderId="63" xfId="0" applyFont="1" applyFill="1" applyBorder="1" applyAlignment="1">
      <alignment horizontal="center"/>
    </xf>
    <xf numFmtId="0" fontId="65" fillId="64" borderId="63" xfId="0" applyFont="1" applyFill="1" applyBorder="1" applyAlignment="1">
      <alignment horizontal="center"/>
    </xf>
    <xf numFmtId="2" fontId="71" fillId="65" borderId="63" xfId="0" applyNumberFormat="1" applyFont="1" applyFill="1" applyBorder="1" applyAlignment="1">
      <alignment horizontal="center"/>
    </xf>
    <xf numFmtId="0" fontId="5" fillId="61" borderId="63" xfId="0" applyFont="1" applyFill="1" applyBorder="1"/>
    <xf numFmtId="165" fontId="65" fillId="38" borderId="63" xfId="0" applyNumberFormat="1" applyFont="1" applyFill="1" applyBorder="1" applyAlignment="1">
      <alignment horizontal="center"/>
    </xf>
    <xf numFmtId="166" fontId="65" fillId="38" borderId="63" xfId="0" applyNumberFormat="1" applyFont="1" applyFill="1" applyBorder="1" applyAlignment="1">
      <alignment horizontal="center"/>
    </xf>
    <xf numFmtId="0" fontId="65" fillId="43" borderId="63" xfId="0" applyFont="1" applyFill="1" applyBorder="1" applyAlignment="1">
      <alignment horizontal="center"/>
    </xf>
    <xf numFmtId="165" fontId="0" fillId="47" borderId="63" xfId="0" applyNumberFormat="1" applyFill="1" applyBorder="1" applyAlignment="1">
      <alignment horizontal="center"/>
    </xf>
    <xf numFmtId="2" fontId="0" fillId="47" borderId="63" xfId="0" applyNumberFormat="1" applyFill="1" applyBorder="1" applyAlignment="1">
      <alignment horizontal="center"/>
    </xf>
    <xf numFmtId="14" fontId="65" fillId="53" borderId="36" xfId="0" applyNumberFormat="1" applyFont="1" applyFill="1" applyBorder="1" applyAlignment="1">
      <alignment horizontal="center" vertical="center"/>
    </xf>
    <xf numFmtId="14" fontId="65" fillId="52" borderId="62" xfId="0" applyNumberFormat="1" applyFont="1" applyFill="1" applyBorder="1" applyAlignment="1">
      <alignment horizontal="center"/>
    </xf>
    <xf numFmtId="165" fontId="65" fillId="38" borderId="62" xfId="0" applyNumberFormat="1" applyFont="1" applyFill="1" applyBorder="1" applyAlignment="1">
      <alignment horizontal="center"/>
    </xf>
    <xf numFmtId="0" fontId="65" fillId="53" borderId="63" xfId="0" applyFont="1" applyFill="1" applyBorder="1" applyAlignment="1">
      <alignment horizontal="center"/>
    </xf>
    <xf numFmtId="0" fontId="65" fillId="67" borderId="63" xfId="0" applyFont="1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6" xfId="0" applyBorder="1" applyAlignment="1">
      <alignment horizontal="left"/>
    </xf>
    <xf numFmtId="0" fontId="65" fillId="51" borderId="62" xfId="0" applyFont="1" applyFill="1" applyBorder="1"/>
    <xf numFmtId="14" fontId="65" fillId="51" borderId="62" xfId="0" applyNumberFormat="1" applyFont="1" applyFill="1" applyBorder="1" applyAlignment="1">
      <alignment horizontal="center"/>
    </xf>
    <xf numFmtId="0" fontId="65" fillId="60" borderId="62" xfId="0" applyFont="1" applyFill="1" applyBorder="1" applyAlignment="1">
      <alignment horizontal="center"/>
    </xf>
    <xf numFmtId="0" fontId="65" fillId="64" borderId="62" xfId="0" applyFont="1" applyFill="1" applyBorder="1" applyAlignment="1">
      <alignment horizontal="center"/>
    </xf>
    <xf numFmtId="2" fontId="71" fillId="65" borderId="62" xfId="0" applyNumberFormat="1" applyFont="1" applyFill="1" applyBorder="1" applyAlignment="1">
      <alignment horizontal="center"/>
    </xf>
    <xf numFmtId="14" fontId="65" fillId="53" borderId="62" xfId="0" applyNumberFormat="1" applyFont="1" applyFill="1" applyBorder="1" applyAlignment="1">
      <alignment horizontal="center" vertical="center"/>
    </xf>
    <xf numFmtId="0" fontId="65" fillId="67" borderId="62" xfId="0" applyFont="1" applyFill="1" applyBorder="1" applyAlignment="1">
      <alignment horizontal="center"/>
    </xf>
    <xf numFmtId="0" fontId="5" fillId="66" borderId="10" xfId="0" applyFont="1" applyFill="1" applyBorder="1" applyAlignment="1">
      <alignment horizontal="center"/>
    </xf>
    <xf numFmtId="0" fontId="5" fillId="61" borderId="10" xfId="0" applyFont="1" applyFill="1" applyBorder="1" applyAlignment="1">
      <alignment horizontal="center"/>
    </xf>
    <xf numFmtId="0" fontId="5" fillId="61" borderId="63" xfId="0" applyFont="1" applyFill="1" applyBorder="1" applyAlignment="1">
      <alignment horizontal="center"/>
    </xf>
    <xf numFmtId="0" fontId="8" fillId="38" borderId="62" xfId="4" applyFont="1" applyFill="1" applyBorder="1" applyAlignment="1" applyProtection="1">
      <alignment horizontal="center" vertical="center" wrapText="1"/>
    </xf>
    <xf numFmtId="0" fontId="4" fillId="38" borderId="62" xfId="0" applyFont="1" applyFill="1" applyBorder="1" applyAlignment="1">
      <alignment horizontal="center"/>
    </xf>
    <xf numFmtId="0" fontId="8" fillId="38" borderId="62" xfId="0" applyFont="1" applyFill="1" applyBorder="1" applyAlignment="1">
      <alignment horizontal="center"/>
    </xf>
    <xf numFmtId="14" fontId="4" fillId="38" borderId="62" xfId="0" applyNumberFormat="1" applyFont="1" applyFill="1" applyBorder="1" applyAlignment="1">
      <alignment horizontal="center"/>
    </xf>
    <xf numFmtId="14" fontId="0" fillId="38" borderId="62" xfId="0" applyNumberFormat="1" applyFill="1" applyBorder="1" applyAlignment="1">
      <alignment horizontal="center"/>
    </xf>
    <xf numFmtId="0" fontId="4" fillId="38" borderId="62" xfId="0" applyFont="1" applyFill="1" applyBorder="1"/>
    <xf numFmtId="0" fontId="0" fillId="38" borderId="62" xfId="0" applyFill="1" applyBorder="1"/>
    <xf numFmtId="0" fontId="8" fillId="38" borderId="36" xfId="4" applyFont="1" applyFill="1" applyBorder="1" applyAlignment="1" applyProtection="1">
      <alignment horizontal="center" vertical="center" wrapText="1"/>
    </xf>
    <xf numFmtId="0" fontId="4" fillId="38" borderId="36" xfId="0" applyFont="1" applyFill="1" applyBorder="1" applyAlignment="1">
      <alignment horizontal="center"/>
    </xf>
    <xf numFmtId="0" fontId="8" fillId="38" borderId="36" xfId="0" applyFont="1" applyFill="1" applyBorder="1" applyAlignment="1">
      <alignment horizontal="center"/>
    </xf>
    <xf numFmtId="14" fontId="4" fillId="38" borderId="36" xfId="0" applyNumberFormat="1" applyFont="1" applyFill="1" applyBorder="1" applyAlignment="1">
      <alignment horizontal="center"/>
    </xf>
    <xf numFmtId="14" fontId="0" fillId="38" borderId="36" xfId="0" applyNumberFormat="1" applyFill="1" applyBorder="1" applyAlignment="1">
      <alignment horizontal="center"/>
    </xf>
    <xf numFmtId="0" fontId="4" fillId="38" borderId="36" xfId="0" applyFont="1" applyFill="1" applyBorder="1"/>
    <xf numFmtId="0" fontId="0" fillId="38" borderId="36" xfId="0" applyFill="1" applyBorder="1"/>
    <xf numFmtId="0" fontId="24" fillId="38" borderId="36" xfId="0" applyFont="1" applyFill="1" applyBorder="1"/>
    <xf numFmtId="0" fontId="4" fillId="38" borderId="36" xfId="0" applyFont="1" applyFill="1" applyBorder="1" applyAlignment="1">
      <alignment horizontal="center" vertical="center"/>
    </xf>
    <xf numFmtId="2" fontId="4" fillId="38" borderId="36" xfId="0" applyNumberFormat="1" applyFont="1" applyFill="1" applyBorder="1" applyAlignment="1">
      <alignment horizontal="center" vertical="center"/>
    </xf>
    <xf numFmtId="2" fontId="4" fillId="38" borderId="36" xfId="0" applyNumberFormat="1" applyFont="1" applyFill="1" applyBorder="1"/>
    <xf numFmtId="0" fontId="8" fillId="38" borderId="36" xfId="0" applyFont="1" applyFill="1" applyBorder="1"/>
    <xf numFmtId="0" fontId="24" fillId="38" borderId="63" xfId="0" applyFont="1" applyFill="1" applyBorder="1"/>
    <xf numFmtId="0" fontId="4" fillId="38" borderId="63" xfId="0" applyFont="1" applyFill="1" applyBorder="1" applyAlignment="1">
      <alignment horizontal="center" vertical="center"/>
    </xf>
    <xf numFmtId="2" fontId="4" fillId="38" borderId="63" xfId="0" applyNumberFormat="1" applyFont="1" applyFill="1" applyBorder="1" applyAlignment="1">
      <alignment horizontal="center" vertical="center"/>
    </xf>
    <xf numFmtId="2" fontId="4" fillId="38" borderId="63" xfId="0" applyNumberFormat="1" applyFont="1" applyFill="1" applyBorder="1"/>
    <xf numFmtId="0" fontId="8" fillId="38" borderId="63" xfId="0" applyFont="1" applyFill="1" applyBorder="1"/>
    <xf numFmtId="0" fontId="24" fillId="51" borderId="36" xfId="0" applyFont="1" applyFill="1" applyBorder="1"/>
    <xf numFmtId="0" fontId="4" fillId="51" borderId="36" xfId="0" applyFont="1" applyFill="1" applyBorder="1" applyAlignment="1">
      <alignment horizontal="center" vertical="center"/>
    </xf>
    <xf numFmtId="2" fontId="4" fillId="51" borderId="36" xfId="0" applyNumberFormat="1" applyFont="1" applyFill="1" applyBorder="1" applyAlignment="1">
      <alignment horizontal="center" vertical="center"/>
    </xf>
    <xf numFmtId="2" fontId="4" fillId="51" borderId="36" xfId="0" applyNumberFormat="1" applyFont="1" applyFill="1" applyBorder="1"/>
    <xf numFmtId="0" fontId="8" fillId="51" borderId="36" xfId="0" applyFont="1" applyFill="1" applyBorder="1"/>
    <xf numFmtId="0" fontId="24" fillId="38" borderId="62" xfId="0" applyFont="1" applyFill="1" applyBorder="1"/>
    <xf numFmtId="0" fontId="4" fillId="38" borderId="62" xfId="0" applyFont="1" applyFill="1" applyBorder="1" applyAlignment="1">
      <alignment horizontal="center" vertical="center"/>
    </xf>
    <xf numFmtId="2" fontId="4" fillId="38" borderId="62" xfId="0" applyNumberFormat="1" applyFont="1" applyFill="1" applyBorder="1" applyAlignment="1">
      <alignment horizontal="center" vertical="center"/>
    </xf>
    <xf numFmtId="2" fontId="4" fillId="38" borderId="62" xfId="0" applyNumberFormat="1" applyFont="1" applyFill="1" applyBorder="1"/>
    <xf numFmtId="0" fontId="8" fillId="38" borderId="62" xfId="0" applyFont="1" applyFill="1" applyBorder="1"/>
    <xf numFmtId="0" fontId="24" fillId="51" borderId="63" xfId="0" applyFont="1" applyFill="1" applyBorder="1"/>
    <xf numFmtId="0" fontId="4" fillId="51" borderId="63" xfId="0" applyFont="1" applyFill="1" applyBorder="1" applyAlignment="1">
      <alignment horizontal="center" vertical="center"/>
    </xf>
    <xf numFmtId="2" fontId="4" fillId="51" borderId="63" xfId="0" applyNumberFormat="1" applyFont="1" applyFill="1" applyBorder="1" applyAlignment="1">
      <alignment horizontal="center" vertical="center"/>
    </xf>
    <xf numFmtId="2" fontId="4" fillId="51" borderId="63" xfId="0" applyNumberFormat="1" applyFont="1" applyFill="1" applyBorder="1"/>
    <xf numFmtId="0" fontId="8" fillId="51" borderId="63" xfId="0" applyFont="1" applyFill="1" applyBorder="1"/>
    <xf numFmtId="0" fontId="8" fillId="51" borderId="53" xfId="4" applyFont="1" applyFill="1" applyBorder="1" applyAlignment="1" applyProtection="1">
      <alignment horizontal="center" vertical="center" wrapText="1"/>
    </xf>
    <xf numFmtId="0" fontId="0" fillId="51" borderId="53" xfId="0" applyFill="1" applyBorder="1"/>
    <xf numFmtId="0" fontId="0" fillId="51" borderId="10" xfId="0" applyFill="1" applyBorder="1" applyProtection="1">
      <protection locked="0"/>
    </xf>
    <xf numFmtId="0" fontId="8" fillId="38" borderId="56" xfId="4" applyFont="1" applyFill="1" applyBorder="1" applyAlignment="1" applyProtection="1">
      <alignment horizontal="center" vertical="center" wrapText="1"/>
    </xf>
    <xf numFmtId="0" fontId="0" fillId="38" borderId="56" xfId="0" applyFill="1" applyBorder="1"/>
    <xf numFmtId="0" fontId="0" fillId="47" borderId="65" xfId="0" applyFill="1" applyBorder="1"/>
    <xf numFmtId="0" fontId="8" fillId="51" borderId="56" xfId="4" applyFont="1" applyFill="1" applyBorder="1" applyAlignment="1" applyProtection="1">
      <alignment horizontal="center" vertical="center" wrapText="1"/>
    </xf>
    <xf numFmtId="0" fontId="0" fillId="51" borderId="56" xfId="0" applyFill="1" applyBorder="1"/>
    <xf numFmtId="0" fontId="0" fillId="51" borderId="36" xfId="0" applyFill="1" applyBorder="1" applyProtection="1">
      <protection locked="0"/>
    </xf>
    <xf numFmtId="0" fontId="0" fillId="47" borderId="66" xfId="0" applyFill="1" applyBorder="1"/>
    <xf numFmtId="0" fontId="0" fillId="38" borderId="67" xfId="0" applyFill="1" applyBorder="1"/>
    <xf numFmtId="0" fontId="8" fillId="51" borderId="67" xfId="4" applyFont="1" applyFill="1" applyBorder="1" applyAlignment="1" applyProtection="1">
      <alignment horizontal="center" vertical="center" wrapText="1"/>
    </xf>
    <xf numFmtId="0" fontId="65" fillId="56" borderId="36" xfId="0" applyFont="1" applyFill="1" applyBorder="1" applyAlignment="1">
      <alignment horizontal="center"/>
    </xf>
    <xf numFmtId="0" fontId="65" fillId="62" borderId="36" xfId="0" applyFont="1" applyFill="1" applyBorder="1" applyAlignment="1">
      <alignment horizontal="center"/>
    </xf>
    <xf numFmtId="2" fontId="71" fillId="56" borderId="36" xfId="0" applyNumberFormat="1" applyFont="1" applyFill="1" applyBorder="1" applyAlignment="1">
      <alignment horizontal="center"/>
    </xf>
    <xf numFmtId="1" fontId="0" fillId="51" borderId="36" xfId="0" applyNumberFormat="1" applyFill="1" applyBorder="1" applyAlignment="1">
      <alignment horizontal="center"/>
    </xf>
    <xf numFmtId="166" fontId="0" fillId="51" borderId="36" xfId="0" applyNumberFormat="1" applyFill="1" applyBorder="1" applyAlignment="1">
      <alignment horizontal="center"/>
    </xf>
    <xf numFmtId="166" fontId="0" fillId="53" borderId="58" xfId="0" applyNumberFormat="1" applyFill="1" applyBorder="1" applyAlignment="1">
      <alignment horizontal="center"/>
    </xf>
    <xf numFmtId="2" fontId="70" fillId="51" borderId="58" xfId="112" applyNumberFormat="1" applyFont="1" applyFill="1" applyBorder="1" applyAlignment="1">
      <alignment horizontal="center"/>
    </xf>
    <xf numFmtId="2" fontId="70" fillId="53" borderId="36" xfId="112" applyNumberFormat="1" applyFont="1" applyFill="1" applyBorder="1" applyAlignment="1">
      <alignment horizontal="center"/>
    </xf>
    <xf numFmtId="0" fontId="8" fillId="51" borderId="68" xfId="4" applyFont="1" applyFill="1" applyBorder="1" applyAlignment="1" applyProtection="1">
      <alignment horizontal="center" vertical="center" wrapText="1"/>
    </xf>
    <xf numFmtId="1" fontId="0" fillId="51" borderId="63" xfId="0" applyNumberFormat="1" applyFill="1" applyBorder="1" applyAlignment="1">
      <alignment horizontal="center"/>
    </xf>
    <xf numFmtId="166" fontId="0" fillId="51" borderId="63" xfId="0" applyNumberFormat="1" applyFill="1" applyBorder="1" applyAlignment="1">
      <alignment horizontal="center"/>
    </xf>
    <xf numFmtId="166" fontId="0" fillId="53" borderId="69" xfId="0" applyNumberFormat="1" applyFill="1" applyBorder="1" applyAlignment="1">
      <alignment horizontal="center"/>
    </xf>
    <xf numFmtId="2" fontId="70" fillId="51" borderId="69" xfId="112" applyNumberFormat="1" applyFont="1" applyFill="1" applyBorder="1" applyAlignment="1">
      <alignment horizontal="center"/>
    </xf>
    <xf numFmtId="2" fontId="70" fillId="53" borderId="63" xfId="112" applyNumberFormat="1" applyFont="1" applyFill="1" applyBorder="1" applyAlignment="1">
      <alignment horizontal="center"/>
    </xf>
    <xf numFmtId="0" fontId="5" fillId="66" borderId="36" xfId="0" applyFont="1" applyFill="1" applyBorder="1"/>
    <xf numFmtId="0" fontId="0" fillId="52" borderId="36" xfId="0" applyFill="1" applyBorder="1"/>
    <xf numFmtId="166" fontId="0" fillId="38" borderId="36" xfId="0" applyNumberFormat="1" applyFill="1" applyBorder="1" applyAlignment="1">
      <alignment horizontal="center"/>
    </xf>
    <xf numFmtId="0" fontId="5" fillId="52" borderId="62" xfId="0" applyFont="1" applyFill="1" applyBorder="1"/>
    <xf numFmtId="0" fontId="0" fillId="52" borderId="62" xfId="0" applyFill="1" applyBorder="1"/>
    <xf numFmtId="166" fontId="0" fillId="38" borderId="62" xfId="0" applyNumberFormat="1" applyFill="1" applyBorder="1" applyAlignment="1">
      <alignment horizontal="center"/>
    </xf>
    <xf numFmtId="2" fontId="70" fillId="38" borderId="62" xfId="112" applyNumberFormat="1" applyFont="1" applyFill="1" applyBorder="1" applyAlignment="1">
      <alignment horizontal="center"/>
    </xf>
    <xf numFmtId="0" fontId="0" fillId="51" borderId="58" xfId="0" applyFill="1" applyBorder="1" applyAlignment="1">
      <alignment horizontal="center"/>
    </xf>
    <xf numFmtId="0" fontId="0" fillId="53" borderId="36" xfId="0" applyFill="1" applyBorder="1"/>
    <xf numFmtId="0" fontId="0" fillId="51" borderId="11" xfId="0" applyFill="1" applyBorder="1" applyAlignment="1">
      <alignment horizontal="center"/>
    </xf>
    <xf numFmtId="1" fontId="0" fillId="38" borderId="63" xfId="0" applyNumberFormat="1" applyFill="1" applyBorder="1" applyAlignment="1">
      <alignment horizontal="center"/>
    </xf>
    <xf numFmtId="166" fontId="0" fillId="38" borderId="63" xfId="0" applyNumberFormat="1" applyFill="1" applyBorder="1" applyAlignment="1">
      <alignment horizontal="center"/>
    </xf>
    <xf numFmtId="166" fontId="0" fillId="51" borderId="53" xfId="0" applyNumberFormat="1" applyFill="1" applyBorder="1" applyAlignment="1">
      <alignment horizontal="center"/>
    </xf>
    <xf numFmtId="166" fontId="0" fillId="52" borderId="64" xfId="0" applyNumberFormat="1" applyFill="1" applyBorder="1" applyAlignment="1">
      <alignment horizontal="center"/>
    </xf>
    <xf numFmtId="2" fontId="70" fillId="52" borderId="62" xfId="112" applyNumberFormat="1" applyFont="1" applyFill="1" applyBorder="1" applyAlignment="1">
      <alignment horizontal="center"/>
    </xf>
    <xf numFmtId="0" fontId="0" fillId="52" borderId="63" xfId="0" applyFill="1" applyBorder="1"/>
    <xf numFmtId="166" fontId="0" fillId="52" borderId="69" xfId="0" applyNumberFormat="1" applyFill="1" applyBorder="1" applyAlignment="1">
      <alignment horizontal="center"/>
    </xf>
    <xf numFmtId="166" fontId="0" fillId="52" borderId="58" xfId="0" applyNumberFormat="1" applyFill="1" applyBorder="1" applyAlignment="1">
      <alignment horizontal="center"/>
    </xf>
    <xf numFmtId="2" fontId="70" fillId="38" borderId="58" xfId="112" applyNumberFormat="1" applyFont="1" applyFill="1" applyBorder="1" applyAlignment="1">
      <alignment horizontal="center"/>
    </xf>
    <xf numFmtId="2" fontId="70" fillId="52" borderId="36" xfId="112" applyNumberFormat="1" applyFont="1" applyFill="1" applyBorder="1" applyAlignment="1">
      <alignment horizontal="center"/>
    </xf>
    <xf numFmtId="2" fontId="70" fillId="38" borderId="69" xfId="112" applyNumberFormat="1" applyFont="1" applyFill="1" applyBorder="1" applyAlignment="1">
      <alignment horizontal="center"/>
    </xf>
    <xf numFmtId="2" fontId="70" fillId="52" borderId="63" xfId="112" applyNumberFormat="1" applyFont="1" applyFill="1" applyBorder="1" applyAlignment="1">
      <alignment horizontal="center"/>
    </xf>
    <xf numFmtId="0" fontId="0" fillId="38" borderId="10" xfId="0" applyFill="1" applyBorder="1" applyProtection="1">
      <protection locked="0"/>
    </xf>
    <xf numFmtId="0" fontId="0" fillId="38" borderId="63" xfId="0" applyFill="1" applyBorder="1" applyProtection="1">
      <protection locked="0"/>
    </xf>
    <xf numFmtId="0" fontId="0" fillId="38" borderId="36" xfId="0" applyFill="1" applyBorder="1" applyProtection="1">
      <protection locked="0"/>
    </xf>
    <xf numFmtId="0" fontId="0" fillId="38" borderId="62" xfId="0" applyFill="1" applyBorder="1" applyProtection="1">
      <protection locked="0"/>
    </xf>
    <xf numFmtId="0" fontId="0" fillId="51" borderId="63" xfId="0" applyFill="1" applyBorder="1" applyProtection="1">
      <protection locked="0"/>
    </xf>
    <xf numFmtId="0" fontId="78" fillId="0" borderId="0" xfId="0" applyFont="1" applyAlignment="1">
      <alignment horizontal="left" wrapText="1"/>
    </xf>
    <xf numFmtId="0" fontId="78" fillId="0" borderId="0" xfId="0" applyFont="1" applyAlignment="1">
      <alignment horizontal="left" vertical="center" wrapText="1"/>
    </xf>
    <xf numFmtId="0" fontId="74" fillId="0" borderId="0" xfId="0" applyFont="1" applyAlignment="1">
      <alignment vertical="center" wrapText="1"/>
    </xf>
    <xf numFmtId="0" fontId="79" fillId="0" borderId="0" xfId="0" applyFont="1" applyAlignment="1">
      <alignment horizontal="left" wrapText="1"/>
    </xf>
    <xf numFmtId="0" fontId="80" fillId="0" borderId="0" xfId="0" applyFont="1"/>
    <xf numFmtId="0" fontId="72" fillId="0" borderId="0" xfId="0" applyFont="1" applyAlignment="1">
      <alignment horizontal="center" vertical="center"/>
    </xf>
    <xf numFmtId="0" fontId="5" fillId="0" borderId="10" xfId="0" applyFont="1" applyBorder="1" applyAlignment="1">
      <alignment wrapText="1"/>
    </xf>
    <xf numFmtId="0" fontId="0" fillId="0" borderId="10" xfId="0" applyBorder="1" applyAlignment="1">
      <alignment wrapText="1"/>
    </xf>
    <xf numFmtId="165" fontId="65" fillId="53" borderId="36" xfId="0" applyNumberFormat="1" applyFont="1" applyFill="1" applyBorder="1" applyAlignment="1">
      <alignment horizontal="center" vertical="center"/>
    </xf>
    <xf numFmtId="165" fontId="65" fillId="53" borderId="10" xfId="0" applyNumberFormat="1" applyFont="1" applyFill="1" applyBorder="1" applyAlignment="1">
      <alignment horizontal="center" vertical="center"/>
    </xf>
    <xf numFmtId="165" fontId="0" fillId="51" borderId="36" xfId="0" applyNumberFormat="1" applyFill="1" applyBorder="1" applyAlignment="1">
      <alignment horizontal="center" vertical="center"/>
    </xf>
    <xf numFmtId="165" fontId="0" fillId="51" borderId="10" xfId="0" applyNumberFormat="1" applyFill="1" applyBorder="1" applyAlignment="1">
      <alignment horizontal="center" vertical="center"/>
    </xf>
    <xf numFmtId="165" fontId="0" fillId="51" borderId="53" xfId="0" applyNumberFormat="1" applyFill="1" applyBorder="1" applyAlignment="1">
      <alignment horizontal="center" vertical="center"/>
    </xf>
    <xf numFmtId="165" fontId="0" fillId="51" borderId="63" xfId="0" applyNumberFormat="1" applyFill="1" applyBorder="1" applyAlignment="1">
      <alignment horizontal="center" vertical="center"/>
    </xf>
    <xf numFmtId="165" fontId="0" fillId="51" borderId="62" xfId="0" applyNumberFormat="1" applyFill="1" applyBorder="1" applyAlignment="1">
      <alignment horizontal="center" vertical="center"/>
    </xf>
    <xf numFmtId="166" fontId="0" fillId="51" borderId="10" xfId="0" applyNumberFormat="1" applyFill="1" applyBorder="1" applyAlignment="1">
      <alignment horizontal="center" vertical="center"/>
    </xf>
    <xf numFmtId="166" fontId="0" fillId="51" borderId="62" xfId="0" applyNumberFormat="1" applyFill="1" applyBorder="1" applyAlignment="1">
      <alignment horizontal="center" vertical="center"/>
    </xf>
    <xf numFmtId="165" fontId="0" fillId="38" borderId="10" xfId="0" applyNumberFormat="1" applyFill="1" applyBorder="1" applyAlignment="1">
      <alignment horizontal="center"/>
    </xf>
    <xf numFmtId="165" fontId="0" fillId="38" borderId="63" xfId="0" applyNumberFormat="1" applyFill="1" applyBorder="1" applyAlignment="1">
      <alignment horizontal="center"/>
    </xf>
    <xf numFmtId="165" fontId="0" fillId="38" borderId="36" xfId="0" applyNumberFormat="1" applyFill="1" applyBorder="1" applyAlignment="1">
      <alignment horizontal="center"/>
    </xf>
    <xf numFmtId="165" fontId="0" fillId="38" borderId="62" xfId="0" applyNumberFormat="1" applyFill="1" applyBorder="1" applyAlignment="1">
      <alignment horizontal="center"/>
    </xf>
    <xf numFmtId="165" fontId="0" fillId="51" borderId="56" xfId="0" applyNumberFormat="1" applyFill="1" applyBorder="1" applyAlignment="1">
      <alignment horizontal="center"/>
    </xf>
    <xf numFmtId="165" fontId="0" fillId="51" borderId="53" xfId="0" applyNumberFormat="1" applyFill="1" applyBorder="1" applyAlignment="1">
      <alignment horizontal="center"/>
    </xf>
    <xf numFmtId="165" fontId="0" fillId="51" borderId="63" xfId="0" applyNumberFormat="1" applyFill="1" applyBorder="1" applyAlignment="1">
      <alignment horizontal="center"/>
    </xf>
    <xf numFmtId="165" fontId="0" fillId="51" borderId="36" xfId="0" applyNumberFormat="1" applyFill="1" applyBorder="1" applyAlignment="1">
      <alignment horizontal="center"/>
    </xf>
    <xf numFmtId="165" fontId="0" fillId="51" borderId="10" xfId="0" applyNumberFormat="1" applyFill="1" applyBorder="1" applyAlignment="1">
      <alignment horizontal="center"/>
    </xf>
    <xf numFmtId="169" fontId="0" fillId="0" borderId="70" xfId="0" applyNumberFormat="1" applyBorder="1" applyAlignment="1">
      <alignment horizontal="center"/>
    </xf>
    <xf numFmtId="168" fontId="0" fillId="0" borderId="59" xfId="0" applyNumberFormat="1" applyBorder="1"/>
    <xf numFmtId="169" fontId="0" fillId="0" borderId="71" xfId="0" applyNumberFormat="1" applyBorder="1" applyAlignment="1">
      <alignment horizontal="center"/>
    </xf>
    <xf numFmtId="169" fontId="0" fillId="0" borderId="72" xfId="0" applyNumberFormat="1" applyBorder="1" applyAlignment="1">
      <alignment horizontal="center"/>
    </xf>
    <xf numFmtId="168" fontId="0" fillId="0" borderId="60" xfId="0" applyNumberFormat="1" applyBorder="1"/>
    <xf numFmtId="168" fontId="0" fillId="0" borderId="42" xfId="0" applyNumberFormat="1" applyBorder="1"/>
    <xf numFmtId="0" fontId="5" fillId="68" borderId="10" xfId="0" applyFont="1" applyFill="1" applyBorder="1" applyAlignment="1">
      <alignment horizontal="center" vertical="center" wrapText="1"/>
    </xf>
    <xf numFmtId="0" fontId="5" fillId="69" borderId="10" xfId="0" applyFont="1" applyFill="1" applyBorder="1" applyAlignment="1">
      <alignment horizontal="center" vertical="center" wrapText="1"/>
    </xf>
    <xf numFmtId="0" fontId="5" fillId="46" borderId="10" xfId="0" applyFont="1" applyFill="1" applyBorder="1" applyAlignment="1">
      <alignment horizontal="center" vertical="center" wrapText="1"/>
    </xf>
    <xf numFmtId="0" fontId="5" fillId="70" borderId="10" xfId="0" applyFont="1" applyFill="1" applyBorder="1" applyAlignment="1">
      <alignment horizontal="center" vertical="center" wrapText="1"/>
    </xf>
    <xf numFmtId="0" fontId="5" fillId="71" borderId="10" xfId="0" applyFont="1" applyFill="1" applyBorder="1" applyAlignment="1">
      <alignment horizontal="center" vertical="center"/>
    </xf>
    <xf numFmtId="0" fontId="5" fillId="72" borderId="10" xfId="0" applyFont="1" applyFill="1" applyBorder="1" applyAlignment="1">
      <alignment horizontal="center" vertical="center" wrapText="1"/>
    </xf>
    <xf numFmtId="0" fontId="5" fillId="73" borderId="1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46" borderId="38" xfId="0" applyFill="1" applyBorder="1" applyAlignment="1">
      <alignment horizontal="center" wrapText="1"/>
    </xf>
    <xf numFmtId="0" fontId="0" fillId="46" borderId="39" xfId="0" applyFill="1" applyBorder="1" applyAlignment="1">
      <alignment horizontal="center" wrapText="1"/>
    </xf>
    <xf numFmtId="0" fontId="0" fillId="46" borderId="40" xfId="0" applyFill="1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4" fillId="45" borderId="26" xfId="0" applyFont="1" applyFill="1" applyBorder="1" applyAlignment="1">
      <alignment horizontal="center" vertical="center"/>
    </xf>
    <xf numFmtId="0" fontId="0" fillId="45" borderId="25" xfId="0" applyFill="1" applyBorder="1" applyAlignment="1">
      <alignment horizontal="center" vertical="center"/>
    </xf>
    <xf numFmtId="0" fontId="0" fillId="45" borderId="24" xfId="0" applyFill="1" applyBorder="1" applyAlignment="1">
      <alignment horizontal="center" vertical="center"/>
    </xf>
    <xf numFmtId="0" fontId="5" fillId="44" borderId="56" xfId="0" applyFont="1" applyFill="1" applyBorder="1" applyAlignment="1">
      <alignment horizontal="center" vertical="center"/>
    </xf>
    <xf numFmtId="0" fontId="5" fillId="44" borderId="36" xfId="0" applyFont="1" applyFill="1" applyBorder="1" applyAlignment="1">
      <alignment horizontal="center" vertical="center"/>
    </xf>
    <xf numFmtId="0" fontId="5" fillId="44" borderId="53" xfId="0" applyFont="1" applyFill="1" applyBorder="1" applyAlignment="1">
      <alignment horizontal="center" vertical="center" wrapText="1"/>
    </xf>
    <xf numFmtId="0" fontId="5" fillId="44" borderId="56" xfId="0" applyFont="1" applyFill="1" applyBorder="1" applyAlignment="1">
      <alignment horizontal="center" vertical="center" wrapText="1"/>
    </xf>
    <xf numFmtId="0" fontId="5" fillId="44" borderId="36" xfId="0" applyFont="1" applyFill="1" applyBorder="1" applyAlignment="1">
      <alignment horizontal="center" vertical="center" wrapText="1"/>
    </xf>
    <xf numFmtId="0" fontId="72" fillId="44" borderId="11" xfId="0" applyFont="1" applyFill="1" applyBorder="1" applyAlignment="1">
      <alignment horizontal="center" vertical="center" wrapText="1"/>
    </xf>
    <xf numFmtId="0" fontId="5" fillId="44" borderId="10" xfId="0" applyFont="1" applyFill="1" applyBorder="1" applyAlignment="1">
      <alignment horizontal="center" vertical="center" wrapText="1"/>
    </xf>
    <xf numFmtId="0" fontId="72" fillId="44" borderId="11" xfId="0" applyFont="1" applyFill="1" applyBorder="1" applyAlignment="1">
      <alignment horizontal="center" vertical="center"/>
    </xf>
    <xf numFmtId="0" fontId="5" fillId="6" borderId="31" xfId="0" applyFont="1" applyFill="1" applyBorder="1" applyAlignment="1">
      <alignment horizontal="center" vertical="center" wrapText="1"/>
    </xf>
    <xf numFmtId="0" fontId="5" fillId="6" borderId="54" xfId="0" applyFont="1" applyFill="1" applyBorder="1" applyAlignment="1">
      <alignment horizontal="center" vertical="center" wrapText="1"/>
    </xf>
    <xf numFmtId="0" fontId="0" fillId="0" borderId="57" xfId="0" applyBorder="1" applyAlignment="1">
      <alignment horizontal="center"/>
    </xf>
    <xf numFmtId="0" fontId="5" fillId="44" borderId="53" xfId="0" applyFont="1" applyFill="1" applyBorder="1" applyAlignment="1">
      <alignment horizontal="center" vertical="center"/>
    </xf>
    <xf numFmtId="0" fontId="5" fillId="44" borderId="54" xfId="0" applyFont="1" applyFill="1" applyBorder="1" applyAlignment="1">
      <alignment horizontal="center" vertical="center" wrapText="1"/>
    </xf>
    <xf numFmtId="0" fontId="5" fillId="44" borderId="58" xfId="0" applyFont="1" applyFill="1" applyBorder="1" applyAlignment="1">
      <alignment horizontal="center" vertical="center" wrapText="1"/>
    </xf>
    <xf numFmtId="0" fontId="5" fillId="6" borderId="56" xfId="0" applyFont="1" applyFill="1" applyBorder="1" applyAlignment="1">
      <alignment horizontal="center" vertical="center" wrapText="1"/>
    </xf>
    <xf numFmtId="0" fontId="5" fillId="6" borderId="36" xfId="0" applyFont="1" applyFill="1" applyBorder="1" applyAlignment="1">
      <alignment horizontal="center" vertical="center" wrapText="1"/>
    </xf>
    <xf numFmtId="0" fontId="5" fillId="6" borderId="32" xfId="0" applyFont="1" applyFill="1" applyBorder="1" applyAlignment="1">
      <alignment horizontal="center" vertical="center" wrapText="1"/>
    </xf>
    <xf numFmtId="0" fontId="0" fillId="0" borderId="53" xfId="0" applyBorder="1" applyAlignment="1">
      <alignment horizontal="center"/>
    </xf>
    <xf numFmtId="0" fontId="9" fillId="6" borderId="51" xfId="0" applyFont="1" applyFill="1" applyBorder="1" applyAlignment="1">
      <alignment horizontal="center" vertical="center" wrapText="1"/>
    </xf>
    <xf numFmtId="0" fontId="9" fillId="6" borderId="55" xfId="0" applyFont="1" applyFill="1" applyBorder="1" applyAlignment="1">
      <alignment horizontal="center" vertical="center" wrapText="1"/>
    </xf>
    <xf numFmtId="0" fontId="9" fillId="6" borderId="32" xfId="0" applyFont="1" applyFill="1" applyBorder="1" applyAlignment="1">
      <alignment horizontal="center" vertical="center" wrapText="1"/>
    </xf>
    <xf numFmtId="0" fontId="9" fillId="6" borderId="56" xfId="0" applyFont="1" applyFill="1" applyBorder="1" applyAlignment="1">
      <alignment horizontal="center" vertical="center" wrapText="1"/>
    </xf>
    <xf numFmtId="0" fontId="9" fillId="6" borderId="52" xfId="0" applyFont="1" applyFill="1" applyBorder="1" applyAlignment="1">
      <alignment horizontal="center" vertical="center" wrapText="1"/>
    </xf>
    <xf numFmtId="0" fontId="64" fillId="6" borderId="32" xfId="0" applyFont="1" applyFill="1" applyBorder="1" applyAlignment="1">
      <alignment horizontal="center" vertical="center" wrapText="1"/>
    </xf>
    <xf numFmtId="0" fontId="64" fillId="6" borderId="56" xfId="0" applyFont="1" applyFill="1" applyBorder="1" applyAlignment="1">
      <alignment horizontal="center" vertical="center" wrapText="1"/>
    </xf>
    <xf numFmtId="0" fontId="5" fillId="47" borderId="11" xfId="0" applyFont="1" applyFill="1" applyBorder="1" applyAlignment="1">
      <alignment horizontal="center"/>
    </xf>
    <xf numFmtId="0" fontId="5" fillId="47" borderId="12" xfId="0" applyFont="1" applyFill="1" applyBorder="1" applyAlignment="1">
      <alignment horizontal="center"/>
    </xf>
    <xf numFmtId="0" fontId="5" fillId="47" borderId="13" xfId="0" applyFont="1" applyFill="1" applyBorder="1" applyAlignment="1">
      <alignment horizontal="center"/>
    </xf>
  </cellXfs>
  <cellStyles count="127">
    <cellStyle name="20% - Accent1 2" xfId="20" xr:uid="{00000000-0005-0000-0000-000000000000}"/>
    <cellStyle name="20% - Accent2 2" xfId="21" xr:uid="{00000000-0005-0000-0000-000001000000}"/>
    <cellStyle name="20% - Accent3 2" xfId="22" xr:uid="{00000000-0005-0000-0000-000002000000}"/>
    <cellStyle name="20% - Accent4 2" xfId="23" xr:uid="{00000000-0005-0000-0000-000003000000}"/>
    <cellStyle name="20% - Accent5 2" xfId="24" xr:uid="{00000000-0005-0000-0000-000004000000}"/>
    <cellStyle name="20% - Accent6 2" xfId="25" xr:uid="{00000000-0005-0000-0000-000005000000}"/>
    <cellStyle name="40% - Accent1 2" xfId="26" xr:uid="{00000000-0005-0000-0000-000006000000}"/>
    <cellStyle name="40% - Accent2 2" xfId="27" xr:uid="{00000000-0005-0000-0000-000007000000}"/>
    <cellStyle name="40% - Accent3 2" xfId="28" xr:uid="{00000000-0005-0000-0000-000008000000}"/>
    <cellStyle name="40% - Accent4 2" xfId="29" xr:uid="{00000000-0005-0000-0000-000009000000}"/>
    <cellStyle name="40% - Accent5 2" xfId="30" xr:uid="{00000000-0005-0000-0000-00000A000000}"/>
    <cellStyle name="40% - Accent6 2" xfId="31" xr:uid="{00000000-0005-0000-0000-00000B000000}"/>
    <cellStyle name="60% - Accent1 2" xfId="32" xr:uid="{00000000-0005-0000-0000-00000C000000}"/>
    <cellStyle name="60% - Accent2 2" xfId="33" xr:uid="{00000000-0005-0000-0000-00000D000000}"/>
    <cellStyle name="60% - Accent3 2" xfId="34" xr:uid="{00000000-0005-0000-0000-00000E000000}"/>
    <cellStyle name="60% - Accent4 2" xfId="35" xr:uid="{00000000-0005-0000-0000-00000F000000}"/>
    <cellStyle name="60% - Accent5 2" xfId="36" xr:uid="{00000000-0005-0000-0000-000010000000}"/>
    <cellStyle name="60% - Accent6 2" xfId="37" xr:uid="{00000000-0005-0000-0000-000011000000}"/>
    <cellStyle name="Accent1 2" xfId="51" xr:uid="{00000000-0005-0000-0000-000012000000}"/>
    <cellStyle name="Accent2 2" xfId="52" xr:uid="{00000000-0005-0000-0000-000013000000}"/>
    <cellStyle name="Accent3 2" xfId="53" xr:uid="{00000000-0005-0000-0000-000014000000}"/>
    <cellStyle name="Accent4 2" xfId="54" xr:uid="{00000000-0005-0000-0000-000015000000}"/>
    <cellStyle name="Accent5 2" xfId="55" xr:uid="{00000000-0005-0000-0000-000016000000}"/>
    <cellStyle name="Accent6 2" xfId="56" xr:uid="{00000000-0005-0000-0000-000017000000}"/>
    <cellStyle name="Berekening" xfId="1" xr:uid="{00000000-0005-0000-0000-000018000000}"/>
    <cellStyle name="Berekening 2" xfId="46" xr:uid="{00000000-0005-0000-0000-000019000000}"/>
    <cellStyle name="Berekening 3" xfId="67" xr:uid="{00000000-0005-0000-0000-00001A000000}"/>
    <cellStyle name="Berekening_Info_sheet_Concentrates" xfId="113" xr:uid="{00000000-0005-0000-0000-00001B000000}"/>
    <cellStyle name="Controlecel" xfId="2" xr:uid="{00000000-0005-0000-0000-00001C000000}"/>
    <cellStyle name="Controlecel 2" xfId="47" xr:uid="{00000000-0005-0000-0000-00001D000000}"/>
    <cellStyle name="Controlecel 2 2" xfId="68" xr:uid="{00000000-0005-0000-0000-00001E000000}"/>
    <cellStyle name="Controlecel_Info_sheet_Concentrates" xfId="114" xr:uid="{00000000-0005-0000-0000-00001F000000}"/>
    <cellStyle name="Gekoppelde cel" xfId="3" xr:uid="{00000000-0005-0000-0000-000020000000}"/>
    <cellStyle name="Gekoppelde cel 2" xfId="50" xr:uid="{00000000-0005-0000-0000-000021000000}"/>
    <cellStyle name="Gekoppelde cel 2 2" xfId="69" xr:uid="{00000000-0005-0000-0000-000022000000}"/>
    <cellStyle name="Gekoppelde cel_Info_sheet_Concentrates" xfId="115" xr:uid="{00000000-0005-0000-0000-000023000000}"/>
    <cellStyle name="Goed" xfId="61" xr:uid="{00000000-0005-0000-0000-000024000000}"/>
    <cellStyle name="Goed 2" xfId="44" xr:uid="{00000000-0005-0000-0000-000025000000}"/>
    <cellStyle name="Goed 2 2" xfId="70" xr:uid="{00000000-0005-0000-0000-000026000000}"/>
    <cellStyle name="Hyperlink" xfId="4" builtinId="8"/>
    <cellStyle name="Invoer" xfId="111" xr:uid="{00000000-0005-0000-0000-000028000000}"/>
    <cellStyle name="Invoer 2" xfId="59" xr:uid="{00000000-0005-0000-0000-000029000000}"/>
    <cellStyle name="Invoer 2 2" xfId="71" xr:uid="{00000000-0005-0000-0000-00002A000000}"/>
    <cellStyle name="Komma 2" xfId="91" xr:uid="{00000000-0005-0000-0000-00002B000000}"/>
    <cellStyle name="Komma 2 2" xfId="106" xr:uid="{00000000-0005-0000-0000-00002C000000}"/>
    <cellStyle name="Komma 3" xfId="98" xr:uid="{00000000-0005-0000-0000-00002D000000}"/>
    <cellStyle name="Komma 3 2" xfId="109" xr:uid="{00000000-0005-0000-0000-00002E000000}"/>
    <cellStyle name="Komma 4" xfId="99" xr:uid="{00000000-0005-0000-0000-00002F000000}"/>
    <cellStyle name="Kop 1" xfId="5" xr:uid="{00000000-0005-0000-0000-000030000000}"/>
    <cellStyle name="Kop 1 2" xfId="39" xr:uid="{00000000-0005-0000-0000-000031000000}"/>
    <cellStyle name="Kop 1 2 2" xfId="72" xr:uid="{00000000-0005-0000-0000-000032000000}"/>
    <cellStyle name="Kop 1_Info_sheet_Concentrates" xfId="116" xr:uid="{00000000-0005-0000-0000-000033000000}"/>
    <cellStyle name="Kop 2" xfId="6" xr:uid="{00000000-0005-0000-0000-000034000000}"/>
    <cellStyle name="Kop 2 2" xfId="40" xr:uid="{00000000-0005-0000-0000-000035000000}"/>
    <cellStyle name="Kop 2 2 2" xfId="73" xr:uid="{00000000-0005-0000-0000-000036000000}"/>
    <cellStyle name="Kop 2_Info_sheet_Concentrates" xfId="117" xr:uid="{00000000-0005-0000-0000-000037000000}"/>
    <cellStyle name="Kop 3" xfId="7" xr:uid="{00000000-0005-0000-0000-000038000000}"/>
    <cellStyle name="Kop 3 2" xfId="41" xr:uid="{00000000-0005-0000-0000-000039000000}"/>
    <cellStyle name="Kop 3 2 2" xfId="74" xr:uid="{00000000-0005-0000-0000-00003A000000}"/>
    <cellStyle name="Kop 3_Info_sheet_Concentrates" xfId="118" xr:uid="{00000000-0005-0000-0000-00003B000000}"/>
    <cellStyle name="Kop 4" xfId="8" xr:uid="{00000000-0005-0000-0000-00003C000000}"/>
    <cellStyle name="Kop 4 2" xfId="42" xr:uid="{00000000-0005-0000-0000-00003D000000}"/>
    <cellStyle name="Kop 4 2 2" xfId="75" xr:uid="{00000000-0005-0000-0000-00003E000000}"/>
    <cellStyle name="Kop 4_Info_sheet_Concentrates" xfId="119" xr:uid="{00000000-0005-0000-0000-00003F000000}"/>
    <cellStyle name="Neutraal" xfId="9" xr:uid="{00000000-0005-0000-0000-000040000000}"/>
    <cellStyle name="Neutraal 2" xfId="57" xr:uid="{00000000-0005-0000-0000-000041000000}"/>
    <cellStyle name="Neutraal 2 2" xfId="76" xr:uid="{00000000-0005-0000-0000-000042000000}"/>
    <cellStyle name="Neutraal_Info_sheet_Concentrates" xfId="120" xr:uid="{00000000-0005-0000-0000-000043000000}"/>
    <cellStyle name="Normal 2" xfId="62" xr:uid="{00000000-0005-0000-0000-000044000000}"/>
    <cellStyle name="Normal 3" xfId="63" xr:uid="{00000000-0005-0000-0000-000045000000}"/>
    <cellStyle name="Normal_gas measurements 1st April" xfId="10" xr:uid="{00000000-0005-0000-0000-000046000000}"/>
    <cellStyle name="Notitie" xfId="11" xr:uid="{00000000-0005-0000-0000-000048000000}"/>
    <cellStyle name="Notitie 2" xfId="60" xr:uid="{00000000-0005-0000-0000-000049000000}"/>
    <cellStyle name="Notitie 2 2" xfId="77" xr:uid="{00000000-0005-0000-0000-00004A000000}"/>
    <cellStyle name="Notitie_Info_sheet_Concentrates" xfId="121" xr:uid="{00000000-0005-0000-0000-00004B000000}"/>
    <cellStyle name="Ongeldig" xfId="112" builtinId="27"/>
    <cellStyle name="Ongeldig 2" xfId="43" xr:uid="{00000000-0005-0000-0000-00004D000000}"/>
    <cellStyle name="Ongeldig 2 2" xfId="78" xr:uid="{00000000-0005-0000-0000-00004E000000}"/>
    <cellStyle name="Percent 2" xfId="110" xr:uid="{00000000-0005-0000-0000-00004F000000}"/>
    <cellStyle name="Procent 2" xfId="90" xr:uid="{00000000-0005-0000-0000-000051000000}"/>
    <cellStyle name="Procent 2 2" xfId="105" xr:uid="{00000000-0005-0000-0000-000052000000}"/>
    <cellStyle name="Procent 3" xfId="88" xr:uid="{00000000-0005-0000-0000-000053000000}"/>
    <cellStyle name="Procent 4" xfId="97" xr:uid="{00000000-0005-0000-0000-000054000000}"/>
    <cellStyle name="Standaard" xfId="0" builtinId="0"/>
    <cellStyle name="Standaard 2" xfId="17" xr:uid="{00000000-0005-0000-0000-000056000000}"/>
    <cellStyle name="Standaard 2 2" xfId="86" xr:uid="{00000000-0005-0000-0000-000057000000}"/>
    <cellStyle name="Standaard 2 2 2" xfId="102" xr:uid="{00000000-0005-0000-0000-000058000000}"/>
    <cellStyle name="Standaard 2 3" xfId="95" xr:uid="{00000000-0005-0000-0000-000059000000}"/>
    <cellStyle name="Standaard 2 4" xfId="65" xr:uid="{00000000-0005-0000-0000-00005A000000}"/>
    <cellStyle name="Standaard 3" xfId="18" xr:uid="{00000000-0005-0000-0000-00005B000000}"/>
    <cellStyle name="Standaard 3 2" xfId="87" xr:uid="{00000000-0005-0000-0000-00005C000000}"/>
    <cellStyle name="Standaard 3 2 2" xfId="103" xr:uid="{00000000-0005-0000-0000-00005D000000}"/>
    <cellStyle name="Standaard 3 3" xfId="96" xr:uid="{00000000-0005-0000-0000-00005E000000}"/>
    <cellStyle name="Standaard 3 4" xfId="84" xr:uid="{00000000-0005-0000-0000-00005F000000}"/>
    <cellStyle name="Standaard 4" xfId="19" xr:uid="{00000000-0005-0000-0000-000060000000}"/>
    <cellStyle name="Standaard 4 2" xfId="64" xr:uid="{00000000-0005-0000-0000-000061000000}"/>
    <cellStyle name="Standaard 4 2 2" xfId="100" xr:uid="{00000000-0005-0000-0000-000062000000}"/>
    <cellStyle name="Standaard 4 3" xfId="101" xr:uid="{00000000-0005-0000-0000-000063000000}"/>
    <cellStyle name="Standaard 4 4" xfId="85" xr:uid="{00000000-0005-0000-0000-000064000000}"/>
    <cellStyle name="Standaard 5" xfId="89" xr:uid="{00000000-0005-0000-0000-000065000000}"/>
    <cellStyle name="Standaard 5 2" xfId="104" xr:uid="{00000000-0005-0000-0000-000066000000}"/>
    <cellStyle name="Standaard 6" xfId="92" xr:uid="{00000000-0005-0000-0000-000067000000}"/>
    <cellStyle name="Standaard 6 2" xfId="93" xr:uid="{00000000-0005-0000-0000-000068000000}"/>
    <cellStyle name="Standaard 6 3" xfId="107" xr:uid="{00000000-0005-0000-0000-000069000000}"/>
    <cellStyle name="Standaard 7" xfId="66" xr:uid="{00000000-0005-0000-0000-00006A000000}"/>
    <cellStyle name="Standaard 8" xfId="94" xr:uid="{00000000-0005-0000-0000-00006B000000}"/>
    <cellStyle name="Standaard 8 2" xfId="108" xr:uid="{00000000-0005-0000-0000-00006C000000}"/>
    <cellStyle name="Titel" xfId="12" xr:uid="{00000000-0005-0000-0000-00006D000000}"/>
    <cellStyle name="Titel 2" xfId="38" xr:uid="{00000000-0005-0000-0000-00006E000000}"/>
    <cellStyle name="Titel 2 2" xfId="79" xr:uid="{00000000-0005-0000-0000-00006F000000}"/>
    <cellStyle name="Titel_Info_sheet_Concentrates" xfId="122" xr:uid="{00000000-0005-0000-0000-000070000000}"/>
    <cellStyle name="Totaal" xfId="13" xr:uid="{00000000-0005-0000-0000-000071000000}"/>
    <cellStyle name="Totaal 2" xfId="45" xr:uid="{00000000-0005-0000-0000-000072000000}"/>
    <cellStyle name="Totaal 2 2" xfId="80" xr:uid="{00000000-0005-0000-0000-000073000000}"/>
    <cellStyle name="Totaal_Info_sheet_Concentrates" xfId="123" xr:uid="{00000000-0005-0000-0000-000074000000}"/>
    <cellStyle name="Uitvoer" xfId="14" xr:uid="{00000000-0005-0000-0000-000075000000}"/>
    <cellStyle name="Uitvoer 2" xfId="58" xr:uid="{00000000-0005-0000-0000-000076000000}"/>
    <cellStyle name="Uitvoer 2 2" xfId="81" xr:uid="{00000000-0005-0000-0000-000077000000}"/>
    <cellStyle name="Uitvoer_Info_sheet_Concentrates" xfId="124" xr:uid="{00000000-0005-0000-0000-000078000000}"/>
    <cellStyle name="Verklarende tekst" xfId="15" xr:uid="{00000000-0005-0000-0000-000079000000}"/>
    <cellStyle name="Verklarende tekst 2" xfId="48" xr:uid="{00000000-0005-0000-0000-00007A000000}"/>
    <cellStyle name="Verklarende tekst 2 2" xfId="82" xr:uid="{00000000-0005-0000-0000-00007B000000}"/>
    <cellStyle name="Verklarende tekst_Info_sheet_Concentrates" xfId="125" xr:uid="{00000000-0005-0000-0000-00007C000000}"/>
    <cellStyle name="Waarschuwingstekst" xfId="16" xr:uid="{00000000-0005-0000-0000-00007D000000}"/>
    <cellStyle name="Waarschuwingstekst 2" xfId="49" xr:uid="{00000000-0005-0000-0000-00007E000000}"/>
    <cellStyle name="Waarschuwingstekst 2 2" xfId="83" xr:uid="{00000000-0005-0000-0000-00007F000000}"/>
    <cellStyle name="Waarschuwingstekst_Info_sheet_Concentrates" xfId="126" xr:uid="{00000000-0005-0000-0000-000080000000}"/>
  </cellStyles>
  <dxfs count="253">
    <dxf>
      <font>
        <color auto="1"/>
      </font>
      <fill>
        <patternFill patternType="mediumGray">
          <bgColor theme="0"/>
        </patternFill>
      </fill>
    </dxf>
    <dxf>
      <font>
        <color auto="1"/>
      </font>
      <fill>
        <patternFill patternType="mediumGray">
          <bgColor theme="0"/>
        </patternFill>
      </fill>
    </dxf>
    <dxf>
      <font>
        <color auto="1"/>
      </font>
      <fill>
        <patternFill patternType="mediumGray">
          <bgColor theme="0"/>
        </patternFill>
      </fill>
    </dxf>
    <dxf>
      <font>
        <color auto="1"/>
      </font>
      <fill>
        <patternFill patternType="mediumGray">
          <bgColor theme="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B3FFEB"/>
      <color rgb="FF00CCFF"/>
      <color rgb="FF99FF99"/>
      <color rgb="FFCCFFFF"/>
      <color rgb="FFC3E7C5"/>
      <color rgb="FFCCFFCC"/>
      <color rgb="FF0DC0FF"/>
      <color rgb="FF61B6CD"/>
      <color rgb="FF399DB5"/>
      <color rgb="FFFFAB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'input gas_ethane'!$J$3:$J$9</c:f>
              <c:numCache>
                <c:formatCode>General</c:formatCode>
                <c:ptCount val="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1E-444B-B259-52E69CE06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39183"/>
        <c:axId val="163949263"/>
      </c:scatterChart>
      <c:valAx>
        <c:axId val="1639391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949263"/>
        <c:crosses val="autoZero"/>
        <c:crossBetween val="midCat"/>
      </c:valAx>
      <c:valAx>
        <c:axId val="16394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9391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input_gas_standards!$N$2:$N$4</c:f>
              <c:numCache>
                <c:formatCode>General</c:formatCode>
                <c:ptCount val="3"/>
              </c:numCache>
            </c:numRef>
          </c:xVal>
          <c:yVal>
            <c:numRef>
              <c:f>input_gas_standards!$P$2:$P$4</c:f>
              <c:numCache>
                <c:formatCode>0.00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11-4702-B5DD-20A931FD4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630144"/>
        <c:axId val="461331888"/>
      </c:scatterChart>
      <c:valAx>
        <c:axId val="393630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31888"/>
        <c:crosses val="autoZero"/>
        <c:crossBetween val="midCat"/>
      </c:valAx>
      <c:valAx>
        <c:axId val="46133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63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748391</xdr:colOff>
      <xdr:row>1</xdr:row>
      <xdr:rowOff>375880</xdr:rowOff>
    </xdr:from>
    <xdr:to>
      <xdr:col>48</xdr:col>
      <xdr:colOff>250239</xdr:colOff>
      <xdr:row>16</xdr:row>
      <xdr:rowOff>154666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3B1320-5C50-4E90-858C-877C31AB08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409575</xdr:colOff>
      <xdr:row>10</xdr:row>
      <xdr:rowOff>0</xdr:rowOff>
    </xdr:from>
    <xdr:to>
      <xdr:col>28</xdr:col>
      <xdr:colOff>120015</xdr:colOff>
      <xdr:row>20</xdr:row>
      <xdr:rowOff>151447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4EB4C1-6714-CBEE-4717-CAFB4A72EA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AC856013-B20F-49BA-8B4F-6C3AC9B73FBA}" autoFormatId="16" applyNumberFormats="0" applyBorderFormats="0" applyFontFormats="0" applyPatternFormats="0" applyAlignmentFormats="0" applyWidthHeightFormats="0">
  <queryTableRefresh nextId="267">
    <queryTableFields count="124">
      <queryTableField id="1" name="lanupro_ontology" tableColumnId="1"/>
      <queryTableField id="2" name="substrate_ms_id" tableColumnId="2"/>
      <queryTableField id="3" name="substrate_ms_mg" tableColumnId="3"/>
      <queryTableField id="159" name="substrate_ms_weighed_mg" tableColumnId="8"/>
      <queryTableField id="4" name="substrate_gs_id" tableColumnId="4"/>
      <queryTableField id="5" name="substrate_gs_mg" tableColumnId="5"/>
      <queryTableField id="160" name="substrate_gs_weighed_mg" tableColumnId="9"/>
      <queryTableField id="6" name="substrate_conc_id" tableColumnId="6"/>
      <queryTableField id="161" name="substrate_st_id" tableColumnId="12"/>
      <queryTableField id="162" name="substrate_st_mg" tableColumnId="19"/>
      <queryTableField id="163" name="substrate_st_weighed_mg" tableColumnId="22"/>
      <queryTableField id="7" name="substrate_conc_mg" tableColumnId="7"/>
      <queryTableField id="164" name="masterfile_id" tableColumnId="25"/>
      <queryTableField id="165" name="substrate_id" tableColumnId="33"/>
      <queryTableField id="166" name="substrate_sbm_id" tableColumnId="45"/>
      <queryTableField id="167" name="substrate_conc_mixture_id" tableColumnId="46"/>
      <queryTableField id="168" name="compound_1" tableColumnId="47"/>
      <queryTableField id="169" name="info_compound_1" tableColumnId="48"/>
      <queryTableField id="170" name="compound_1_g_per_kg_dm" tableColumnId="49"/>
      <queryTableField id="171" name="compound_2" tableColumnId="50"/>
      <queryTableField id="172" name="info_compound_2" tableColumnId="51"/>
      <queryTableField id="173" name="compound_2_g_per_kg_dm" tableColumnId="52"/>
      <queryTableField id="132" name="inocula_id" tableColumnId="13"/>
      <queryTableField id="133" name="inocula_date" tableColumnId="15"/>
      <queryTableField id="134" name="inocula_type" tableColumnId="30"/>
      <queryTableField id="174" name="inocula_name" tableColumnId="53"/>
      <queryTableField id="175" name="cow_ilvo_id" tableColumnId="54"/>
      <queryTableField id="176" name="diet_cows" tableColumnId="55"/>
      <queryTableField id="10" name="trt_rep_1_type" tableColumnId="10"/>
      <queryTableField id="11" name="trt_rep_1_id" tableColumnId="11"/>
      <queryTableField id="177" name="trt_rep_1_mg" tableColumnId="67"/>
      <queryTableField id="128" name="nylon_pore_size_um" tableColumnId="128"/>
      <queryTableField id="14" name="bag_size_cm2" tableColumnId="14"/>
      <queryTableField id="138" name="trt_label_1" tableColumnId="72"/>
      <queryTableField id="16" name="trt_add_1_type" tableColumnId="16"/>
      <queryTableField id="17" name="trt_add_1_id" tableColumnId="17"/>
      <queryTableField id="178" name="trt_add_1_description" tableColumnId="69"/>
      <queryTableField id="18" name="trt_add_1_ug_per_ml" tableColumnId="18"/>
      <queryTableField id="179" name="trt_add_2_type" tableColumnId="70"/>
      <queryTableField id="20" name="trt_add_2_id" tableColumnId="20"/>
      <queryTableField id="180" name="trt_add_2_description" tableColumnId="71"/>
      <queryTableField id="21" name="trt_add_2_ug_per_ml" tableColumnId="21"/>
      <queryTableField id="181" name="trt_add_3_type" tableColumnId="73"/>
      <queryTableField id="23" name="trt_add_3_id" tableColumnId="23"/>
      <queryTableField id="182" name="trt_add_3_description" tableColumnId="74"/>
      <queryTableField id="24" name="trt_add_3_ug_per_ml" tableColumnId="24"/>
      <queryTableField id="183" name="trt_add_4_type" tableColumnId="75"/>
      <queryTableField id="26" name="trt_add_4_id" tableColumnId="26"/>
      <queryTableField id="184" name="trt_add_4_description" tableColumnId="78"/>
      <queryTableField id="27" name="trt_add_4_ug_per_ml" tableColumnId="27"/>
      <queryTableField id="28" name="vol_grav" tableColumnId="28"/>
      <queryTableField id="29" name="post_rumen_id" tableColumnId="29"/>
      <queryTableField id="185" name="rumen_duration" tableColumnId="79"/>
      <queryTableField id="31" name="vol_flask_ml" tableColumnId="31"/>
      <queryTableField id="32" name="post_rumen_stomach_duration" tableColumnId="32"/>
      <queryTableField id="186" name="post_rumen_small_intestine_duration" tableColumnId="80"/>
      <queryTableField id="34" name="gas" tableColumnId="34"/>
      <queryTableField id="35" name="gas_method" tableColumnId="35"/>
      <queryTableField id="36" name="vfa" tableColumnId="36"/>
      <queryTableField id="37" name="vfa_method" tableColumnId="37"/>
      <queryTableField id="38" name="dm" tableColumnId="38"/>
      <queryTableField id="39" name="dm_method" tableColumnId="39"/>
      <queryTableField id="40" name="press" tableColumnId="40"/>
      <queryTableField id="41" name="temp" tableColumnId="41"/>
      <queryTableField id="42" name="ph_b" tableColumnId="42"/>
      <queryTableField id="43" name="ph_rf" tableColumnId="43"/>
      <queryTableField id="44" name="ph_b_rf" tableColumnId="44"/>
      <queryTableField id="187" name="methane_umol_per_g_dm" tableColumnId="81"/>
      <queryTableField id="188" name="hydrogen_umol_per_g_dm" tableColumnId="82"/>
      <queryTableField id="189" name="total_vfa_umol_per_g_dm" tableColumnId="83"/>
      <queryTableField id="190" name="methane_total_vfa_mol_per_mol" tableColumnId="84"/>
      <queryTableField id="191" name="acetate_umol_per_g_dm" tableColumnId="85"/>
      <queryTableField id="192" name="propionate_umol_per_g_dm" tableColumnId="86"/>
      <queryTableField id="193" name="isobutyrate_umol_per_g_dm" tableColumnId="87"/>
      <queryTableField id="194" name="butyrate_umol_per_g_dm" tableColumnId="88"/>
      <queryTableField id="195" name="isovalerate_umol_per_g_dm" tableColumnId="89"/>
      <queryTableField id="196" name="valerate_umol_per_g_dm" tableColumnId="90"/>
      <queryTableField id="197" name="caproate_umol_per_g_dm" tableColumnId="91"/>
      <queryTableField id="56" name="acetate_percent" tableColumnId="56"/>
      <queryTableField id="57" name="propionate_percent" tableColumnId="57"/>
      <queryTableField id="58" name="isobutyrate_percent" tableColumnId="58"/>
      <queryTableField id="59" name="butyrate_percent" tableColumnId="59"/>
      <queryTableField id="60" name="isovalerate_percent" tableColumnId="60"/>
      <queryTableField id="61" name="valerate_percent" tableColumnId="61"/>
      <queryTableField id="62" name="caproate_percent" tableColumnId="62"/>
      <queryTableField id="63" name="ardom_percent" tableColumnId="63"/>
      <queryTableField id="64" name="ph" tableColumnId="64"/>
      <queryTableField id="65" name="rumen_degradability_percent" tableColumnId="65"/>
      <queryTableField id="66" name="overall_degradability_percent" tableColumnId="66"/>
      <queryTableField id="198" name="methane_umol_per_g_dm_digested" tableColumnId="92"/>
      <queryTableField id="68" name="postrumen_digestibility_percent" tableColumnId="68"/>
      <queryTableField id="142" name="septum" tableColumnId="76"/>
      <queryTableField id="107" name="repetition" tableColumnId="107"/>
      <queryTableField id="108" name="run" tableColumnId="108"/>
      <queryTableField id="99" name="index" tableColumnId="99"/>
      <queryTableField id="100" name="sample_id" tableColumnId="100"/>
      <queryTableField id="101" name="sample_type" tableColumnId="101"/>
      <queryTableField id="102" name="sample_date" tableColumnId="102"/>
      <queryTableField id="103" name="unit" tableColumnId="103"/>
      <queryTableField id="104" name="sample_form" tableColumnId="104"/>
      <queryTableField id="105" name="sample_location" tableColumnId="105"/>
      <queryTableField id="106" name="sample_information" tableColumnId="106"/>
      <queryTableField id="199" name="origin" tableColumnId="93"/>
      <queryTableField id="200" name="available_from" tableColumnId="94"/>
      <queryTableField id="201" name="info_file" tableColumnId="95"/>
      <queryTableField id="109" name="protocol" tableColumnId="109"/>
      <queryTableField id="110" name="storage" tableColumnId="110"/>
      <queryTableField id="111" name="gc_method" tableColumnId="111"/>
      <queryTableField id="112" name="info" tableColumnId="112"/>
      <queryTableField id="113" name="batch" tableColumnId="113"/>
      <queryTableField id="114" name="cas_nr" tableColumnId="114"/>
      <queryTableField id="115" name="company" tableColumnId="115"/>
      <queryTableField id="116" name="arrival_date" tableColumnId="116"/>
      <queryTableField id="117" name="ref_nr" tableColumnId="117"/>
      <queryTableField id="202" name="drymatter_g_per_kg" tableColumnId="96"/>
      <queryTableField id="203" name="ash_g_per_kg_dm" tableColumnId="97"/>
      <queryTableField id="204" name="crude_fibre_g_per_kg_dm" tableColumnId="98"/>
      <queryTableField id="205" name="crude_protein_g_per_kg_dm" tableColumnId="118"/>
      <queryTableField id="206" name="crude_fat_g_per_kg_dm" tableColumnId="119"/>
      <queryTableField id="207" name="adf_g_per_kg_dm" tableColumnId="120"/>
      <queryTableField id="208" name="ndf_g_per_kg_dm" tableColumnId="121"/>
      <queryTableField id="209" name="starch_g_per_kg_dm" tableColumnId="122"/>
      <queryTableField id="210" name="sugar_g_per_kg_dm" tableColumnId="123"/>
      <queryTableField id="143" name="test_variable" tableColumnId="7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FCC06C5-4445-41AF-B158-A5D15CDAF19A}" autoFormatId="16" applyNumberFormats="0" applyBorderFormats="0" applyFontFormats="0" applyPatternFormats="0" applyAlignmentFormats="0" applyWidthHeightFormats="0">
  <queryTableRefresh nextId="62">
    <queryTableFields count="31">
      <queryTableField id="1" name="lanupro_ontology" tableColumnId="1"/>
      <queryTableField id="2" name="index" tableColumnId="2"/>
      <queryTableField id="3" name="sample_id" tableColumnId="3"/>
      <queryTableField id="4" name="sample_type" tableColumnId="4"/>
      <queryTableField id="5" name="sample_date" tableColumnId="5"/>
      <queryTableField id="6" name="unit" tableColumnId="6"/>
      <queryTableField id="7" name="sample_form" tableColumnId="7"/>
      <queryTableField id="8" name="sample_location" tableColumnId="8"/>
      <queryTableField id="9" name="sample_information" tableColumnId="9"/>
      <queryTableField id="38" name="origin" tableColumnId="11"/>
      <queryTableField id="39" name="available_from" tableColumnId="21"/>
      <queryTableField id="40" name="info_file" tableColumnId="22"/>
      <queryTableField id="12" name="protocol" tableColumnId="12"/>
      <queryTableField id="13" name="storage" tableColumnId="13"/>
      <queryTableField id="14" name="gc_method" tableColumnId="14"/>
      <queryTableField id="15" name="info" tableColumnId="15"/>
      <queryTableField id="16" name="batch" tableColumnId="16"/>
      <queryTableField id="17" name="cas_nr" tableColumnId="17"/>
      <queryTableField id="18" name="company" tableColumnId="18"/>
      <queryTableField id="19" name="arrival_date" tableColumnId="19"/>
      <queryTableField id="20" name="ref_nr" tableColumnId="20"/>
      <queryTableField id="41" name="drymatter_g_per_kg" tableColumnId="23"/>
      <queryTableField id="42" name="ash_g_per_kg_dm" tableColumnId="24"/>
      <queryTableField id="43" name="crude_fibre_g_per_kg_dm" tableColumnId="25"/>
      <queryTableField id="44" name="crude_protein_g_per_kg_dm" tableColumnId="26"/>
      <queryTableField id="45" name="crude_fat_g_per_kg_dm" tableColumnId="27"/>
      <queryTableField id="46" name="adf_g_per_kg_dm" tableColumnId="28"/>
      <queryTableField id="47" name="ndf_g_per_kg_dm" tableColumnId="29"/>
      <queryTableField id="48" name="starch_g_per_kg_dm" tableColumnId="30"/>
      <queryTableField id="49" name="sugar_g_per_kg_dm" tableColumnId="31"/>
      <queryTableField id="37" name="test_variable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1C233E88-D26B-45E5-BD5E-B270FB89225C}" autoFormatId="16" applyNumberFormats="0" applyBorderFormats="0" applyFontFormats="0" applyPatternFormats="0" applyAlignmentFormats="0" applyWidthHeightFormats="0">
  <queryTableRefresh nextId="182">
    <queryTableFields count="94">
      <queryTableField id="1" name="lanupro_ontology" tableColumnId="1"/>
      <queryTableField id="2" name="substrate_ms_id" tableColumnId="2"/>
      <queryTableField id="3" name="substrate_ms_mg" tableColumnId="3"/>
      <queryTableField id="98" name="substrate_ms_weighed_mg" tableColumnId="8"/>
      <queryTableField id="4" name="substrate_gs_id" tableColumnId="4"/>
      <queryTableField id="5" name="substrate_gs_mg" tableColumnId="5"/>
      <queryTableField id="99" name="substrate_gs_weighed_mg" tableColumnId="9"/>
      <queryTableField id="6" name="substrate_conc_id" tableColumnId="6"/>
      <queryTableField id="100" name="substrate_st_id" tableColumnId="12"/>
      <queryTableField id="101" name="substrate_st_mg" tableColumnId="19"/>
      <queryTableField id="102" name="substrate_st_weighed_mg" tableColumnId="22"/>
      <queryTableField id="7" name="substrate_conc_mg" tableColumnId="7"/>
      <queryTableField id="103" name="masterfile_id" tableColumnId="25"/>
      <queryTableField id="104" name="substrate_id" tableColumnId="33"/>
      <queryTableField id="105" name="substrate_sbm_id" tableColumnId="45"/>
      <queryTableField id="106" name="substrate_conc_mixture_id" tableColumnId="46"/>
      <queryTableField id="107" name="compound_1" tableColumnId="47"/>
      <queryTableField id="108" name="info_compound_1" tableColumnId="48"/>
      <queryTableField id="109" name="compound_1_g_per_kg_dm" tableColumnId="49"/>
      <queryTableField id="110" name="compound_2" tableColumnId="50"/>
      <queryTableField id="111" name="info_compound_2" tableColumnId="51"/>
      <queryTableField id="112" name="compound_2_g_per_kg_dm" tableColumnId="52"/>
      <queryTableField id="73" name="inocula_id" tableColumnId="13"/>
      <queryTableField id="74" name="inocula_date" tableColumnId="15"/>
      <queryTableField id="75" name="inocula_type" tableColumnId="30"/>
      <queryTableField id="113" name="inocula_name" tableColumnId="53"/>
      <queryTableField id="114" name="cow_ilvo_id" tableColumnId="54"/>
      <queryTableField id="115" name="diet_cows" tableColumnId="55"/>
      <queryTableField id="10" name="trt_rep_1_type" tableColumnId="10"/>
      <queryTableField id="11" name="trt_rep_1_id" tableColumnId="11"/>
      <queryTableField id="116" name="trt_rep_1_mg" tableColumnId="67"/>
      <queryTableField id="69" name="nylon_pore_size_um" tableColumnId="69"/>
      <queryTableField id="14" name="bag_size_cm2" tableColumnId="14"/>
      <queryTableField id="79" name="trt_label_1" tableColumnId="73"/>
      <queryTableField id="16" name="trt_add_1_type" tableColumnId="16"/>
      <queryTableField id="17" name="trt_add_1_id" tableColumnId="17"/>
      <queryTableField id="117" name="trt_add_1_description" tableColumnId="70"/>
      <queryTableField id="18" name="trt_add_1_ug_per_ml" tableColumnId="18"/>
      <queryTableField id="118" name="trt_add_2_type" tableColumnId="71"/>
      <queryTableField id="20" name="trt_add_2_id" tableColumnId="20"/>
      <queryTableField id="119" name="trt_add_2_description" tableColumnId="72"/>
      <queryTableField id="21" name="trt_add_2_ug_per_ml" tableColumnId="21"/>
      <queryTableField id="120" name="trt_add_3_type" tableColumnId="74"/>
      <queryTableField id="23" name="trt_add_3_id" tableColumnId="23"/>
      <queryTableField id="121" name="trt_add_3_description" tableColumnId="75"/>
      <queryTableField id="24" name="trt_add_3_ug_per_ml" tableColumnId="24"/>
      <queryTableField id="122" name="trt_add_4_type" tableColumnId="76"/>
      <queryTableField id="26" name="trt_add_4_id" tableColumnId="26"/>
      <queryTableField id="123" name="trt_add_4_description" tableColumnId="80"/>
      <queryTableField id="27" name="trt_add_4_ug_per_ml" tableColumnId="27"/>
      <queryTableField id="28" name="vol_grav" tableColumnId="28"/>
      <queryTableField id="29" name="post_rumen_id" tableColumnId="29"/>
      <queryTableField id="124" name="rumen_duration" tableColumnId="81"/>
      <queryTableField id="31" name="vol_flask_ml" tableColumnId="31"/>
      <queryTableField id="32" name="post_rumen_stomach_duration" tableColumnId="32"/>
      <queryTableField id="125" name="post_rumen_small_intestine_duration" tableColumnId="82"/>
      <queryTableField id="34" name="gas" tableColumnId="34"/>
      <queryTableField id="35" name="gas_method" tableColumnId="35"/>
      <queryTableField id="36" name="vfa" tableColumnId="36"/>
      <queryTableField id="37" name="vfa_method" tableColumnId="37"/>
      <queryTableField id="38" name="dm" tableColumnId="38"/>
      <queryTableField id="39" name="dm_method" tableColumnId="39"/>
      <queryTableField id="40" name="press" tableColumnId="40"/>
      <queryTableField id="41" name="temp" tableColumnId="41"/>
      <queryTableField id="42" name="ph_b" tableColumnId="42"/>
      <queryTableField id="43" name="ph_rf" tableColumnId="43"/>
      <queryTableField id="44" name="ph_b_rf" tableColumnId="44"/>
      <queryTableField id="126" name="methane_umol_per_g_dm" tableColumnId="83"/>
      <queryTableField id="127" name="hydrogen_umol_per_g_dm" tableColumnId="84"/>
      <queryTableField id="128" name="total_vfa_umol_per_g_dm" tableColumnId="85"/>
      <queryTableField id="129" name="methane_total_vfa_mol_per_mol" tableColumnId="86"/>
      <queryTableField id="130" name="acetate_umol_per_g_dm" tableColumnId="87"/>
      <queryTableField id="131" name="propionate_umol_per_g_dm" tableColumnId="88"/>
      <queryTableField id="132" name="isobutyrate_umol_per_g_dm" tableColumnId="89"/>
      <queryTableField id="133" name="butyrate_umol_per_g_dm" tableColumnId="90"/>
      <queryTableField id="134" name="isovalerate_umol_per_g_dm" tableColumnId="91"/>
      <queryTableField id="135" name="valerate_umol_per_g_dm" tableColumnId="92"/>
      <queryTableField id="136" name="caproate_umol_per_g_dm" tableColumnId="93"/>
      <queryTableField id="56" name="acetate_percent" tableColumnId="56"/>
      <queryTableField id="57" name="propionate_percent" tableColumnId="57"/>
      <queryTableField id="58" name="isobutyrate_percent" tableColumnId="58"/>
      <queryTableField id="59" name="butyrate_percent" tableColumnId="59"/>
      <queryTableField id="60" name="isovalerate_percent" tableColumnId="60"/>
      <queryTableField id="61" name="valerate_percent" tableColumnId="61"/>
      <queryTableField id="62" name="caproate_percent" tableColumnId="62"/>
      <queryTableField id="63" name="ardom_percent" tableColumnId="63"/>
      <queryTableField id="64" name="ph" tableColumnId="64"/>
      <queryTableField id="65" name="rumen_degradability_percent" tableColumnId="65"/>
      <queryTableField id="66" name="overall_degradability_percent" tableColumnId="66"/>
      <queryTableField id="137" name="methane_umol_per_g_dm_digested" tableColumnId="94"/>
      <queryTableField id="68" name="postrumen_digestibility_percent" tableColumnId="68"/>
      <queryTableField id="83" name="septum" tableColumnId="77"/>
      <queryTableField id="84" name="repetition" tableColumnId="78"/>
      <queryTableField id="85" name="run" tableColumnId="7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F962B7-595F-446E-B473-93E99FC771D3}" name="lanupro_vocabulary_combined" displayName="lanupro_vocabulary_combined" ref="A1:DT106" tableType="queryTable" totalsRowShown="0">
  <autoFilter ref="A1:DT106" xr:uid="{D5F962B7-595F-446E-B473-93E99FC771D3}"/>
  <tableColumns count="124">
    <tableColumn id="1" xr3:uid="{6B8E0E76-0B88-4BA9-BD06-753BEF35F0EA}" uniqueName="1" name="lanupro_ontology" queryTableFieldId="1" dataDxfId="252"/>
    <tableColumn id="2" xr3:uid="{D99E6311-6313-4C1B-9EE7-38A62C6335B6}" uniqueName="2" name="substrate_ms_id" queryTableFieldId="2" dataDxfId="251"/>
    <tableColumn id="3" xr3:uid="{6D54BE5D-A1BD-4FF6-8912-5635BA3F58D2}" uniqueName="3" name="substrate_ms_mg" queryTableFieldId="3" dataDxfId="250"/>
    <tableColumn id="8" xr3:uid="{4D66C8AD-4C91-4B72-9977-83FDA851ABD1}" uniqueName="8" name="substrate_ms_weighed_mg" queryTableFieldId="159" dataDxfId="249"/>
    <tableColumn id="4" xr3:uid="{5F8CBB42-2FDB-4C47-BE71-36E077930665}" uniqueName="4" name="substrate_gs_id" queryTableFieldId="4" dataDxfId="248"/>
    <tableColumn id="5" xr3:uid="{C49A01F1-60E4-4F46-8744-3798DFFCCEB5}" uniqueName="5" name="substrate_gs_mg" queryTableFieldId="5" dataDxfId="247"/>
    <tableColumn id="9" xr3:uid="{7D3C2763-294B-42CB-A04E-C064AD9AE6B8}" uniqueName="9" name="substrate_gs_weighed_mg" queryTableFieldId="160" dataDxfId="246"/>
    <tableColumn id="6" xr3:uid="{47CF3B7D-E9EA-4E92-AC09-1F87943FB4F9}" uniqueName="6" name="substrate_conc_id" queryTableFieldId="6" dataDxfId="245"/>
    <tableColumn id="12" xr3:uid="{FEA818A2-7D3C-4A1D-B2F3-B4C0E08C5EEA}" uniqueName="12" name="substrate_st_id" queryTableFieldId="161" dataDxfId="244"/>
    <tableColumn id="19" xr3:uid="{E27C2E30-6BD0-4BE2-8A8F-8E0E58396810}" uniqueName="19" name="substrate_st_mg" queryTableFieldId="162" dataDxfId="243"/>
    <tableColumn id="22" xr3:uid="{D66C3B81-BEDB-440C-8453-94CD93EF82BB}" uniqueName="22" name="substrate_st_weighed_mg" queryTableFieldId="163" dataDxfId="242"/>
    <tableColumn id="7" xr3:uid="{C841D4AD-52EF-40D5-8263-9BF5BC390074}" uniqueName="7" name="substrate_conc_mg" queryTableFieldId="7" dataDxfId="241"/>
    <tableColumn id="25" xr3:uid="{70F7B96E-15F8-45AB-96CF-8340E80AB5AB}" uniqueName="25" name="masterfile_id" queryTableFieldId="164" dataDxfId="240"/>
    <tableColumn id="33" xr3:uid="{1D556AFC-EC43-46C4-BBAC-5CFEC17AE087}" uniqueName="33" name="substrate_id" queryTableFieldId="165" dataDxfId="239"/>
    <tableColumn id="45" xr3:uid="{0348300C-A336-48E6-8F5C-D4846F874D9C}" uniqueName="45" name="substrate_sbm_id" queryTableFieldId="166" dataDxfId="238"/>
    <tableColumn id="46" xr3:uid="{65F13927-D86C-47B8-B416-F4C5E1962D6D}" uniqueName="46" name="substrate_conc_mixture_id" queryTableFieldId="167" dataDxfId="237"/>
    <tableColumn id="47" xr3:uid="{5C3B7556-C4C1-49D1-8A4C-9EFA228BACC5}" uniqueName="47" name="compound_1" queryTableFieldId="168" dataDxfId="236"/>
    <tableColumn id="48" xr3:uid="{2CC1D119-F16D-4101-8A83-2DF17ED7B9CF}" uniqueName="48" name="info_compound_1" queryTableFieldId="169" dataDxfId="235"/>
    <tableColumn id="49" xr3:uid="{2218F7F5-6BBF-49D9-A5F4-16A5C4351015}" uniqueName="49" name="compound_1_g_per_kg_dm" queryTableFieldId="170" dataDxfId="234"/>
    <tableColumn id="50" xr3:uid="{09C06F29-0EEB-41B9-A00F-EA1FE0FBDA44}" uniqueName="50" name="compound_2" queryTableFieldId="171" dataDxfId="233"/>
    <tableColumn id="51" xr3:uid="{9B012EB2-154D-45B2-B819-552FCA0E701F}" uniqueName="51" name="info_compound_2" queryTableFieldId="172" dataDxfId="232"/>
    <tableColumn id="52" xr3:uid="{22E136A6-0132-483B-B1A0-13CA7FB8A9B3}" uniqueName="52" name="compound_2_g_per_kg_dm" queryTableFieldId="173" dataDxfId="231"/>
    <tableColumn id="13" xr3:uid="{E3FD2FDC-6269-4DFB-9286-AFCAA57BBE89}" uniqueName="13" name="inocula_id" queryTableFieldId="132" dataDxfId="230"/>
    <tableColumn id="15" xr3:uid="{1374101F-ABC4-47C6-8F92-E224BFE459C2}" uniqueName="15" name="inocula_date" queryTableFieldId="133" dataDxfId="229"/>
    <tableColumn id="30" xr3:uid="{0396A58D-262D-4B3D-A90F-4EDC98443813}" uniqueName="30" name="inocula_type" queryTableFieldId="134" dataDxfId="228"/>
    <tableColumn id="53" xr3:uid="{465CF161-7873-4278-B54F-919A4F0ECEFB}" uniqueName="53" name="inocula_name" queryTableFieldId="174" dataDxfId="227"/>
    <tableColumn id="54" xr3:uid="{DE70773F-06FB-49B5-9353-DA5F0B4BE639}" uniqueName="54" name="cow_ilvo_id" queryTableFieldId="175" dataDxfId="226"/>
    <tableColumn id="55" xr3:uid="{2BB4345D-2238-4E80-A666-0B33603E9032}" uniqueName="55" name="diet_cows" queryTableFieldId="176" dataDxfId="225"/>
    <tableColumn id="10" xr3:uid="{50AEE381-228D-4808-908E-94D36A9AF557}" uniqueName="10" name="trt_rep_1_type" queryTableFieldId="10" dataDxfId="224"/>
    <tableColumn id="11" xr3:uid="{191ED353-D935-45E4-BA55-531580E30390}" uniqueName="11" name="trt_rep_1_id" queryTableFieldId="11" dataDxfId="223"/>
    <tableColumn id="67" xr3:uid="{1F83344C-95C5-4E65-94A3-CA467E174BD7}" uniqueName="67" name="trt_rep_1_mg" queryTableFieldId="177" dataDxfId="222"/>
    <tableColumn id="128" xr3:uid="{C1DFEA0B-DBB7-4102-8398-54CD6083FEEC}" uniqueName="128" name="nylon_pore_size_um" queryTableFieldId="128" dataDxfId="221"/>
    <tableColumn id="14" xr3:uid="{1B4EADDC-BEA4-4013-B083-A7C4752892CB}" uniqueName="14" name="bag_size_cm2" queryTableFieldId="14" dataDxfId="220"/>
    <tableColumn id="72" xr3:uid="{B002B7D9-B15C-42B2-818E-5C78B9F28D6E}" uniqueName="72" name="trt_label_1" queryTableFieldId="138" dataDxfId="219"/>
    <tableColumn id="16" xr3:uid="{0C541478-ECB6-4724-9FF4-02CA6CF959B3}" uniqueName="16" name="trt_add_1_type" queryTableFieldId="16" dataDxfId="218"/>
    <tableColumn id="17" xr3:uid="{83233EB9-5612-4106-AA79-25CF9114A474}" uniqueName="17" name="trt_add_1_id" queryTableFieldId="17" dataDxfId="217"/>
    <tableColumn id="69" xr3:uid="{F6578DBC-1256-4A6B-AAE1-38FFC435F108}" uniqueName="69" name="trt_add_1_description" queryTableFieldId="178" dataDxfId="216"/>
    <tableColumn id="18" xr3:uid="{2A1879B5-08D5-4C2F-AA79-308210FCAD9C}" uniqueName="18" name="trt_add_1_ug_per_ml" queryTableFieldId="18" dataDxfId="215"/>
    <tableColumn id="70" xr3:uid="{1C333515-71BC-4872-88BD-E797471F3B22}" uniqueName="70" name="trt_add_2_type" queryTableFieldId="179" dataDxfId="214"/>
    <tableColumn id="20" xr3:uid="{D629A3E1-63BE-40B0-9139-D015B0261474}" uniqueName="20" name="trt_add_2_id" queryTableFieldId="20" dataDxfId="213"/>
    <tableColumn id="71" xr3:uid="{E2BE922D-1474-4BF3-A39A-790B91C7500C}" uniqueName="71" name="trt_add_2_description" queryTableFieldId="180" dataDxfId="212"/>
    <tableColumn id="21" xr3:uid="{AFB19020-396F-4548-8532-14A61A6E2298}" uniqueName="21" name="trt_add_2_ug_per_ml" queryTableFieldId="21" dataDxfId="211"/>
    <tableColumn id="73" xr3:uid="{A59359F9-CAC1-4B6B-8963-755398EF296D}" uniqueName="73" name="trt_add_3_type" queryTableFieldId="181" dataDxfId="210"/>
    <tableColumn id="23" xr3:uid="{BF3F4DED-0C8F-441E-A537-EFE65F326EB9}" uniqueName="23" name="trt_add_3_id" queryTableFieldId="23" dataDxfId="209"/>
    <tableColumn id="74" xr3:uid="{4CA7E6B7-4840-45D4-B820-31385EB89AE8}" uniqueName="74" name="trt_add_3_description" queryTableFieldId="182" dataDxfId="208"/>
    <tableColumn id="24" xr3:uid="{72F8247B-2F42-4090-B047-2A0E77948281}" uniqueName="24" name="trt_add_3_ug_per_ml" queryTableFieldId="24" dataDxfId="207"/>
    <tableColumn id="75" xr3:uid="{FDC1AD3E-8440-42A5-8706-1B5DA6F437FD}" uniqueName="75" name="trt_add_4_type" queryTableFieldId="183" dataDxfId="206"/>
    <tableColumn id="26" xr3:uid="{5BCFE7C8-7390-4870-B25A-88873A8CB46E}" uniqueName="26" name="trt_add_4_id" queryTableFieldId="26" dataDxfId="205"/>
    <tableColumn id="78" xr3:uid="{16B2C94B-4E30-4EA0-B881-4672586ABD74}" uniqueName="78" name="trt_add_4_description" queryTableFieldId="184" dataDxfId="204"/>
    <tableColumn id="27" xr3:uid="{B935A729-CCF9-4331-BADB-8CF5E990E3E3}" uniqueName="27" name="trt_add_4_ug_per_ml" queryTableFieldId="27" dataDxfId="203"/>
    <tableColumn id="28" xr3:uid="{6857E87A-BF11-457E-BD23-D33DC4F55341}" uniqueName="28" name="vol_grav" queryTableFieldId="28" dataDxfId="202"/>
    <tableColumn id="29" xr3:uid="{4EE827F9-ABB0-4554-B257-BFE20D48F492}" uniqueName="29" name="post_rumen_id" queryTableFieldId="29" dataDxfId="201"/>
    <tableColumn id="79" xr3:uid="{9ED3AA15-FA1C-4276-A224-9EC8279F1421}" uniqueName="79" name="rumen_duration" queryTableFieldId="185" dataDxfId="200"/>
    <tableColumn id="31" xr3:uid="{A0CB7F22-9A39-4202-9D67-B1FF8E9159EE}" uniqueName="31" name="vol_flask_ml" queryTableFieldId="31" dataDxfId="199"/>
    <tableColumn id="32" xr3:uid="{968C2397-4F85-4127-89B3-F305A08862AB}" uniqueName="32" name="post_rumen_stomach_duration" queryTableFieldId="32" dataDxfId="198"/>
    <tableColumn id="80" xr3:uid="{9D886189-9D28-4A20-9B36-ED3258A485E9}" uniqueName="80" name="post_rumen_small_intestine_duration" queryTableFieldId="186" dataDxfId="197"/>
    <tableColumn id="34" xr3:uid="{DB578B65-E3CC-477D-9B4B-E99436E33024}" uniqueName="34" name="gas" queryTableFieldId="34" dataDxfId="196"/>
    <tableColumn id="35" xr3:uid="{B8E83EE5-022A-4706-AF4C-EDAD3D7CE81B}" uniqueName="35" name="gas_method" queryTableFieldId="35" dataDxfId="195"/>
    <tableColumn id="36" xr3:uid="{100E1EFB-0E47-4EBF-B6E4-1D42F4FD8C73}" uniqueName="36" name="vfa" queryTableFieldId="36" dataDxfId="194"/>
    <tableColumn id="37" xr3:uid="{607B12EF-A454-4871-9C43-A5AB2D647810}" uniqueName="37" name="vfa_method" queryTableFieldId="37" dataDxfId="193"/>
    <tableColumn id="38" xr3:uid="{0720D435-C3ED-470C-A76B-2E0E69049081}" uniqueName="38" name="dm" queryTableFieldId="38" dataDxfId="192"/>
    <tableColumn id="39" xr3:uid="{1763C17A-640D-47AA-897B-383031845DA6}" uniqueName="39" name="dm_method" queryTableFieldId="39" dataDxfId="191"/>
    <tableColumn id="40" xr3:uid="{C4621169-05A2-4B51-9823-EA29B0FBD8C6}" uniqueName="40" name="press" queryTableFieldId="40" dataDxfId="190"/>
    <tableColumn id="41" xr3:uid="{3F4B25FE-01AD-4701-84F1-A3368A6810F1}" uniqueName="41" name="temp" queryTableFieldId="41" dataDxfId="189"/>
    <tableColumn id="42" xr3:uid="{E7094851-5322-4EDE-A0D7-BBEB47441687}" uniqueName="42" name="ph_b" queryTableFieldId="42" dataDxfId="188"/>
    <tableColumn id="43" xr3:uid="{4C0FF433-0E11-4802-8922-A15CA7191433}" uniqueName="43" name="ph_rf" queryTableFieldId="43" dataDxfId="187"/>
    <tableColumn id="44" xr3:uid="{4FE09774-DA1E-4BC9-AAAF-7538EE870267}" uniqueName="44" name="ph_b_rf" queryTableFieldId="44" dataDxfId="186"/>
    <tableColumn id="81" xr3:uid="{0A1BBC2F-3744-464D-AA2D-07A88999ED8A}" uniqueName="81" name="methane_umol_per_g_dm" queryTableFieldId="187" dataDxfId="185"/>
    <tableColumn id="82" xr3:uid="{E18713AF-F0FE-4174-8B62-518B7E667EF4}" uniqueName="82" name="hydrogen_umol_per_g_dm" queryTableFieldId="188" dataDxfId="184"/>
    <tableColumn id="83" xr3:uid="{F5C4A869-0C52-4E8A-8F6C-7FFD438239BC}" uniqueName="83" name="total_vfa_umol_per_g_dm" queryTableFieldId="189" dataDxfId="183"/>
    <tableColumn id="84" xr3:uid="{F0316725-B480-4681-9540-EB41304AB00B}" uniqueName="84" name="methane_total_vfa_mol_per_mol" queryTableFieldId="190" dataDxfId="182"/>
    <tableColumn id="85" xr3:uid="{EF88294E-0023-4B16-9E1D-06CD92AE287F}" uniqueName="85" name="acetate_umol_per_g_dm" queryTableFieldId="191" dataDxfId="181"/>
    <tableColumn id="86" xr3:uid="{D69017A6-A2EB-4209-9062-732CC9A37218}" uniqueName="86" name="propionate_umol_per_g_dm" queryTableFieldId="192" dataDxfId="180"/>
    <tableColumn id="87" xr3:uid="{F4C9746C-7040-4294-BFEF-6BFA13218BDD}" uniqueName="87" name="isobutyrate_umol_per_g_dm" queryTableFieldId="193" dataDxfId="179"/>
    <tableColumn id="88" xr3:uid="{7D4309E9-BCCE-4D7A-849C-A19BC53FE6B5}" uniqueName="88" name="butyrate_umol_per_g_dm" queryTableFieldId="194" dataDxfId="178"/>
    <tableColumn id="89" xr3:uid="{E9B8897F-16B2-4190-8179-98DCF9BD79E9}" uniqueName="89" name="isovalerate_umol_per_g_dm" queryTableFieldId="195" dataDxfId="177"/>
    <tableColumn id="90" xr3:uid="{0506DF03-81F2-4EBD-AD64-6F1A7DF57F5B}" uniqueName="90" name="valerate_umol_per_g_dm" queryTableFieldId="196" dataDxfId="176"/>
    <tableColumn id="91" xr3:uid="{0D519370-A963-4BDB-9C3D-2DB7C4B685E1}" uniqueName="91" name="caproate_umol_per_g_dm" queryTableFieldId="197" dataDxfId="175"/>
    <tableColumn id="56" xr3:uid="{5787B251-448C-4049-9A1B-387FD6EA1085}" uniqueName="56" name="acetate_percent" queryTableFieldId="56" dataDxfId="174"/>
    <tableColumn id="57" xr3:uid="{A03710E3-8235-4C24-85A5-8524680094E8}" uniqueName="57" name="propionate_percent" queryTableFieldId="57" dataDxfId="173"/>
    <tableColumn id="58" xr3:uid="{C8240F4B-359A-4540-912E-D2AEF8DF3C88}" uniqueName="58" name="isobutyrate_percent" queryTableFieldId="58" dataDxfId="172"/>
    <tableColumn id="59" xr3:uid="{68150ADC-1F7D-4CF4-91F6-49BA77A62504}" uniqueName="59" name="butyrate_percent" queryTableFieldId="59" dataDxfId="171"/>
    <tableColumn id="60" xr3:uid="{698F88B9-B2D6-42D9-A358-A6B3839F4590}" uniqueName="60" name="isovalerate_percent" queryTableFieldId="60" dataDxfId="170"/>
    <tableColumn id="61" xr3:uid="{42FB9E5F-47F7-42D6-AAA6-14AE6A2AAB9D}" uniqueName="61" name="valerate_percent" queryTableFieldId="61" dataDxfId="169"/>
    <tableColumn id="62" xr3:uid="{C04605AC-32C6-4288-B081-4C39CBB26892}" uniqueName="62" name="caproate_percent" queryTableFieldId="62" dataDxfId="168"/>
    <tableColumn id="63" xr3:uid="{D88226F2-EF64-4544-B707-599C2D5B50DA}" uniqueName="63" name="ardom_percent" queryTableFieldId="63" dataDxfId="167"/>
    <tableColumn id="64" xr3:uid="{C1083230-C67D-45CE-90B7-FDDF39C9CB97}" uniqueName="64" name="ph" queryTableFieldId="64" dataDxfId="166"/>
    <tableColumn id="65" xr3:uid="{08E9C043-17A7-4F5D-AE20-5B4C055B72BA}" uniqueName="65" name="rumen_degradability_percent" queryTableFieldId="65" dataDxfId="165"/>
    <tableColumn id="66" xr3:uid="{66521049-5BA4-4DE3-82D0-44915F7002BC}" uniqueName="66" name="overall_degradability_percent" queryTableFieldId="66" dataDxfId="164"/>
    <tableColumn id="92" xr3:uid="{8FC92DAD-197B-4BBE-818D-22A83CF79428}" uniqueName="92" name="methane_umol_per_g_dm_digested" queryTableFieldId="198" dataDxfId="163"/>
    <tableColumn id="68" xr3:uid="{753C86F1-4541-4B41-A10F-BCA4D9DE1295}" uniqueName="68" name="postrumen_digestibility_percent" queryTableFieldId="68" dataDxfId="162"/>
    <tableColumn id="76" xr3:uid="{E099ED94-8543-4779-BFB5-0988C8732FED}" uniqueName="76" name="septum" queryTableFieldId="142" dataDxfId="161"/>
    <tableColumn id="107" xr3:uid="{D672FB11-26D1-420E-A92C-AFB175CE82D4}" uniqueName="107" name="repetition" queryTableFieldId="107" dataDxfId="160"/>
    <tableColumn id="108" xr3:uid="{4C17A828-78F8-447B-A1A7-85B2BB449E28}" uniqueName="108" name="run" queryTableFieldId="108" dataDxfId="159"/>
    <tableColumn id="99" xr3:uid="{70787DA8-F9BD-4804-BE30-7093D70B7B3F}" uniqueName="99" name="index" queryTableFieldId="99" dataDxfId="158"/>
    <tableColumn id="100" xr3:uid="{AEA64E8B-DE04-4D76-906B-0DFEB9C7C2BD}" uniqueName="100" name="sample_id" queryTableFieldId="100" dataDxfId="157"/>
    <tableColumn id="101" xr3:uid="{9B644E44-ADA6-4F1B-893D-ADD9F66B3C33}" uniqueName="101" name="sample_type" queryTableFieldId="101" dataDxfId="156"/>
    <tableColumn id="102" xr3:uid="{1D6BA2CD-9A2C-4210-9690-B007E1DF9BF8}" uniqueName="102" name="sample_date" queryTableFieldId="102" dataDxfId="155"/>
    <tableColumn id="103" xr3:uid="{C29E2C98-65EE-4319-B1B0-E74835A07027}" uniqueName="103" name="unit" queryTableFieldId="103" dataDxfId="154"/>
    <tableColumn id="104" xr3:uid="{193CA757-C72B-4D83-A088-910FE5E1F4E0}" uniqueName="104" name="sample_form" queryTableFieldId="104" dataDxfId="153"/>
    <tableColumn id="105" xr3:uid="{5F4D6888-AFD2-48CA-A10E-F76EAC41B428}" uniqueName="105" name="sample_location" queryTableFieldId="105" dataDxfId="152"/>
    <tableColumn id="106" xr3:uid="{12031D81-871F-4143-B417-3BC655AD3D63}" uniqueName="106" name="sample_information" queryTableFieldId="106" dataDxfId="151"/>
    <tableColumn id="93" xr3:uid="{1FFA9DF4-95A4-4FF5-8D3D-B1939872DCE2}" uniqueName="93" name="origin" queryTableFieldId="199" dataDxfId="150"/>
    <tableColumn id="94" xr3:uid="{C63EC88A-10E2-4534-8C2F-07665E9B7DC3}" uniqueName="94" name="available_from" queryTableFieldId="200" dataDxfId="149"/>
    <tableColumn id="95" xr3:uid="{4F20E0B6-CAC0-44CD-A515-AB9CC6CD7D12}" uniqueName="95" name="info_file" queryTableFieldId="201" dataDxfId="148"/>
    <tableColumn id="109" xr3:uid="{F6D011EE-0A27-4914-BB9C-9FBBE2B8943A}" uniqueName="109" name="protocol" queryTableFieldId="109" dataDxfId="147"/>
    <tableColumn id="110" xr3:uid="{74F8530C-FD7E-44BC-BC79-8A8A84638216}" uniqueName="110" name="storage" queryTableFieldId="110" dataDxfId="146"/>
    <tableColumn id="111" xr3:uid="{DE0D744B-03F7-40BC-A04D-0AE04AA784E4}" uniqueName="111" name="gc_method" queryTableFieldId="111" dataDxfId="145"/>
    <tableColumn id="112" xr3:uid="{403AFE9E-3A4C-438D-9DB6-A0DFABF9A251}" uniqueName="112" name="info" queryTableFieldId="112" dataDxfId="144"/>
    <tableColumn id="113" xr3:uid="{5CA24BB3-A04B-4328-A6DB-2EEC8AB61761}" uniqueName="113" name="batch" queryTableFieldId="113" dataDxfId="143"/>
    <tableColumn id="114" xr3:uid="{DA2E4A16-A4FC-4196-9C30-D2EBF4ECEA04}" uniqueName="114" name="cas_nr" queryTableFieldId="114" dataDxfId="142"/>
    <tableColumn id="115" xr3:uid="{E2AE263A-598B-475A-98D8-26B7FD1318A9}" uniqueName="115" name="company" queryTableFieldId="115" dataDxfId="141"/>
    <tableColumn id="116" xr3:uid="{866C202F-62A7-4A66-A622-39F8506C5CA1}" uniqueName="116" name="arrival_date" queryTableFieldId="116" dataDxfId="140"/>
    <tableColumn id="117" xr3:uid="{1067C6D1-EBFA-4AF8-8E08-A54E9A3782E2}" uniqueName="117" name="ref_nr" queryTableFieldId="117" dataDxfId="139"/>
    <tableColumn id="96" xr3:uid="{9D7DCE9B-7357-4BBE-A64C-F6F33C857134}" uniqueName="96" name="drymatter_g_per_kg" queryTableFieldId="202" dataDxfId="138"/>
    <tableColumn id="97" xr3:uid="{5D8CB022-8B4C-477A-950D-F9AEA6CF59D1}" uniqueName="97" name="ash_g_per_kg_dm" queryTableFieldId="203" dataDxfId="137"/>
    <tableColumn id="98" xr3:uid="{4FB02E82-9CDB-47F7-AD99-2D7D9762F5E9}" uniqueName="98" name="crude_fibre_g_per_kg_dm" queryTableFieldId="204" dataDxfId="136"/>
    <tableColumn id="118" xr3:uid="{B4C79E00-F8E7-4261-AD2F-B5828D3FE679}" uniqueName="118" name="crude_protein_g_per_kg_dm" queryTableFieldId="205" dataDxfId="135"/>
    <tableColumn id="119" xr3:uid="{C002397C-FFEE-4E1E-B820-2AE253F75736}" uniqueName="119" name="crude_fat_g_per_kg_dm" queryTableFieldId="206" dataDxfId="134"/>
    <tableColumn id="120" xr3:uid="{132FC07F-5CDA-4763-99CC-649E8DA6D881}" uniqueName="120" name="adf_g_per_kg_dm" queryTableFieldId="207" dataDxfId="133"/>
    <tableColumn id="121" xr3:uid="{737DDE98-ECB1-49C9-A7F8-80E467986B37}" uniqueName="121" name="ndf_g_per_kg_dm" queryTableFieldId="208" dataDxfId="132"/>
    <tableColumn id="122" xr3:uid="{F3CA887C-864F-43A0-82B4-F2372CFB1F97}" uniqueName="122" name="starch_g_per_kg_dm" queryTableFieldId="209" dataDxfId="131"/>
    <tableColumn id="123" xr3:uid="{152E514D-D1A9-4762-BD08-66F12C68ABDB}" uniqueName="123" name="sugar_g_per_kg_dm" queryTableFieldId="210" dataDxfId="130"/>
    <tableColumn id="77" xr3:uid="{AEF711AD-C99C-41E3-9581-150702E9CB37}" uniqueName="77" name="test_variable" queryTableFieldId="143" dataDxfId="12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F6B611D-1283-4D73-BA8E-53B89804DD9A}" name="lanupro_vocabulary_general" displayName="lanupro_vocabulary_general" ref="A1:AE106" tableType="queryTable" totalsRowShown="0">
  <autoFilter ref="A1:AE106" xr:uid="{5F6B611D-1283-4D73-BA8E-53B89804DD9A}"/>
  <tableColumns count="31">
    <tableColumn id="1" xr3:uid="{6157F731-06EC-4821-A6E6-55CB2677D109}" uniqueName="1" name="lanupro_ontology" queryTableFieldId="1" dataDxfId="128"/>
    <tableColumn id="2" xr3:uid="{6359BA88-4805-476E-A721-DECEE5536CA9}" uniqueName="2" name="index" queryTableFieldId="2" dataDxfId="127"/>
    <tableColumn id="3" xr3:uid="{013137FA-B237-4D8F-AE33-64081AFBD414}" uniqueName="3" name="sample_id" queryTableFieldId="3" dataDxfId="126"/>
    <tableColumn id="4" xr3:uid="{C81D517B-4ABD-4E82-81A5-0B809E292268}" uniqueName="4" name="sample_type" queryTableFieldId="4" dataDxfId="125"/>
    <tableColumn id="5" xr3:uid="{CA0F465D-4A2E-4E0D-8F14-07C476E624BB}" uniqueName="5" name="sample_date" queryTableFieldId="5" dataDxfId="124"/>
    <tableColumn id="6" xr3:uid="{80494C3F-6E16-40B5-9DEC-4F38000E8AC6}" uniqueName="6" name="unit" queryTableFieldId="6" dataDxfId="123"/>
    <tableColumn id="7" xr3:uid="{ABA4D55A-587A-4029-A2F4-B463131DC264}" uniqueName="7" name="sample_form" queryTableFieldId="7" dataDxfId="122"/>
    <tableColumn id="8" xr3:uid="{CB55E4D4-DF91-4EF7-8DCC-82BF03E0A2D2}" uniqueName="8" name="sample_location" queryTableFieldId="8" dataDxfId="121"/>
    <tableColumn id="9" xr3:uid="{9AA07465-0AF5-41C5-9AD5-70518F7482CF}" uniqueName="9" name="sample_information" queryTableFieldId="9" dataDxfId="120"/>
    <tableColumn id="11" xr3:uid="{A9DA3B86-69B3-482B-8D72-A5155D733CFB}" uniqueName="11" name="origin" queryTableFieldId="38" dataDxfId="119"/>
    <tableColumn id="21" xr3:uid="{E85333B0-9CF9-48F9-ABED-F2852E152317}" uniqueName="21" name="available_from" queryTableFieldId="39" dataDxfId="118"/>
    <tableColumn id="22" xr3:uid="{0A717F43-31F8-4268-8714-E877C59400DF}" uniqueName="22" name="info_file" queryTableFieldId="40" dataDxfId="117"/>
    <tableColumn id="12" xr3:uid="{95216588-F802-438C-9EC6-D74D83001EBF}" uniqueName="12" name="protocol" queryTableFieldId="12" dataDxfId="116"/>
    <tableColumn id="13" xr3:uid="{A75CA863-6236-434B-9CF6-318E0A9E04A8}" uniqueName="13" name="storage" queryTableFieldId="13" dataDxfId="115"/>
    <tableColumn id="14" xr3:uid="{CBD8F2E8-00E1-4A6A-A2C6-9AFE7929B5DC}" uniqueName="14" name="gc_method" queryTableFieldId="14" dataDxfId="114"/>
    <tableColumn id="15" xr3:uid="{D354AA1C-B58E-4720-A332-020F0572B91B}" uniqueName="15" name="info" queryTableFieldId="15" dataDxfId="113"/>
    <tableColumn id="16" xr3:uid="{6252AE2C-DE99-4106-994B-44494BC82DDA}" uniqueName="16" name="batch" queryTableFieldId="16" dataDxfId="112"/>
    <tableColumn id="17" xr3:uid="{C3F0370B-F103-4F6C-8638-7B880ECA50D0}" uniqueName="17" name="cas_nr" queryTableFieldId="17" dataDxfId="111"/>
    <tableColumn id="18" xr3:uid="{5CE64C4D-6F7E-4314-9626-1ED194ECC6CB}" uniqueName="18" name="company" queryTableFieldId="18" dataDxfId="110"/>
    <tableColumn id="19" xr3:uid="{634CB409-8BBD-425F-8E12-9357EF62308B}" uniqueName="19" name="arrival_date" queryTableFieldId="19" dataDxfId="109"/>
    <tableColumn id="20" xr3:uid="{58FC0300-F9FD-43D8-A4A7-86D9CAEE3186}" uniqueName="20" name="ref_nr" queryTableFieldId="20" dataDxfId="108"/>
    <tableColumn id="23" xr3:uid="{91CA9BC8-D1BE-4458-BC01-B3C866DBBBD8}" uniqueName="23" name="drymatter_g_per_kg" queryTableFieldId="41" dataDxfId="107"/>
    <tableColumn id="24" xr3:uid="{5575B8D3-1B98-4C9C-9BC8-90F388FDF028}" uniqueName="24" name="ash_g_per_kg_dm" queryTableFieldId="42" dataDxfId="106"/>
    <tableColumn id="25" xr3:uid="{08CE520E-56F9-4BFD-BBBE-0F9F63A41920}" uniqueName="25" name="crude_fibre_g_per_kg_dm" queryTableFieldId="43" dataDxfId="105"/>
    <tableColumn id="26" xr3:uid="{BC6B8ADC-6678-4FF2-BE89-7F76BEAAF08B}" uniqueName="26" name="crude_protein_g_per_kg_dm" queryTableFieldId="44" dataDxfId="104"/>
    <tableColumn id="27" xr3:uid="{C431D8B8-865D-441B-98B3-F3CA28CA093E}" uniqueName="27" name="crude_fat_g_per_kg_dm" queryTableFieldId="45" dataDxfId="103"/>
    <tableColumn id="28" xr3:uid="{7E057863-0513-4267-B8E2-8EC6E3EC13A8}" uniqueName="28" name="adf_g_per_kg_dm" queryTableFieldId="46" dataDxfId="102"/>
    <tableColumn id="29" xr3:uid="{13C9DEB3-5D62-4167-B345-4544B864C129}" uniqueName="29" name="ndf_g_per_kg_dm" queryTableFieldId="47" dataDxfId="101"/>
    <tableColumn id="30" xr3:uid="{BBA2A1A5-D8E7-4493-B47E-419848656707}" uniqueName="30" name="starch_g_per_kg_dm" queryTableFieldId="48" dataDxfId="100"/>
    <tableColumn id="31" xr3:uid="{A98FB8C9-A10A-4F46-A45A-5F8DB3EBF405}" uniqueName="31" name="sugar_g_per_kg_dm" queryTableFieldId="49" dataDxfId="99"/>
    <tableColumn id="10" xr3:uid="{00ECC658-4049-4971-BB1F-AA0217698115}" uniqueName="10" name="test_variable" queryTableFieldId="37" dataDxfId="9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81020AF-0257-46A7-AFB6-6083C8C339F0}" name="lanupro_vocabulary_incubations" displayName="lanupro_vocabulary_incubations" ref="A1:CP106" tableType="queryTable" totalsRowShown="0">
  <autoFilter ref="A1:CP106" xr:uid="{681020AF-0257-46A7-AFB6-6083C8C339F0}"/>
  <tableColumns count="94">
    <tableColumn id="1" xr3:uid="{6414D980-B877-429D-9743-864C1662B881}" uniqueName="1" name="lanupro_ontology" queryTableFieldId="1" dataDxfId="97"/>
    <tableColumn id="2" xr3:uid="{7D64F1A8-95B0-4909-B0D7-CFE1088008C2}" uniqueName="2" name="substrate_ms_id" queryTableFieldId="2" dataDxfId="96"/>
    <tableColumn id="3" xr3:uid="{B5B61894-37DF-4690-8524-AA71D862482A}" uniqueName="3" name="substrate_ms_mg" queryTableFieldId="3" dataDxfId="95"/>
    <tableColumn id="8" xr3:uid="{80A239C5-41B5-4A02-9D76-774D62153BCB}" uniqueName="8" name="substrate_ms_weighed_mg" queryTableFieldId="98" dataDxfId="94"/>
    <tableColumn id="4" xr3:uid="{0D0E7F68-B471-46D4-940C-E22A0BB41796}" uniqueName="4" name="substrate_gs_id" queryTableFieldId="4" dataDxfId="93"/>
    <tableColumn id="5" xr3:uid="{DC2B6797-16C8-477B-8A75-EAE00091660D}" uniqueName="5" name="substrate_gs_mg" queryTableFieldId="5" dataDxfId="92"/>
    <tableColumn id="9" xr3:uid="{CC8E4AF6-65A9-4A52-AC8F-EA25A1C59CE7}" uniqueName="9" name="substrate_gs_weighed_mg" queryTableFieldId="99" dataDxfId="91"/>
    <tableColumn id="6" xr3:uid="{8289AA97-BA6C-4F8C-B6A3-908C9A1617E7}" uniqueName="6" name="substrate_conc_id" queryTableFieldId="6" dataDxfId="90"/>
    <tableColumn id="12" xr3:uid="{6A189CFE-3EDA-41E1-B75A-89E28A0B6AE6}" uniqueName="12" name="substrate_st_id" queryTableFieldId="100" dataDxfId="89"/>
    <tableColumn id="19" xr3:uid="{0CED9032-B360-4B82-9696-8C703BFDE3AF}" uniqueName="19" name="substrate_st_mg" queryTableFieldId="101" dataDxfId="88"/>
    <tableColumn id="22" xr3:uid="{8BFF8005-5C76-4399-AD39-D2B6A146B0CA}" uniqueName="22" name="substrate_st_weighed_mg" queryTableFieldId="102" dataDxfId="87"/>
    <tableColumn id="7" xr3:uid="{B678E811-FF3C-4284-876C-12B9016433FF}" uniqueName="7" name="substrate_conc_mg" queryTableFieldId="7" dataDxfId="86"/>
    <tableColumn id="25" xr3:uid="{0154B5CA-22F4-4A10-AAF7-26B07A5BD092}" uniqueName="25" name="masterfile_id" queryTableFieldId="103" dataDxfId="85"/>
    <tableColumn id="33" xr3:uid="{0AB441F1-C1FC-4750-9BCC-8B523F45F137}" uniqueName="33" name="substrate_id" queryTableFieldId="104" dataDxfId="84"/>
    <tableColumn id="45" xr3:uid="{88025ED7-6972-4481-B507-66C88FE3DD10}" uniqueName="45" name="substrate_sbm_id" queryTableFieldId="105" dataDxfId="83"/>
    <tableColumn id="46" xr3:uid="{963FAF28-F946-4FEE-8D4A-3C70E6CF4EFA}" uniqueName="46" name="substrate_conc_mixture_id" queryTableFieldId="106" dataDxfId="82"/>
    <tableColumn id="47" xr3:uid="{F0043474-1EE8-4CB8-B8D4-B5E55FE0AA24}" uniqueName="47" name="compound_1" queryTableFieldId="107" dataDxfId="81"/>
    <tableColumn id="48" xr3:uid="{8961F6E1-A47D-4BE0-A4BC-E6BC12535767}" uniqueName="48" name="info_compound_1" queryTableFieldId="108" dataDxfId="80"/>
    <tableColumn id="49" xr3:uid="{8BF35C0B-F32F-4F37-8511-26CBF8F7112D}" uniqueName="49" name="compound_1_g_per_kg_dm" queryTableFieldId="109" dataDxfId="79"/>
    <tableColumn id="50" xr3:uid="{76EA33D8-0B54-49B8-AB7C-DAAA14399B56}" uniqueName="50" name="compound_2" queryTableFieldId="110" dataDxfId="78"/>
    <tableColumn id="51" xr3:uid="{AEBC6CD7-CBF8-4EAB-85C4-C1AD7CE21402}" uniqueName="51" name="info_compound_2" queryTableFieldId="111" dataDxfId="77"/>
    <tableColumn id="52" xr3:uid="{05A9A282-4C13-4CBC-9155-8B12CFE1D67D}" uniqueName="52" name="compound_2_g_per_kg_dm" queryTableFieldId="112" dataDxfId="76"/>
    <tableColumn id="13" xr3:uid="{E67F248D-FC85-4F84-B7A5-145495C624DA}" uniqueName="13" name="inocula_id" queryTableFieldId="73" dataDxfId="75"/>
    <tableColumn id="15" xr3:uid="{7ABFEEB4-E63B-43CD-9AEC-90B0328A48FD}" uniqueName="15" name="inocula_date" queryTableFieldId="74" dataDxfId="74"/>
    <tableColumn id="30" xr3:uid="{499AEBF8-8F99-4200-815F-3497C9F95C5F}" uniqueName="30" name="inocula_type" queryTableFieldId="75" dataDxfId="73"/>
    <tableColumn id="53" xr3:uid="{178CD0AC-BA3F-45BF-B798-AC09CBFC87E3}" uniqueName="53" name="inocula_name" queryTableFieldId="113" dataDxfId="72"/>
    <tableColumn id="54" xr3:uid="{0D61C9CE-9A91-4BEB-94E3-3C7FFB30ADA7}" uniqueName="54" name="cow_ilvo_id" queryTableFieldId="114" dataDxfId="71"/>
    <tableColumn id="55" xr3:uid="{70895C94-18EA-4291-AD71-57E7F40A98B8}" uniqueName="55" name="diet_cows" queryTableFieldId="115" dataDxfId="70"/>
    <tableColumn id="10" xr3:uid="{DF5527BD-14A9-427D-9240-F36D289B3002}" uniqueName="10" name="trt_rep_1_type" queryTableFieldId="10" dataDxfId="69"/>
    <tableColumn id="11" xr3:uid="{DF0FF027-B222-4943-9776-0C07B748E192}" uniqueName="11" name="trt_rep_1_id" queryTableFieldId="11" dataDxfId="68"/>
    <tableColumn id="67" xr3:uid="{CA767FC7-FF2B-48B3-9C94-58F6507CC405}" uniqueName="67" name="trt_rep_1_mg" queryTableFieldId="116" dataDxfId="67"/>
    <tableColumn id="69" xr3:uid="{BF360627-EE83-48CB-B0BB-86D0AB61B78D}" uniqueName="69" name="nylon_pore_size_um" queryTableFieldId="69" dataDxfId="66"/>
    <tableColumn id="14" xr3:uid="{04C79BB8-2124-49DA-AEF5-5C41F35DB03C}" uniqueName="14" name="bag_size_cm2" queryTableFieldId="14" dataDxfId="65"/>
    <tableColumn id="73" xr3:uid="{584C0383-AB69-4DF2-A711-36E62AE38DB6}" uniqueName="73" name="trt_label_1" queryTableFieldId="79" dataDxfId="64"/>
    <tableColumn id="16" xr3:uid="{82A130F5-B02C-46CE-A93A-888C1F641F0D}" uniqueName="16" name="trt_add_1_type" queryTableFieldId="16" dataDxfId="63"/>
    <tableColumn id="17" xr3:uid="{1E7DA7C8-66BA-4739-B672-0C33D292F81D}" uniqueName="17" name="trt_add_1_id" queryTableFieldId="17" dataDxfId="62"/>
    <tableColumn id="70" xr3:uid="{053A83E3-2CE6-44CE-AA88-2D33B241BD2F}" uniqueName="70" name="trt_add_1_description" queryTableFieldId="117" dataDxfId="61"/>
    <tableColumn id="18" xr3:uid="{A3CFFBA5-92CF-4612-9FC7-5780850689F8}" uniqueName="18" name="trt_add_1_ug_per_ml" queryTableFieldId="18" dataDxfId="60"/>
    <tableColumn id="71" xr3:uid="{54DE0555-2D8C-490B-A7D4-E474BD4706AE}" uniqueName="71" name="trt_add_2_type" queryTableFieldId="118" dataDxfId="59"/>
    <tableColumn id="20" xr3:uid="{8BF0F313-79E1-4E38-857A-80D0FCDE020B}" uniqueName="20" name="trt_add_2_id" queryTableFieldId="20" dataDxfId="58"/>
    <tableColumn id="72" xr3:uid="{ED41C424-306D-40FB-8B43-893F3E00246D}" uniqueName="72" name="trt_add_2_description" queryTableFieldId="119" dataDxfId="57"/>
    <tableColumn id="21" xr3:uid="{ECDBAB6D-1C64-4F60-A747-42DB425E5409}" uniqueName="21" name="trt_add_2_ug_per_ml" queryTableFieldId="21" dataDxfId="56"/>
    <tableColumn id="74" xr3:uid="{F8A80099-55DE-4BE0-B9A0-630D9832A223}" uniqueName="74" name="trt_add_3_type" queryTableFieldId="120" dataDxfId="55"/>
    <tableColumn id="23" xr3:uid="{0168FF91-86D5-4C80-8544-CC414A03A3EC}" uniqueName="23" name="trt_add_3_id" queryTableFieldId="23" dataDxfId="54"/>
    <tableColumn id="75" xr3:uid="{78F03C37-5C5E-41DB-93B0-CA35ED869553}" uniqueName="75" name="trt_add_3_description" queryTableFieldId="121" dataDxfId="53"/>
    <tableColumn id="24" xr3:uid="{A31A0971-B0AB-4ADB-9E50-39B458B69F6C}" uniqueName="24" name="trt_add_3_ug_per_ml" queryTableFieldId="24" dataDxfId="52"/>
    <tableColumn id="76" xr3:uid="{CFEE9E20-8AFA-44A8-99CF-9CDECEBD3DFF}" uniqueName="76" name="trt_add_4_type" queryTableFieldId="122" dataDxfId="51"/>
    <tableColumn id="26" xr3:uid="{3ADFEE4C-3A8C-4266-BA52-B3AEE948C9A1}" uniqueName="26" name="trt_add_4_id" queryTableFieldId="26" dataDxfId="50"/>
    <tableColumn id="80" xr3:uid="{84B3EAB1-A569-4D2F-A258-C7C575BC7909}" uniqueName="80" name="trt_add_4_description" queryTableFieldId="123" dataDxfId="49"/>
    <tableColumn id="27" xr3:uid="{CF280DDA-C4D5-4A7D-A9EC-EB01C3414523}" uniqueName="27" name="trt_add_4_ug_per_ml" queryTableFieldId="27" dataDxfId="48"/>
    <tableColumn id="28" xr3:uid="{F65F95EF-E374-40A5-9941-2790A290C270}" uniqueName="28" name="vol_grav" queryTableFieldId="28" dataDxfId="47"/>
    <tableColumn id="29" xr3:uid="{DB3AEF9A-EA23-43FF-9705-987A98E969FB}" uniqueName="29" name="post_rumen_id" queryTableFieldId="29" dataDxfId="46"/>
    <tableColumn id="81" xr3:uid="{39E76F2F-2BBA-4F14-8E13-0D6C0B0B83DB}" uniqueName="81" name="rumen_duration" queryTableFieldId="124" dataDxfId="45"/>
    <tableColumn id="31" xr3:uid="{9728AA47-C0B3-4AFF-B82B-D25BD0A72EB2}" uniqueName="31" name="vol_flask_ml" queryTableFieldId="31" dataDxfId="44"/>
    <tableColumn id="32" xr3:uid="{25E71B2A-F826-4B76-A391-27029EB11C1B}" uniqueName="32" name="post_rumen_stomach_duration" queryTableFieldId="32" dataDxfId="43"/>
    <tableColumn id="82" xr3:uid="{B115055D-A98D-401A-8FFE-020C3D57C65F}" uniqueName="82" name="post_rumen_small_intestine_duration" queryTableFieldId="125" dataDxfId="42"/>
    <tableColumn id="34" xr3:uid="{957254E9-0CE4-47D7-A976-A8FB4E456048}" uniqueName="34" name="gas" queryTableFieldId="34" dataDxfId="41"/>
    <tableColumn id="35" xr3:uid="{90BA1380-5321-499A-A30C-1641BE7BF959}" uniqueName="35" name="gas_method" queryTableFieldId="35" dataDxfId="40"/>
    <tableColumn id="36" xr3:uid="{78CCEC32-7C96-4425-AB71-66C5B2BF3AEA}" uniqueName="36" name="vfa" queryTableFieldId="36" dataDxfId="39"/>
    <tableColumn id="37" xr3:uid="{5726ACA1-E4E6-449F-AAE2-9ED1A9E468C6}" uniqueName="37" name="vfa_method" queryTableFieldId="37" dataDxfId="38"/>
    <tableColumn id="38" xr3:uid="{023D95C2-956F-4595-A326-CEF0BB3F89E8}" uniqueName="38" name="dm" queryTableFieldId="38" dataDxfId="37"/>
    <tableColumn id="39" xr3:uid="{CCE1A0D9-BD62-4E22-8BCB-C3CB091FC9F7}" uniqueName="39" name="dm_method" queryTableFieldId="39" dataDxfId="36"/>
    <tableColumn id="40" xr3:uid="{2A4E3359-9B94-4FC6-B117-8578B069ED42}" uniqueName="40" name="press" queryTableFieldId="40" dataDxfId="35"/>
    <tableColumn id="41" xr3:uid="{EACA1730-5C7D-4FAC-B9D2-E2996C6AA2DD}" uniqueName="41" name="temp" queryTableFieldId="41" dataDxfId="34"/>
    <tableColumn id="42" xr3:uid="{533BE790-C007-4080-B7CB-682EA483AA0F}" uniqueName="42" name="ph_b" queryTableFieldId="42" dataDxfId="33"/>
    <tableColumn id="43" xr3:uid="{90EAAEFE-B5D9-410F-A88F-7A91C8458899}" uniqueName="43" name="ph_rf" queryTableFieldId="43" dataDxfId="32"/>
    <tableColumn id="44" xr3:uid="{E40EC5D6-CC9E-4BA5-ACE0-012BA831030D}" uniqueName="44" name="ph_b_rf" queryTableFieldId="44" dataDxfId="31"/>
    <tableColumn id="83" xr3:uid="{BED48D5C-5FC9-4799-A574-E4D1CC861615}" uniqueName="83" name="methane_umol_per_g_dm" queryTableFieldId="126" dataDxfId="30"/>
    <tableColumn id="84" xr3:uid="{065E1FBD-71BF-44E3-8802-F693733E1DD3}" uniqueName="84" name="hydrogen_umol_per_g_dm" queryTableFieldId="127" dataDxfId="29"/>
    <tableColumn id="85" xr3:uid="{3151B082-7D57-45D0-9D49-45579CF1D3E8}" uniqueName="85" name="total_vfa_umol_per_g_dm" queryTableFieldId="128" dataDxfId="28"/>
    <tableColumn id="86" xr3:uid="{860B363E-59FE-43E8-A0EA-AB7CF24415DC}" uniqueName="86" name="methane_total_vfa_mol_per_mol" queryTableFieldId="129" dataDxfId="27"/>
    <tableColumn id="87" xr3:uid="{B54C5576-9762-4D7D-9E09-563296C409FF}" uniqueName="87" name="acetate_umol_per_g_dm" queryTableFieldId="130" dataDxfId="26"/>
    <tableColumn id="88" xr3:uid="{9417A07D-B5F6-4BD8-AEEE-E040D25BC24C}" uniqueName="88" name="propionate_umol_per_g_dm" queryTableFieldId="131" dataDxfId="25"/>
    <tableColumn id="89" xr3:uid="{11D6641B-E589-4648-853A-E86ECAC71E7D}" uniqueName="89" name="isobutyrate_umol_per_g_dm" queryTableFieldId="132" dataDxfId="24"/>
    <tableColumn id="90" xr3:uid="{A5DAF5A4-79C6-4303-AFF0-B91FBAC32D8E}" uniqueName="90" name="butyrate_umol_per_g_dm" queryTableFieldId="133" dataDxfId="23"/>
    <tableColumn id="91" xr3:uid="{6FED7285-AFD2-4CEA-92A6-B95E36FDC452}" uniqueName="91" name="isovalerate_umol_per_g_dm" queryTableFieldId="134" dataDxfId="22"/>
    <tableColumn id="92" xr3:uid="{7403E5C3-1413-4E53-BD98-3FECD5845999}" uniqueName="92" name="valerate_umol_per_g_dm" queryTableFieldId="135" dataDxfId="21"/>
    <tableColumn id="93" xr3:uid="{21645F80-6AF5-4CF7-BD88-7FC87CFFFC95}" uniqueName="93" name="caproate_umol_per_g_dm" queryTableFieldId="136" dataDxfId="20"/>
    <tableColumn id="56" xr3:uid="{30F393C0-0FCA-44DE-8EDB-AF8F87079797}" uniqueName="56" name="acetate_percent" queryTableFieldId="56" dataDxfId="19"/>
    <tableColumn id="57" xr3:uid="{12AAEB59-3AB3-490D-8394-BD8010166C59}" uniqueName="57" name="propionate_percent" queryTableFieldId="57" dataDxfId="18"/>
    <tableColumn id="58" xr3:uid="{26190317-05A6-43E4-8DE0-31B952C83B47}" uniqueName="58" name="isobutyrate_percent" queryTableFieldId="58" dataDxfId="17"/>
    <tableColumn id="59" xr3:uid="{E75E60A6-25B3-48C3-BB2A-0ACFD7573092}" uniqueName="59" name="butyrate_percent" queryTableFieldId="59" dataDxfId="16"/>
    <tableColumn id="60" xr3:uid="{2C5943EE-0EB0-487C-91E5-4DDC6F25271B}" uniqueName="60" name="isovalerate_percent" queryTableFieldId="60" dataDxfId="15"/>
    <tableColumn id="61" xr3:uid="{69412DF6-767F-4CB7-9C81-DFCAD66579A0}" uniqueName="61" name="valerate_percent" queryTableFieldId="61" dataDxfId="14"/>
    <tableColumn id="62" xr3:uid="{9332C066-157B-4889-A4A1-535E3D2CAF43}" uniqueName="62" name="caproate_percent" queryTableFieldId="62" dataDxfId="13"/>
    <tableColumn id="63" xr3:uid="{E866FC62-790D-447C-8239-C221C48352F4}" uniqueName="63" name="ardom_percent" queryTableFieldId="63" dataDxfId="12"/>
    <tableColumn id="64" xr3:uid="{B59236FE-7F17-4D99-B574-EFABBC519C8F}" uniqueName="64" name="ph" queryTableFieldId="64" dataDxfId="11"/>
    <tableColumn id="65" xr3:uid="{C0E1A84A-B8D3-4539-8530-533785D7068B}" uniqueName="65" name="rumen_degradability_percent" queryTableFieldId="65" dataDxfId="10"/>
    <tableColumn id="66" xr3:uid="{BBB4A3DF-0065-4447-B2AC-490A3C8A0D25}" uniqueName="66" name="overall_degradability_percent" queryTableFieldId="66" dataDxfId="9"/>
    <tableColumn id="94" xr3:uid="{3864D12B-01E0-4649-8B15-C1DAE7E5F36E}" uniqueName="94" name="methane_umol_per_g_dm_digested" queryTableFieldId="137" dataDxfId="8"/>
    <tableColumn id="68" xr3:uid="{C82580F4-348D-4A31-858F-1AB738C5C248}" uniqueName="68" name="postrumen_digestibility_percent" queryTableFieldId="68" dataDxfId="7"/>
    <tableColumn id="77" xr3:uid="{A2934780-3B3D-4A51-8E6C-6A60A84AF15F}" uniqueName="77" name="septum" queryTableFieldId="83" dataDxfId="6"/>
    <tableColumn id="78" xr3:uid="{941D4DFA-A731-4874-98E2-CADAB52F926A}" uniqueName="78" name="repetition" queryTableFieldId="84" dataDxfId="5"/>
    <tableColumn id="79" xr3:uid="{527ACCF4-405F-456C-A6F9-28216573AA99}" uniqueName="79" name="run" queryTableFieldId="85" dataDxf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H46"/>
  <sheetViews>
    <sheetView workbookViewId="0">
      <selection activeCell="B15" sqref="B15"/>
    </sheetView>
  </sheetViews>
  <sheetFormatPr defaultColWidth="9.33203125" defaultRowHeight="15.75" customHeight="1"/>
  <cols>
    <col min="1" max="1" width="37.5546875" style="2" customWidth="1"/>
    <col min="2" max="2" width="118.33203125" customWidth="1"/>
    <col min="3" max="3" width="5.6640625" style="3" customWidth="1"/>
    <col min="4" max="5" width="9.33203125" style="3"/>
    <col min="6" max="6" width="14.44140625" style="3" customWidth="1"/>
    <col min="7" max="7" width="9.5546875" style="3" customWidth="1"/>
    <col min="8" max="8" width="9.33203125" style="3"/>
  </cols>
  <sheetData>
    <row r="1" spans="1:2" ht="15.75" customHeight="1">
      <c r="A1" s="1" t="s">
        <v>0</v>
      </c>
      <c r="B1" s="4"/>
    </row>
    <row r="2" spans="1:2" ht="15.75" customHeight="1">
      <c r="A2" s="1"/>
      <c r="B2" s="5"/>
    </row>
    <row r="3" spans="1:2" ht="15.75" customHeight="1">
      <c r="A3" s="9" t="s">
        <v>1</v>
      </c>
      <c r="B3" s="4"/>
    </row>
    <row r="4" spans="1:2" ht="15.75" customHeight="1">
      <c r="A4" s="1" t="s">
        <v>2</v>
      </c>
      <c r="B4" s="8"/>
    </row>
    <row r="5" spans="1:2" ht="15.75" customHeight="1">
      <c r="A5" s="1" t="s">
        <v>3</v>
      </c>
      <c r="B5" s="4"/>
    </row>
    <row r="6" spans="1:2" ht="15.75" customHeight="1">
      <c r="A6" s="1" t="s">
        <v>4</v>
      </c>
      <c r="B6" s="4"/>
    </row>
    <row r="7" spans="1:2" ht="15.75" customHeight="1">
      <c r="A7" s="1" t="s">
        <v>5</v>
      </c>
      <c r="B7" s="7"/>
    </row>
    <row r="8" spans="1:2" ht="15.6">
      <c r="A8" s="1" t="s">
        <v>6</v>
      </c>
    </row>
    <row r="9" spans="1:2" ht="15.75" customHeight="1">
      <c r="A9" s="1" t="s">
        <v>7</v>
      </c>
      <c r="B9" s="14"/>
    </row>
    <row r="10" spans="1:2" ht="15.75" customHeight="1">
      <c r="A10" s="1" t="s">
        <v>204</v>
      </c>
      <c r="B10" s="11"/>
    </row>
    <row r="11" spans="1:2" ht="15.75" customHeight="1">
      <c r="A11" s="1"/>
      <c r="B11" s="6"/>
    </row>
    <row r="12" spans="1:2" ht="15.75" customHeight="1">
      <c r="A12" s="1" t="s">
        <v>8</v>
      </c>
      <c r="B12" s="4"/>
    </row>
    <row r="13" spans="1:2" ht="15.75" customHeight="1">
      <c r="B13" s="5"/>
    </row>
    <row r="14" spans="1:2" ht="15.75" customHeight="1">
      <c r="A14" s="15" t="s">
        <v>9</v>
      </c>
      <c r="B14" s="4"/>
    </row>
    <row r="15" spans="1:2" ht="15.75" customHeight="1">
      <c r="A15" s="1" t="s">
        <v>10</v>
      </c>
      <c r="B15" s="4"/>
    </row>
    <row r="16" spans="1:2" ht="15.75" customHeight="1">
      <c r="B16" s="5"/>
    </row>
    <row r="17" spans="1:3" ht="15.75" customHeight="1">
      <c r="A17" s="2" t="s">
        <v>11</v>
      </c>
      <c r="B17" s="180"/>
    </row>
    <row r="18" spans="1:3" ht="15.75" customHeight="1">
      <c r="B18" s="5"/>
    </row>
    <row r="19" spans="1:3" ht="15.75" customHeight="1">
      <c r="B19" s="4"/>
    </row>
    <row r="20" spans="1:3" ht="15.75" customHeight="1">
      <c r="B20" s="5"/>
    </row>
    <row r="21" spans="1:3" ht="15.75" customHeight="1">
      <c r="B21" s="16" t="s">
        <v>12</v>
      </c>
      <c r="C21" s="12"/>
    </row>
    <row r="22" spans="1:3" ht="15.75" customHeight="1">
      <c r="B22" s="17" t="s">
        <v>13</v>
      </c>
      <c r="C22" s="12"/>
    </row>
    <row r="23" spans="1:3" ht="15.75" customHeight="1">
      <c r="B23" s="18" t="s">
        <v>14</v>
      </c>
      <c r="C23" s="12"/>
    </row>
    <row r="24" spans="1:3" ht="15.75" customHeight="1">
      <c r="B24" s="19" t="s">
        <v>15</v>
      </c>
      <c r="C24" s="12"/>
    </row>
    <row r="25" spans="1:3" ht="15.75" customHeight="1">
      <c r="B25" s="20" t="s">
        <v>16</v>
      </c>
      <c r="C25" s="12"/>
    </row>
    <row r="26" spans="1:3" ht="15.75" customHeight="1">
      <c r="C26" s="12"/>
    </row>
    <row r="27" spans="1:3" ht="15.75" customHeight="1">
      <c r="B27" s="22" t="s">
        <v>17</v>
      </c>
      <c r="C27" s="12"/>
    </row>
    <row r="28" spans="1:3" ht="15.75" customHeight="1">
      <c r="B28" s="21" t="s">
        <v>18</v>
      </c>
      <c r="C28" s="12"/>
    </row>
    <row r="29" spans="1:3" ht="15.75" customHeight="1">
      <c r="B29" s="13"/>
      <c r="C29" s="12"/>
    </row>
    <row r="30" spans="1:3" ht="15.75" customHeight="1">
      <c r="B30" s="13"/>
      <c r="C30" s="12"/>
    </row>
    <row r="31" spans="1:3" ht="15.75" customHeight="1">
      <c r="B31" s="13"/>
      <c r="C31" s="12"/>
    </row>
    <row r="33" spans="2:3" ht="15.75" customHeight="1">
      <c r="B33" s="11"/>
    </row>
    <row r="35" spans="2:3" ht="15.75" customHeight="1">
      <c r="B35" s="13"/>
      <c r="C35" s="12"/>
    </row>
    <row r="36" spans="2:3" ht="15.75" customHeight="1">
      <c r="B36" s="13"/>
      <c r="C36" s="12"/>
    </row>
    <row r="37" spans="2:3" ht="15.75" customHeight="1">
      <c r="B37" s="13"/>
      <c r="C37" s="12"/>
    </row>
    <row r="38" spans="2:3" ht="15.75" customHeight="1">
      <c r="B38" s="13"/>
      <c r="C38" s="12"/>
    </row>
    <row r="39" spans="2:3" ht="15.75" customHeight="1">
      <c r="B39" s="13"/>
      <c r="C39" s="12"/>
    </row>
    <row r="40" spans="2:3" ht="15.75" customHeight="1">
      <c r="B40" s="13"/>
      <c r="C40" s="12"/>
    </row>
    <row r="41" spans="2:3" ht="15.75" customHeight="1">
      <c r="B41" s="13"/>
      <c r="C41" s="12"/>
    </row>
    <row r="42" spans="2:3" ht="15.75" customHeight="1">
      <c r="B42" s="13"/>
      <c r="C42" s="12"/>
    </row>
    <row r="43" spans="2:3" ht="15.75" customHeight="1">
      <c r="B43" s="13"/>
      <c r="C43" s="12"/>
    </row>
    <row r="44" spans="2:3" ht="15.75" customHeight="1">
      <c r="B44" s="13"/>
      <c r="C44" s="12"/>
    </row>
    <row r="45" spans="2:3" ht="15.75" customHeight="1">
      <c r="B45" s="13"/>
      <c r="C45" s="12"/>
    </row>
    <row r="46" spans="2:3" ht="15.75" customHeight="1">
      <c r="B46" s="13"/>
      <c r="C46" s="12"/>
    </row>
  </sheetData>
  <customSheetViews>
    <customSheetView guid="{6FA6B25F-C902-4E36-BCF2-96912F72A221}">
      <selection activeCell="F20" sqref="F20"/>
      <pageMargins left="0" right="0" top="0" bottom="0" header="0" footer="0"/>
    </customSheetView>
  </customSheetViews>
  <phoneticPr fontId="7" type="noConversion"/>
  <dataValidations count="1">
    <dataValidation type="list" allowBlank="1" showInputMessage="1" sqref="B9" xr:uid="{00000000-0002-0000-0000-000000000000}">
      <formula1>Rumen_incub_prot</formula1>
    </dataValidation>
  </dataValidations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8A6BF-D4DD-448F-8B50-C3E14C1E235C}">
  <sheetPr>
    <pageSetUpPr fitToPage="1"/>
  </sheetPr>
  <dimension ref="A1:YJ200"/>
  <sheetViews>
    <sheetView tabSelected="1" zoomScale="95" zoomScaleNormal="70" workbookViewId="0">
      <pane xSplit="2" ySplit="1" topLeftCell="AT2" activePane="bottomRight" state="frozen"/>
      <selection pane="topRight" activeCell="C1" sqref="C1"/>
      <selection pane="bottomLeft" activeCell="A2" sqref="A2"/>
      <selection pane="bottomRight"/>
    </sheetView>
  </sheetViews>
  <sheetFormatPr defaultColWidth="8.6640625" defaultRowHeight="14.25" customHeight="1"/>
  <cols>
    <col min="1" max="1" width="8.44140625" bestFit="1" customWidth="1"/>
    <col min="2" max="2" width="24" bestFit="1" customWidth="1"/>
    <col min="3" max="3" width="33.33203125" bestFit="1" customWidth="1"/>
    <col min="4" max="4" width="13.44140625" bestFit="1" customWidth="1"/>
    <col min="5" max="5" width="11" customWidth="1"/>
    <col min="6" max="6" width="7.5546875" customWidth="1"/>
    <col min="7" max="7" width="15" customWidth="1"/>
    <col min="8" max="8" width="16.88671875" customWidth="1"/>
    <col min="9" max="10" width="15" customWidth="1"/>
    <col min="11" max="11" width="16.33203125" customWidth="1"/>
    <col min="12" max="12" width="17.77734375" customWidth="1"/>
    <col min="13" max="18" width="15" customWidth="1"/>
    <col min="19" max="19" width="21.6640625" bestFit="1" customWidth="1"/>
    <col min="20" max="21" width="21.6640625" customWidth="1"/>
    <col min="22" max="23" width="22.109375" customWidth="1"/>
    <col min="24" max="24" width="29.44140625" customWidth="1"/>
    <col min="25" max="25" width="17.6640625" customWidth="1"/>
    <col min="26" max="28" width="21.109375" customWidth="1"/>
    <col min="29" max="34" width="14.109375" customWidth="1"/>
    <col min="35" max="39" width="24" customWidth="1"/>
    <col min="40" max="40" width="20.6640625" customWidth="1"/>
    <col min="41" max="41" width="20.5546875" customWidth="1"/>
    <col min="42" max="42" width="20.44140625" customWidth="1"/>
    <col min="43" max="43" width="27.44140625" customWidth="1"/>
    <col min="44" max="44" width="10.44140625" customWidth="1"/>
    <col min="45" max="45" width="13.44140625" customWidth="1"/>
    <col min="46" max="46" width="13.6640625" customWidth="1"/>
    <col min="47" max="47" width="10.44140625" customWidth="1"/>
    <col min="48" max="48" width="14.6640625" customWidth="1"/>
    <col min="49" max="49" width="10.44140625" customWidth="1"/>
    <col min="50" max="50" width="11.44140625" customWidth="1"/>
    <col min="52" max="52" width="21.44140625" customWidth="1"/>
    <col min="53" max="53" width="25" customWidth="1"/>
    <col min="54" max="54" width="23" customWidth="1"/>
    <col min="55" max="55" width="27.44140625" customWidth="1"/>
  </cols>
  <sheetData>
    <row r="1" spans="1:660" s="480" customFormat="1" ht="34.35" customHeight="1">
      <c r="A1" s="40" t="s">
        <v>233</v>
      </c>
      <c r="B1" s="41" t="s">
        <v>234</v>
      </c>
      <c r="C1" s="37" t="s">
        <v>235</v>
      </c>
      <c r="D1" s="42" t="s">
        <v>236</v>
      </c>
      <c r="E1" s="44" t="s">
        <v>237</v>
      </c>
      <c r="F1" s="44" t="s">
        <v>238</v>
      </c>
      <c r="G1" s="473" t="s">
        <v>217</v>
      </c>
      <c r="H1" s="473" t="s">
        <v>218</v>
      </c>
      <c r="I1" s="473" t="s">
        <v>219</v>
      </c>
      <c r="J1" s="473" t="s">
        <v>220</v>
      </c>
      <c r="K1" s="473" t="s">
        <v>221</v>
      </c>
      <c r="L1" s="473" t="s">
        <v>222</v>
      </c>
      <c r="M1" s="473" t="s">
        <v>250</v>
      </c>
      <c r="N1" s="473" t="s">
        <v>251</v>
      </c>
      <c r="O1" s="474" t="s">
        <v>209</v>
      </c>
      <c r="P1" s="474" t="s">
        <v>252</v>
      </c>
      <c r="Q1" s="475" t="s">
        <v>248</v>
      </c>
      <c r="R1" s="475" t="s">
        <v>210</v>
      </c>
      <c r="S1" s="478" t="s">
        <v>249</v>
      </c>
      <c r="T1" s="45" t="s">
        <v>246</v>
      </c>
      <c r="U1" s="45" t="s">
        <v>247</v>
      </c>
      <c r="V1" s="45" t="s">
        <v>245</v>
      </c>
      <c r="W1" s="45" t="s">
        <v>213</v>
      </c>
      <c r="X1" s="45" t="s">
        <v>243</v>
      </c>
      <c r="Y1" s="476" t="s">
        <v>205</v>
      </c>
      <c r="Z1" s="479" t="s">
        <v>214</v>
      </c>
      <c r="AA1" s="476" t="s">
        <v>212</v>
      </c>
      <c r="AB1" s="476" t="s">
        <v>253</v>
      </c>
      <c r="AC1" s="477" t="s">
        <v>206</v>
      </c>
      <c r="AD1" s="477" t="s">
        <v>211</v>
      </c>
      <c r="AE1" s="477" t="s">
        <v>207</v>
      </c>
      <c r="AF1" s="477" t="s">
        <v>208</v>
      </c>
      <c r="AG1" s="477" t="s">
        <v>239</v>
      </c>
      <c r="AH1" s="477" t="s">
        <v>240</v>
      </c>
      <c r="AI1" s="45" t="s">
        <v>223</v>
      </c>
      <c r="AJ1" s="45" t="s">
        <v>224</v>
      </c>
      <c r="AK1" s="45" t="s">
        <v>225</v>
      </c>
      <c r="AL1" s="45" t="s">
        <v>215</v>
      </c>
      <c r="AM1" s="45" t="s">
        <v>216</v>
      </c>
      <c r="AN1" s="87" t="s">
        <v>254</v>
      </c>
      <c r="AO1" s="87" t="s">
        <v>255</v>
      </c>
      <c r="AP1" s="87" t="s">
        <v>256</v>
      </c>
      <c r="AQ1" s="87" t="s">
        <v>257</v>
      </c>
      <c r="AR1" s="87" t="s">
        <v>226</v>
      </c>
      <c r="AS1" s="87" t="s">
        <v>227</v>
      </c>
      <c r="AT1" s="87" t="s">
        <v>258</v>
      </c>
      <c r="AU1" s="87" t="s">
        <v>228</v>
      </c>
      <c r="AV1" s="87" t="s">
        <v>229</v>
      </c>
      <c r="AW1" s="87" t="s">
        <v>230</v>
      </c>
      <c r="AX1" s="87" t="s">
        <v>231</v>
      </c>
      <c r="AY1" s="87" t="s">
        <v>232</v>
      </c>
      <c r="AZ1" s="87" t="s">
        <v>241</v>
      </c>
      <c r="BA1" s="87" t="s">
        <v>244</v>
      </c>
      <c r="BB1" s="87" t="s">
        <v>242</v>
      </c>
      <c r="BC1" s="87" t="s">
        <v>259</v>
      </c>
      <c r="BD1" s="138"/>
      <c r="BE1" s="138"/>
      <c r="BF1" s="138"/>
      <c r="BG1" s="138"/>
      <c r="BH1" s="138"/>
      <c r="BI1" s="138"/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38"/>
      <c r="CF1" s="138"/>
      <c r="CG1" s="138"/>
      <c r="CH1" s="138"/>
      <c r="CI1" s="138"/>
      <c r="CJ1" s="138"/>
      <c r="CK1" s="138"/>
      <c r="CL1" s="138"/>
      <c r="CM1" s="138"/>
      <c r="CN1" s="138"/>
      <c r="CO1" s="138"/>
      <c r="CP1" s="138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8"/>
      <c r="DC1" s="138"/>
      <c r="DD1" s="138"/>
      <c r="DE1" s="138"/>
      <c r="DF1" s="138"/>
      <c r="DG1" s="138"/>
      <c r="DH1" s="138"/>
      <c r="DI1" s="138"/>
      <c r="DJ1" s="138"/>
      <c r="DK1" s="138"/>
      <c r="DL1" s="138"/>
      <c r="DM1" s="138"/>
      <c r="DN1" s="138"/>
      <c r="DO1" s="138"/>
      <c r="DP1" s="138"/>
      <c r="DQ1" s="138"/>
      <c r="DR1" s="138"/>
      <c r="DS1" s="138"/>
      <c r="DT1" s="138"/>
      <c r="DU1" s="138"/>
      <c r="DV1" s="138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38"/>
      <c r="EI1" s="138"/>
      <c r="EJ1" s="138"/>
      <c r="EK1" s="138"/>
      <c r="EL1" s="138"/>
      <c r="EM1" s="138"/>
      <c r="EN1" s="138"/>
      <c r="EO1" s="138"/>
      <c r="EP1" s="138"/>
      <c r="EQ1" s="138"/>
      <c r="ER1" s="138"/>
      <c r="ES1" s="138"/>
      <c r="ET1" s="138"/>
      <c r="EU1" s="138"/>
      <c r="EV1" s="138"/>
      <c r="EW1" s="138"/>
      <c r="EX1" s="138"/>
      <c r="EY1" s="138"/>
      <c r="EZ1" s="138"/>
      <c r="FA1" s="138"/>
      <c r="FB1" s="138"/>
      <c r="FC1" s="138"/>
      <c r="FD1" s="138"/>
      <c r="FE1" s="138"/>
      <c r="FF1" s="138"/>
      <c r="FG1" s="138"/>
      <c r="FH1" s="138"/>
      <c r="FI1" s="138"/>
      <c r="FJ1" s="138"/>
      <c r="FK1" s="138"/>
      <c r="FL1" s="138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38"/>
      <c r="GA1" s="138"/>
      <c r="GB1" s="138"/>
      <c r="GC1" s="138"/>
      <c r="GD1" s="138"/>
      <c r="GE1" s="138"/>
      <c r="GF1" s="138"/>
      <c r="GG1" s="138"/>
      <c r="GH1" s="138"/>
      <c r="GI1" s="138"/>
      <c r="GJ1" s="138"/>
      <c r="GK1" s="138"/>
      <c r="GL1" s="138"/>
      <c r="GM1" s="138"/>
      <c r="GN1" s="138"/>
      <c r="GO1" s="138"/>
      <c r="GP1" s="138"/>
      <c r="GQ1" s="138"/>
      <c r="GR1" s="138"/>
      <c r="GS1" s="138"/>
      <c r="GT1" s="138"/>
      <c r="GU1" s="138"/>
      <c r="GV1" s="138"/>
      <c r="GW1" s="138"/>
      <c r="GX1" s="138"/>
      <c r="GY1" s="138"/>
      <c r="GZ1" s="138"/>
      <c r="HA1" s="138"/>
      <c r="HB1" s="138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38"/>
      <c r="HS1" s="138"/>
      <c r="HT1" s="138"/>
      <c r="HU1" s="138"/>
      <c r="HV1" s="138"/>
      <c r="HW1" s="138"/>
      <c r="HX1" s="138"/>
      <c r="HY1" s="138"/>
      <c r="HZ1" s="138"/>
      <c r="IA1" s="138"/>
      <c r="IB1" s="138"/>
      <c r="IC1" s="138"/>
      <c r="ID1" s="138"/>
      <c r="IE1" s="138"/>
      <c r="IF1" s="138"/>
      <c r="IG1" s="138"/>
      <c r="IH1" s="138"/>
      <c r="II1" s="138"/>
      <c r="IJ1" s="138"/>
      <c r="IK1" s="138"/>
      <c r="IL1" s="138"/>
      <c r="IM1" s="138"/>
      <c r="IN1" s="138"/>
      <c r="IO1" s="138"/>
      <c r="IP1" s="138"/>
      <c r="IQ1" s="138"/>
      <c r="IR1" s="138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38"/>
      <c r="JK1" s="138"/>
      <c r="JL1" s="138"/>
      <c r="JM1" s="138"/>
      <c r="JN1" s="138"/>
      <c r="JO1" s="138"/>
      <c r="JP1" s="138"/>
      <c r="JQ1" s="138"/>
      <c r="JR1" s="138"/>
      <c r="JS1" s="138"/>
      <c r="JT1" s="138"/>
      <c r="JU1" s="138"/>
      <c r="JV1" s="138"/>
      <c r="JW1" s="138"/>
      <c r="JX1" s="138"/>
      <c r="JY1" s="138"/>
      <c r="JZ1" s="138"/>
      <c r="KA1" s="138"/>
      <c r="KB1" s="138"/>
      <c r="KC1" s="138"/>
      <c r="KD1" s="138"/>
      <c r="KE1" s="138"/>
      <c r="KF1" s="138"/>
      <c r="KG1" s="138"/>
      <c r="KH1" s="138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38"/>
      <c r="LC1" s="138"/>
      <c r="LD1" s="138"/>
      <c r="LE1" s="138"/>
      <c r="LF1" s="138"/>
      <c r="LG1" s="138"/>
      <c r="LH1" s="138"/>
      <c r="LI1" s="138"/>
      <c r="LJ1" s="138"/>
      <c r="LK1" s="138"/>
      <c r="LL1" s="138"/>
      <c r="LM1" s="138"/>
      <c r="LN1" s="138"/>
      <c r="LO1" s="138"/>
      <c r="LP1" s="138"/>
      <c r="LQ1" s="138"/>
      <c r="LR1" s="138"/>
      <c r="LS1" s="138"/>
      <c r="LT1" s="138"/>
      <c r="LU1" s="138"/>
      <c r="LV1" s="138"/>
      <c r="LW1" s="138"/>
      <c r="LX1" s="138"/>
      <c r="LY1" s="138"/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8"/>
      <c r="MU1" s="138"/>
      <c r="MV1" s="138"/>
      <c r="MW1" s="138"/>
      <c r="MX1" s="138"/>
      <c r="MY1" s="138"/>
      <c r="MZ1" s="138"/>
      <c r="NA1" s="138"/>
      <c r="NB1" s="138"/>
      <c r="NC1" s="138"/>
      <c r="ND1" s="138"/>
      <c r="NE1" s="138"/>
      <c r="NF1" s="138"/>
      <c r="NG1" s="138"/>
      <c r="NH1" s="138"/>
      <c r="NI1" s="138"/>
      <c r="NJ1" s="138"/>
      <c r="NK1" s="138"/>
      <c r="NL1" s="138"/>
      <c r="NM1" s="138"/>
      <c r="NN1" s="138"/>
      <c r="NO1" s="138"/>
      <c r="NP1" s="138"/>
      <c r="NQ1" s="138"/>
      <c r="NR1" s="138"/>
      <c r="NS1" s="138"/>
      <c r="NT1" s="138"/>
      <c r="NU1" s="138"/>
      <c r="NV1" s="138"/>
      <c r="NW1" s="138"/>
      <c r="NX1" s="138"/>
      <c r="NY1" s="138"/>
      <c r="NZ1" s="138"/>
      <c r="OA1" s="138"/>
      <c r="OB1" s="138"/>
      <c r="OC1" s="138"/>
      <c r="OD1" s="138"/>
      <c r="OE1" s="138"/>
      <c r="OF1" s="138"/>
      <c r="OG1" s="138"/>
      <c r="OH1" s="138"/>
      <c r="OI1" s="138"/>
      <c r="OJ1" s="138"/>
      <c r="OK1" s="138"/>
      <c r="OL1" s="138"/>
      <c r="OM1" s="138"/>
      <c r="ON1" s="138"/>
      <c r="OO1" s="138"/>
      <c r="OP1" s="138"/>
      <c r="OQ1" s="138"/>
      <c r="OR1" s="138"/>
      <c r="OS1" s="138"/>
      <c r="OT1" s="138"/>
      <c r="OU1" s="138"/>
      <c r="OV1" s="138"/>
      <c r="OW1" s="138"/>
      <c r="OX1" s="138"/>
      <c r="OY1" s="138"/>
      <c r="OZ1" s="138"/>
      <c r="PA1" s="138"/>
      <c r="PB1" s="138"/>
      <c r="PC1" s="138"/>
      <c r="PD1" s="138"/>
      <c r="PE1" s="138"/>
      <c r="PF1" s="138"/>
      <c r="PG1" s="138"/>
      <c r="PH1" s="138"/>
      <c r="PI1" s="138"/>
      <c r="PJ1" s="138"/>
      <c r="PK1" s="138"/>
      <c r="PL1" s="138"/>
      <c r="PM1" s="138"/>
      <c r="PN1" s="138"/>
      <c r="PO1" s="138"/>
      <c r="PP1" s="138"/>
      <c r="PQ1" s="138"/>
      <c r="PR1" s="138"/>
      <c r="PS1" s="138"/>
      <c r="PT1" s="138"/>
      <c r="PU1" s="138"/>
      <c r="PV1" s="138"/>
      <c r="PW1" s="138"/>
      <c r="PX1" s="138"/>
      <c r="PY1" s="138"/>
      <c r="PZ1" s="138"/>
      <c r="QA1" s="138"/>
      <c r="QB1" s="138"/>
      <c r="QC1" s="138"/>
      <c r="QD1" s="138"/>
      <c r="QE1" s="138"/>
      <c r="QF1" s="138"/>
      <c r="QG1" s="138"/>
      <c r="QH1" s="138"/>
      <c r="QI1" s="138"/>
      <c r="QJ1" s="138"/>
      <c r="QK1" s="138"/>
      <c r="QL1" s="138"/>
      <c r="QM1" s="138"/>
      <c r="QN1" s="138"/>
      <c r="QO1" s="138"/>
      <c r="QP1" s="138"/>
      <c r="QQ1" s="138"/>
      <c r="QR1" s="138"/>
      <c r="QS1" s="138"/>
      <c r="QT1" s="138"/>
      <c r="QU1" s="138"/>
      <c r="QV1" s="138"/>
      <c r="QW1" s="138"/>
      <c r="QX1" s="138"/>
      <c r="QY1" s="138"/>
      <c r="QZ1" s="138"/>
      <c r="RA1" s="138"/>
      <c r="RB1" s="138"/>
      <c r="RC1" s="138"/>
      <c r="RD1" s="138"/>
      <c r="RE1" s="138"/>
      <c r="RF1" s="138"/>
      <c r="RG1" s="138"/>
      <c r="RH1" s="138"/>
      <c r="RI1" s="138"/>
      <c r="RJ1" s="138"/>
      <c r="RK1" s="138"/>
      <c r="RL1" s="138"/>
      <c r="RM1" s="138"/>
      <c r="RN1" s="138"/>
      <c r="RO1" s="138"/>
      <c r="RP1" s="138"/>
      <c r="RQ1" s="138"/>
      <c r="RR1" s="138"/>
      <c r="RS1" s="138"/>
      <c r="RT1" s="138"/>
      <c r="RU1" s="138"/>
      <c r="RV1" s="138"/>
      <c r="RW1" s="138"/>
      <c r="RX1" s="138"/>
      <c r="RY1" s="138"/>
      <c r="RZ1" s="138"/>
      <c r="SA1" s="138"/>
      <c r="SB1" s="138"/>
      <c r="SC1" s="138"/>
      <c r="SD1" s="138"/>
      <c r="SE1" s="138"/>
      <c r="SF1" s="138"/>
      <c r="SG1" s="138"/>
      <c r="SH1" s="138"/>
      <c r="SI1" s="138"/>
      <c r="SJ1" s="138"/>
      <c r="SK1" s="138"/>
      <c r="SL1" s="138"/>
      <c r="SM1" s="138"/>
      <c r="SN1" s="138"/>
      <c r="SO1" s="138"/>
      <c r="SP1" s="138"/>
      <c r="SQ1" s="138"/>
      <c r="SR1" s="138"/>
      <c r="SS1" s="138"/>
      <c r="ST1" s="138"/>
      <c r="SU1" s="138"/>
      <c r="SV1" s="138"/>
      <c r="SW1" s="138"/>
      <c r="SX1" s="138"/>
      <c r="SY1" s="138"/>
      <c r="SZ1" s="138"/>
      <c r="TA1" s="138"/>
      <c r="TB1" s="138"/>
      <c r="TC1" s="138"/>
      <c r="TD1" s="138"/>
      <c r="TE1" s="138"/>
      <c r="TF1" s="138"/>
      <c r="TG1" s="138"/>
      <c r="TH1" s="138"/>
      <c r="TI1" s="138"/>
      <c r="TJ1" s="138"/>
      <c r="TK1" s="138"/>
      <c r="TL1" s="138"/>
      <c r="TM1" s="138"/>
      <c r="TN1" s="138"/>
      <c r="TO1" s="138"/>
      <c r="TP1" s="138"/>
      <c r="TQ1" s="138"/>
      <c r="TR1" s="138"/>
      <c r="TS1" s="138"/>
      <c r="TT1" s="138"/>
      <c r="TU1" s="138"/>
      <c r="TV1" s="138"/>
      <c r="TW1" s="138"/>
      <c r="TX1" s="138"/>
      <c r="TY1" s="138"/>
      <c r="TZ1" s="138"/>
      <c r="UA1" s="138"/>
      <c r="UB1" s="138"/>
      <c r="UC1" s="138"/>
      <c r="UD1" s="138"/>
      <c r="UE1" s="138"/>
      <c r="UF1" s="138"/>
      <c r="UG1" s="138"/>
      <c r="UH1" s="138"/>
      <c r="UI1" s="138"/>
      <c r="UJ1" s="138"/>
      <c r="UK1" s="138"/>
      <c r="UL1" s="138"/>
      <c r="UM1" s="138"/>
      <c r="UN1" s="138"/>
      <c r="UO1" s="138"/>
      <c r="UP1" s="138"/>
      <c r="UQ1" s="138"/>
      <c r="UR1" s="138"/>
      <c r="US1" s="138"/>
      <c r="UT1" s="138"/>
      <c r="UU1" s="138"/>
      <c r="UV1" s="138"/>
      <c r="UW1" s="138"/>
      <c r="UX1" s="138"/>
      <c r="UY1" s="138"/>
      <c r="UZ1" s="138"/>
      <c r="VA1" s="138"/>
      <c r="VB1" s="138"/>
      <c r="VC1" s="138"/>
      <c r="VD1" s="138"/>
      <c r="VE1" s="138"/>
      <c r="VF1" s="138"/>
      <c r="VG1" s="138"/>
      <c r="VH1" s="138"/>
      <c r="VI1" s="138"/>
      <c r="VJ1" s="138"/>
      <c r="VK1" s="138"/>
      <c r="VL1" s="138"/>
      <c r="VM1" s="138"/>
      <c r="VN1" s="138"/>
      <c r="VO1" s="138"/>
      <c r="VP1" s="138"/>
      <c r="VQ1" s="138"/>
      <c r="VR1" s="138"/>
      <c r="VS1" s="138"/>
      <c r="VT1" s="138"/>
      <c r="VU1" s="138"/>
      <c r="VV1" s="138"/>
      <c r="VW1" s="138"/>
      <c r="VX1" s="138"/>
      <c r="VY1" s="138"/>
      <c r="VZ1" s="138"/>
      <c r="WA1" s="138"/>
      <c r="WB1" s="138"/>
      <c r="WC1" s="138"/>
      <c r="WD1" s="138"/>
      <c r="WE1" s="138"/>
      <c r="WF1" s="138"/>
      <c r="WG1" s="138"/>
      <c r="WH1" s="138"/>
      <c r="WI1" s="138"/>
      <c r="WJ1" s="138"/>
      <c r="WK1" s="138"/>
      <c r="WL1" s="138"/>
      <c r="WM1" s="138"/>
      <c r="WN1" s="138"/>
      <c r="WO1" s="138"/>
      <c r="WP1" s="138"/>
      <c r="WQ1" s="138"/>
      <c r="WR1" s="138"/>
      <c r="WS1" s="138"/>
      <c r="WT1" s="138"/>
      <c r="WU1" s="138"/>
      <c r="WV1" s="138"/>
      <c r="WW1" s="138"/>
      <c r="WX1" s="138"/>
      <c r="WY1" s="138"/>
      <c r="WZ1" s="138"/>
      <c r="XA1" s="138"/>
      <c r="XB1" s="138"/>
      <c r="XC1" s="138"/>
      <c r="XD1" s="138"/>
      <c r="XE1" s="138"/>
      <c r="XF1" s="138"/>
      <c r="XG1" s="138"/>
      <c r="XH1" s="138"/>
      <c r="XI1" s="138"/>
      <c r="XJ1" s="138"/>
      <c r="XK1" s="138"/>
      <c r="XL1" s="138"/>
      <c r="XM1" s="138"/>
      <c r="XN1" s="138"/>
      <c r="XO1" s="138"/>
      <c r="XP1" s="138"/>
      <c r="XQ1" s="138"/>
      <c r="XR1" s="138"/>
      <c r="XS1" s="138"/>
      <c r="XT1" s="138"/>
      <c r="XU1" s="138"/>
      <c r="XV1" s="138"/>
      <c r="XW1" s="138"/>
      <c r="XX1" s="138"/>
      <c r="XY1" s="138"/>
      <c r="XZ1" s="138"/>
      <c r="YA1" s="138"/>
      <c r="YB1" s="138"/>
      <c r="YC1" s="138"/>
      <c r="YD1" s="138"/>
      <c r="YE1" s="138"/>
      <c r="YF1" s="138"/>
      <c r="YG1" s="138"/>
      <c r="YH1" s="138"/>
      <c r="YI1" s="138"/>
      <c r="YJ1" s="138"/>
    </row>
    <row r="2" spans="1:660" ht="14.25" customHeight="1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</row>
    <row r="3" spans="1:660" ht="14.25" customHeight="1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</row>
    <row r="4" spans="1:660" ht="14.25" customHeight="1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</row>
    <row r="5" spans="1:660" ht="14.25" customHeight="1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</row>
    <row r="6" spans="1:660" ht="14.25" customHeight="1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</row>
    <row r="7" spans="1:660" ht="14.25" customHeight="1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</row>
    <row r="8" spans="1:660" ht="14.25" customHeight="1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</row>
    <row r="9" spans="1:660" ht="14.25" customHeight="1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</row>
    <row r="10" spans="1:660" ht="14.25" customHeight="1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</row>
    <row r="11" spans="1:660" ht="14.25" customHeight="1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</row>
    <row r="12" spans="1:660" ht="14.25" customHeight="1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</row>
    <row r="13" spans="1:660" ht="14.25" customHeight="1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</row>
    <row r="14" spans="1:660" ht="14.25" customHeight="1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</row>
    <row r="15" spans="1:660" ht="14.25" customHeight="1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</row>
    <row r="16" spans="1:660" ht="14.25" customHeight="1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</row>
    <row r="17" spans="1:55" ht="14.25" customHeight="1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</row>
    <row r="18" spans="1:55" ht="14.25" customHeight="1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</row>
    <row r="19" spans="1:55" ht="14.25" customHeight="1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</row>
    <row r="20" spans="1:55" ht="14.25" customHeight="1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</row>
    <row r="21" spans="1:55" ht="14.25" customHeight="1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</row>
    <row r="22" spans="1:55" ht="14.25" customHeight="1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</row>
    <row r="23" spans="1:55" ht="14.25" customHeight="1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</row>
    <row r="24" spans="1:55" ht="14.25" customHeight="1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</row>
    <row r="25" spans="1:55" ht="14.25" customHeight="1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</row>
    <row r="26" spans="1:55" ht="14.25" customHeight="1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</row>
    <row r="27" spans="1:55" ht="14.25" customHeight="1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</row>
    <row r="28" spans="1:55" ht="14.25" customHeight="1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</row>
    <row r="29" spans="1:55" ht="14.25" customHeight="1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</row>
    <row r="30" spans="1:55" ht="14.25" customHeight="1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</row>
    <row r="31" spans="1:55" ht="14.25" customHeight="1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</row>
    <row r="32" spans="1:55" ht="14.25" customHeight="1">
      <c r="A32" s="39"/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</row>
    <row r="33" spans="1:55" ht="14.25" customHeight="1">
      <c r="A33" s="39"/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</row>
    <row r="34" spans="1:55" ht="14.25" customHeight="1">
      <c r="A34" s="39"/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/>
    </row>
    <row r="35" spans="1:55" ht="14.25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39"/>
      <c r="BB35" s="39"/>
      <c r="BC35" s="39"/>
    </row>
    <row r="36" spans="1:55" ht="14.25" customHeight="1">
      <c r="A36" s="39"/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</row>
    <row r="37" spans="1:55" ht="14.25" customHeight="1">
      <c r="A37" s="39"/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</row>
    <row r="38" spans="1:55" ht="14.25" customHeight="1">
      <c r="A38" s="39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</row>
    <row r="39" spans="1:55" ht="14.25" customHeight="1">
      <c r="A39" s="39"/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</row>
    <row r="40" spans="1:55" ht="14.25" customHeight="1">
      <c r="A40" s="39"/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</row>
    <row r="41" spans="1:55" ht="14.25" customHeight="1">
      <c r="A41" s="39"/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/>
    </row>
    <row r="42" spans="1:55" ht="14.25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/>
    </row>
    <row r="43" spans="1:55" ht="14.25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/>
    </row>
    <row r="44" spans="1:55" ht="14.25" customHeight="1">
      <c r="A44" s="39"/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  <c r="BA44" s="39"/>
      <c r="BB44" s="39"/>
      <c r="BC44" s="39"/>
    </row>
    <row r="45" spans="1:55" ht="14.25" customHeight="1">
      <c r="A45" s="39"/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/>
    </row>
    <row r="46" spans="1:55" ht="14.25" customHeight="1">
      <c r="A46" s="39"/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</row>
    <row r="47" spans="1:55" ht="14.25" customHeight="1">
      <c r="A47" s="39"/>
      <c r="B47" s="39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</row>
    <row r="48" spans="1:55" ht="14.25" customHeight="1">
      <c r="A48" s="39"/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</row>
    <row r="49" spans="1:55" ht="14.25" customHeight="1">
      <c r="A49" s="39"/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</row>
    <row r="50" spans="1:55" ht="14.25" customHeight="1">
      <c r="A50" s="39"/>
      <c r="B50" s="3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  <c r="BA50" s="39"/>
      <c r="BB50" s="39"/>
      <c r="BC50" s="39"/>
    </row>
    <row r="51" spans="1:55" ht="14.25" customHeight="1">
      <c r="A51" s="39"/>
      <c r="B51" s="39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</row>
    <row r="52" spans="1:55" ht="13.95" customHeight="1">
      <c r="A52" s="39"/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</row>
    <row r="53" spans="1:55" ht="13.95" customHeight="1">
      <c r="A53" s="39"/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  <c r="BA53" s="39"/>
      <c r="BB53" s="39"/>
      <c r="BC53" s="39"/>
    </row>
    <row r="54" spans="1:55" ht="13.95" customHeight="1">
      <c r="A54" s="39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  <c r="BA54" s="39"/>
      <c r="BB54" s="39"/>
      <c r="BC54" s="39"/>
    </row>
    <row r="55" spans="1:55" ht="13.95" customHeight="1">
      <c r="A55" s="39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  <c r="BA55" s="39"/>
      <c r="BB55" s="39"/>
      <c r="BC55" s="39"/>
    </row>
    <row r="56" spans="1:55" ht="13.95" customHeight="1">
      <c r="A56" s="39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</row>
    <row r="57" spans="1:55" ht="13.95" customHeight="1">
      <c r="A57" s="39"/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</row>
    <row r="58" spans="1:55" ht="13.95" customHeight="1">
      <c r="A58" s="39"/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</row>
    <row r="59" spans="1:55" ht="13.95" customHeight="1">
      <c r="A59" s="39"/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</row>
    <row r="60" spans="1:55" ht="13.95" customHeight="1">
      <c r="A60" s="39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</row>
    <row r="61" spans="1:55" ht="13.95" customHeight="1">
      <c r="A61" s="39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</row>
    <row r="62" spans="1:55" ht="13.95" customHeight="1">
      <c r="A62" s="39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</row>
    <row r="63" spans="1:55" ht="13.95" customHeight="1">
      <c r="A63" s="39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</row>
    <row r="64" spans="1:55" ht="13.95" customHeight="1">
      <c r="A64" s="39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</row>
    <row r="65" spans="1:55" ht="13.95" customHeight="1">
      <c r="A65" s="39"/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</row>
    <row r="66" spans="1:55" ht="13.95" customHeight="1">
      <c r="A66" s="39"/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</row>
    <row r="67" spans="1:55" ht="13.95" customHeight="1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</row>
    <row r="68" spans="1:55" ht="13.95" customHeight="1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</row>
    <row r="69" spans="1:55" ht="13.95" customHeight="1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</row>
    <row r="70" spans="1:55" ht="13.95" customHeight="1">
      <c r="A70" s="39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</row>
    <row r="71" spans="1:55" ht="13.95" customHeight="1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</row>
    <row r="72" spans="1:55" ht="13.95" customHeight="1">
      <c r="A72" s="39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</row>
    <row r="73" spans="1:55" ht="13.95" customHeight="1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</row>
    <row r="74" spans="1:55" ht="13.95" customHeight="1">
      <c r="A74" s="39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</row>
    <row r="75" spans="1:55" ht="13.95" customHeight="1">
      <c r="A75" s="39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</row>
    <row r="76" spans="1:55" ht="13.95" customHeight="1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</row>
    <row r="77" spans="1:55" ht="13.95" customHeight="1">
      <c r="A77" s="39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</row>
    <row r="78" spans="1:55" ht="13.95" customHeight="1">
      <c r="A78" s="39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</row>
    <row r="79" spans="1:55" ht="13.95" customHeight="1">
      <c r="A79" s="39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</row>
    <row r="80" spans="1:55" ht="13.95" customHeight="1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</row>
    <row r="81" spans="1:55" ht="13.95" customHeight="1">
      <c r="A81" s="39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</row>
    <row r="82" spans="1:55" ht="13.95" customHeight="1">
      <c r="A82" s="39"/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</row>
    <row r="83" spans="1:55" ht="13.95" customHeight="1">
      <c r="A83" s="39"/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</row>
    <row r="84" spans="1:55" ht="13.95" customHeight="1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</row>
    <row r="85" spans="1:55" ht="13.95" customHeight="1">
      <c r="A85" s="39"/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</row>
    <row r="86" spans="1:55" ht="13.95" customHeight="1">
      <c r="A86" s="39"/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</row>
    <row r="87" spans="1:55" ht="13.95" customHeight="1">
      <c r="A87" s="39"/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</row>
    <row r="88" spans="1:55" ht="16.5" customHeight="1">
      <c r="A88" s="39"/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</row>
    <row r="89" spans="1:55" ht="14.25" customHeight="1">
      <c r="A89" s="39"/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</row>
    <row r="90" spans="1:55" ht="14.25" customHeight="1">
      <c r="A90" s="39"/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</row>
    <row r="91" spans="1:55" ht="14.25" customHeight="1">
      <c r="A91" s="39"/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</row>
    <row r="92" spans="1:55" ht="14.25" customHeight="1">
      <c r="A92" s="39"/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</row>
    <row r="93" spans="1:55" ht="14.25" customHeight="1">
      <c r="A93" s="39"/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</row>
    <row r="94" spans="1:55" ht="14.25" customHeight="1">
      <c r="A94" s="39"/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</row>
    <row r="95" spans="1:55" ht="14.25" customHeight="1">
      <c r="A95" s="39"/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</row>
    <row r="96" spans="1:55" ht="14.25" customHeight="1">
      <c r="A96" s="39"/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</row>
    <row r="97" spans="1:55" ht="14.25" customHeight="1">
      <c r="A97" s="39"/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</row>
    <row r="98" spans="1:55" ht="14.25" customHeight="1">
      <c r="A98" s="39"/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39"/>
      <c r="BB98" s="39"/>
      <c r="BC98" s="39"/>
    </row>
    <row r="99" spans="1:55" ht="14.25" customHeight="1">
      <c r="A99" s="39"/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</row>
    <row r="100" spans="1:55" ht="14.25" customHeight="1">
      <c r="A100" s="39"/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</row>
    <row r="101" spans="1:55" ht="14.25" customHeight="1">
      <c r="A101" s="39"/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</row>
    <row r="102" spans="1:55" ht="14.25" customHeight="1">
      <c r="A102" s="39"/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</row>
    <row r="103" spans="1:55" ht="14.25" customHeight="1">
      <c r="A103" s="39"/>
      <c r="B103" s="39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  <c r="BA103" s="39"/>
      <c r="BB103" s="39"/>
      <c r="BC103" s="39"/>
    </row>
    <row r="104" spans="1:55" ht="14.25" customHeight="1">
      <c r="A104" s="39"/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  <c r="BA104" s="39"/>
      <c r="BB104" s="39"/>
      <c r="BC104" s="39"/>
    </row>
    <row r="105" spans="1:55" ht="14.25" customHeight="1">
      <c r="A105" s="39"/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  <c r="BA105" s="39"/>
      <c r="BB105" s="39"/>
      <c r="BC105" s="39"/>
    </row>
    <row r="106" spans="1:55" ht="14.25" customHeight="1">
      <c r="A106" s="39"/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</row>
    <row r="107" spans="1:55" ht="14.25" customHeight="1">
      <c r="A107" s="39"/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  <c r="BB107" s="39"/>
      <c r="BC107" s="39"/>
    </row>
    <row r="108" spans="1:55" ht="14.25" customHeight="1">
      <c r="A108" s="39"/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39"/>
      <c r="BB108" s="39"/>
      <c r="BC108" s="39"/>
    </row>
    <row r="109" spans="1:55" ht="14.25" customHeight="1">
      <c r="A109" s="39"/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  <c r="BB109" s="39"/>
      <c r="BC109" s="39"/>
    </row>
    <row r="110" spans="1:55" ht="14.25" customHeight="1">
      <c r="A110" s="39"/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  <c r="BA110" s="39"/>
      <c r="BB110" s="39"/>
      <c r="BC110" s="39"/>
    </row>
    <row r="111" spans="1:55" ht="14.25" customHeight="1">
      <c r="A111" s="39"/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  <c r="BA111" s="39"/>
      <c r="BB111" s="39"/>
      <c r="BC111" s="39"/>
    </row>
    <row r="112" spans="1:55" ht="14.25" customHeight="1">
      <c r="A112" s="39"/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  <c r="BA112" s="39"/>
      <c r="BB112" s="39"/>
      <c r="BC112" s="39"/>
    </row>
    <row r="113" spans="1:55" ht="14.25" customHeight="1">
      <c r="A113" s="39"/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</row>
    <row r="114" spans="1:55" ht="14.25" customHeight="1">
      <c r="A114" s="39"/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</row>
    <row r="115" spans="1:55" ht="14.25" customHeight="1">
      <c r="A115" s="39"/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39"/>
      <c r="BB115" s="39"/>
      <c r="BC115" s="39"/>
    </row>
    <row r="116" spans="1:55" ht="14.25" customHeight="1">
      <c r="A116" s="39"/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39"/>
      <c r="BB116" s="39"/>
      <c r="BC116" s="39"/>
    </row>
    <row r="117" spans="1:55" ht="14.25" customHeight="1">
      <c r="A117" s="39"/>
      <c r="B117" s="39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39"/>
      <c r="BB117" s="39"/>
      <c r="BC117" s="39"/>
    </row>
    <row r="118" spans="1:55" ht="14.25" customHeight="1">
      <c r="A118" s="39"/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  <c r="BA118" s="39"/>
      <c r="BB118" s="39"/>
      <c r="BC118" s="39"/>
    </row>
    <row r="119" spans="1:55" ht="14.25" customHeight="1">
      <c r="A119" s="39"/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39"/>
      <c r="BB119" s="39"/>
      <c r="BC119" s="39"/>
    </row>
    <row r="120" spans="1:55" ht="14.25" customHeight="1">
      <c r="A120" s="39"/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  <c r="AX120" s="39"/>
      <c r="AY120" s="39"/>
      <c r="AZ120" s="39"/>
      <c r="BA120" s="39"/>
      <c r="BB120" s="39"/>
      <c r="BC120" s="39"/>
    </row>
    <row r="121" spans="1:55" ht="14.25" customHeight="1">
      <c r="A121" s="39"/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  <c r="AX121" s="39"/>
      <c r="AY121" s="39"/>
      <c r="AZ121" s="39"/>
      <c r="BA121" s="39"/>
      <c r="BB121" s="39"/>
      <c r="BC121" s="39"/>
    </row>
    <row r="122" spans="1:55" ht="14.25" customHeight="1">
      <c r="A122" s="39"/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  <c r="AX122" s="39"/>
      <c r="AY122" s="39"/>
      <c r="AZ122" s="39"/>
      <c r="BA122" s="39"/>
      <c r="BB122" s="39"/>
      <c r="BC122" s="39"/>
    </row>
    <row r="123" spans="1:55" ht="14.25" customHeight="1">
      <c r="A123" s="39"/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  <c r="AX123" s="39"/>
      <c r="AY123" s="39"/>
      <c r="AZ123" s="39"/>
      <c r="BA123" s="39"/>
      <c r="BB123" s="39"/>
      <c r="BC123" s="39"/>
    </row>
    <row r="124" spans="1:55" ht="14.25" customHeight="1">
      <c r="A124" s="39"/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/>
      <c r="AR124" s="39"/>
      <c r="AS124" s="39"/>
      <c r="AT124" s="39"/>
      <c r="AU124" s="39"/>
      <c r="AV124" s="39"/>
      <c r="AW124" s="39"/>
      <c r="AX124" s="39"/>
      <c r="AY124" s="39"/>
      <c r="AZ124" s="39"/>
      <c r="BA124" s="39"/>
      <c r="BB124" s="39"/>
      <c r="BC124" s="39"/>
    </row>
    <row r="125" spans="1:55" ht="14.25" customHeight="1">
      <c r="A125" s="39"/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  <c r="AQ125" s="39"/>
      <c r="AR125" s="39"/>
      <c r="AS125" s="39"/>
      <c r="AT125" s="39"/>
      <c r="AU125" s="39"/>
      <c r="AV125" s="39"/>
      <c r="AW125" s="39"/>
      <c r="AX125" s="39"/>
      <c r="AY125" s="39"/>
      <c r="AZ125" s="39"/>
      <c r="BA125" s="39"/>
      <c r="BB125" s="39"/>
      <c r="BC125" s="39"/>
    </row>
    <row r="126" spans="1:55" ht="14.25" customHeight="1">
      <c r="A126" s="39"/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  <c r="AX126" s="39"/>
      <c r="AY126" s="39"/>
      <c r="AZ126" s="39"/>
      <c r="BA126" s="39"/>
      <c r="BB126" s="39"/>
      <c r="BC126" s="39"/>
    </row>
    <row r="127" spans="1:55" ht="14.25" customHeight="1">
      <c r="A127" s="39"/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  <c r="AX127" s="39"/>
      <c r="AY127" s="39"/>
      <c r="AZ127" s="39"/>
      <c r="BA127" s="39"/>
      <c r="BB127" s="39"/>
      <c r="BC127" s="39"/>
    </row>
    <row r="128" spans="1:55" ht="14.25" customHeight="1">
      <c r="A128" s="39"/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39"/>
      <c r="BA128" s="39"/>
      <c r="BB128" s="39"/>
      <c r="BC128" s="39"/>
    </row>
    <row r="129" spans="1:55" ht="14.25" customHeight="1">
      <c r="A129" s="39"/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  <c r="AQ129" s="39"/>
      <c r="AR129" s="39"/>
      <c r="AS129" s="39"/>
      <c r="AT129" s="39"/>
      <c r="AU129" s="39"/>
      <c r="AV129" s="39"/>
      <c r="AW129" s="39"/>
      <c r="AX129" s="39"/>
      <c r="AY129" s="39"/>
      <c r="AZ129" s="39"/>
      <c r="BA129" s="39"/>
      <c r="BB129" s="39"/>
      <c r="BC129" s="39"/>
    </row>
    <row r="130" spans="1:55" ht="14.25" customHeight="1">
      <c r="A130" s="39"/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  <c r="AQ130" s="39"/>
      <c r="AR130" s="39"/>
      <c r="AS130" s="39"/>
      <c r="AT130" s="39"/>
      <c r="AU130" s="39"/>
      <c r="AV130" s="39"/>
      <c r="AW130" s="39"/>
      <c r="AX130" s="39"/>
      <c r="AY130" s="39"/>
      <c r="AZ130" s="39"/>
      <c r="BA130" s="39"/>
      <c r="BB130" s="39"/>
      <c r="BC130" s="39"/>
    </row>
    <row r="131" spans="1:55" ht="14.25" customHeight="1">
      <c r="A131" s="39"/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/>
      <c r="AR131" s="39"/>
      <c r="AS131" s="39"/>
      <c r="AT131" s="39"/>
      <c r="AU131" s="39"/>
      <c r="AV131" s="39"/>
      <c r="AW131" s="39"/>
      <c r="AX131" s="39"/>
      <c r="AY131" s="39"/>
      <c r="AZ131" s="39"/>
      <c r="BA131" s="39"/>
      <c r="BB131" s="39"/>
      <c r="BC131" s="39"/>
    </row>
    <row r="132" spans="1:55" ht="14.25" customHeight="1">
      <c r="A132" s="39"/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  <c r="AW132" s="39"/>
      <c r="AX132" s="39"/>
      <c r="AY132" s="39"/>
      <c r="AZ132" s="39"/>
      <c r="BA132" s="39"/>
      <c r="BB132" s="39"/>
      <c r="BC132" s="39"/>
    </row>
    <row r="133" spans="1:55" ht="14.25" customHeight="1">
      <c r="A133" s="39"/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  <c r="AW133" s="39"/>
      <c r="AX133" s="39"/>
      <c r="AY133" s="39"/>
      <c r="AZ133" s="39"/>
      <c r="BA133" s="39"/>
      <c r="BB133" s="39"/>
      <c r="BC133" s="39"/>
    </row>
    <row r="134" spans="1:55" ht="14.25" customHeight="1">
      <c r="A134" s="39"/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  <c r="AW134" s="39"/>
      <c r="AX134" s="39"/>
      <c r="AY134" s="39"/>
      <c r="AZ134" s="39"/>
      <c r="BA134" s="39"/>
      <c r="BB134" s="39"/>
      <c r="BC134" s="39"/>
    </row>
    <row r="135" spans="1:55" ht="14.25" customHeight="1">
      <c r="A135" s="39"/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  <c r="AW135" s="39"/>
      <c r="AX135" s="39"/>
      <c r="AY135" s="39"/>
      <c r="AZ135" s="39"/>
      <c r="BA135" s="39"/>
      <c r="BB135" s="39"/>
      <c r="BC135" s="39"/>
    </row>
    <row r="136" spans="1:55" ht="14.25" customHeight="1">
      <c r="A136" s="39"/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  <c r="AW136" s="39"/>
      <c r="AX136" s="39"/>
      <c r="AY136" s="39"/>
      <c r="AZ136" s="39"/>
      <c r="BA136" s="39"/>
      <c r="BB136" s="39"/>
      <c r="BC136" s="39"/>
    </row>
    <row r="137" spans="1:55" ht="14.25" customHeight="1">
      <c r="A137" s="39"/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  <c r="AW137" s="39"/>
      <c r="AX137" s="39"/>
      <c r="AY137" s="39"/>
      <c r="AZ137" s="39"/>
      <c r="BA137" s="39"/>
      <c r="BB137" s="39"/>
      <c r="BC137" s="39"/>
    </row>
    <row r="138" spans="1:55" ht="14.25" customHeight="1">
      <c r="A138" s="39"/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  <c r="AW138" s="39"/>
      <c r="AX138" s="39"/>
      <c r="AY138" s="39"/>
      <c r="AZ138" s="39"/>
      <c r="BA138" s="39"/>
      <c r="BB138" s="39"/>
      <c r="BC138" s="39"/>
    </row>
    <row r="139" spans="1:55" ht="13.95" customHeight="1">
      <c r="A139" s="39"/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  <c r="AW139" s="39"/>
      <c r="AX139" s="39"/>
      <c r="AY139" s="39"/>
      <c r="AZ139" s="39"/>
      <c r="BA139" s="39"/>
      <c r="BB139" s="39"/>
      <c r="BC139" s="39"/>
    </row>
    <row r="140" spans="1:55" ht="13.95" customHeight="1">
      <c r="A140" s="39"/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  <c r="AX140" s="39"/>
      <c r="AY140" s="39"/>
      <c r="AZ140" s="39"/>
      <c r="BA140" s="39"/>
      <c r="BB140" s="39"/>
      <c r="BC140" s="39"/>
    </row>
    <row r="141" spans="1:55" ht="13.95" customHeight="1">
      <c r="A141" s="39"/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  <c r="AX141" s="39"/>
      <c r="AY141" s="39"/>
      <c r="AZ141" s="39"/>
      <c r="BA141" s="39"/>
      <c r="BB141" s="39"/>
      <c r="BC141" s="39"/>
    </row>
    <row r="142" spans="1:55" ht="13.95" customHeight="1">
      <c r="A142" s="39"/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  <c r="AX142" s="39"/>
      <c r="AY142" s="39"/>
      <c r="AZ142" s="39"/>
      <c r="BA142" s="39"/>
      <c r="BB142" s="39"/>
      <c r="BC142" s="39"/>
    </row>
    <row r="143" spans="1:55" ht="13.95" customHeight="1">
      <c r="A143" s="39"/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  <c r="AQ143" s="39"/>
      <c r="AR143" s="39"/>
      <c r="AS143" s="39"/>
      <c r="AT143" s="39"/>
      <c r="AU143" s="39"/>
      <c r="AV143" s="39"/>
      <c r="AW143" s="39"/>
      <c r="AX143" s="39"/>
      <c r="AY143" s="39"/>
      <c r="AZ143" s="39"/>
      <c r="BA143" s="39"/>
      <c r="BB143" s="39"/>
      <c r="BC143" s="39"/>
    </row>
    <row r="144" spans="1:55" ht="13.95" customHeight="1">
      <c r="A144" s="39"/>
      <c r="B144" s="39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9"/>
      <c r="AW144" s="39"/>
      <c r="AX144" s="39"/>
      <c r="AY144" s="39"/>
      <c r="AZ144" s="39"/>
      <c r="BA144" s="39"/>
      <c r="BB144" s="39"/>
      <c r="BC144" s="39"/>
    </row>
    <row r="145" spans="1:55" ht="13.95" customHeight="1">
      <c r="A145" s="39"/>
      <c r="B145" s="39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  <c r="AX145" s="39"/>
      <c r="AY145" s="39"/>
      <c r="AZ145" s="39"/>
      <c r="BA145" s="39"/>
      <c r="BB145" s="39"/>
      <c r="BC145" s="39"/>
    </row>
    <row r="146" spans="1:55" ht="13.95" customHeight="1">
      <c r="A146" s="39"/>
      <c r="B146" s="39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9"/>
      <c r="AW146" s="39"/>
      <c r="AX146" s="39"/>
      <c r="AY146" s="39"/>
      <c r="AZ146" s="39"/>
      <c r="BA146" s="39"/>
      <c r="BB146" s="39"/>
      <c r="BC146" s="39"/>
    </row>
    <row r="147" spans="1:55" ht="13.95" customHeight="1">
      <c r="A147" s="39"/>
      <c r="B147" s="39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9"/>
      <c r="AW147" s="39"/>
      <c r="AX147" s="39"/>
      <c r="AY147" s="39"/>
      <c r="AZ147" s="39"/>
      <c r="BA147" s="39"/>
      <c r="BB147" s="39"/>
      <c r="BC147" s="39"/>
    </row>
    <row r="148" spans="1:55" ht="13.95" customHeight="1">
      <c r="A148" s="39"/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/>
      <c r="AS148" s="39"/>
      <c r="AT148" s="39"/>
      <c r="AU148" s="39"/>
      <c r="AV148" s="39"/>
      <c r="AW148" s="39"/>
      <c r="AX148" s="39"/>
      <c r="AY148" s="39"/>
      <c r="AZ148" s="39"/>
      <c r="BA148" s="39"/>
      <c r="BB148" s="39"/>
      <c r="BC148" s="39"/>
    </row>
    <row r="149" spans="1:55" ht="14.25" customHeight="1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9"/>
      <c r="AW149" s="39"/>
      <c r="AX149" s="39"/>
      <c r="AY149" s="39"/>
      <c r="AZ149" s="39"/>
      <c r="BA149" s="39"/>
      <c r="BB149" s="39"/>
      <c r="BC149" s="39"/>
    </row>
    <row r="150" spans="1:55" ht="14.25" customHeight="1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9"/>
      <c r="AW150" s="39"/>
      <c r="AX150" s="39"/>
      <c r="AY150" s="39"/>
      <c r="AZ150" s="39"/>
      <c r="BA150" s="39"/>
      <c r="BB150" s="39"/>
      <c r="BC150" s="39"/>
    </row>
    <row r="151" spans="1:55" ht="14.25" customHeight="1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/>
      <c r="AS151" s="39"/>
      <c r="AT151" s="39"/>
      <c r="AU151" s="39"/>
      <c r="AV151" s="39"/>
      <c r="AW151" s="39"/>
      <c r="AX151" s="39"/>
      <c r="AY151" s="39"/>
      <c r="AZ151" s="39"/>
      <c r="BA151" s="39"/>
      <c r="BB151" s="39"/>
      <c r="BC151" s="39"/>
    </row>
    <row r="152" spans="1:55" ht="14.25" customHeight="1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9"/>
      <c r="AW152" s="39"/>
      <c r="AX152" s="39"/>
      <c r="AY152" s="39"/>
      <c r="AZ152" s="39"/>
      <c r="BA152" s="39"/>
      <c r="BB152" s="39"/>
      <c r="BC152" s="39"/>
    </row>
    <row r="153" spans="1:55" ht="14.25" customHeight="1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9"/>
      <c r="AW153" s="39"/>
      <c r="AX153" s="39"/>
      <c r="AY153" s="39"/>
      <c r="AZ153" s="39"/>
      <c r="BA153" s="39"/>
      <c r="BB153" s="39"/>
      <c r="BC153" s="39"/>
    </row>
    <row r="154" spans="1:55" ht="14.25" customHeight="1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9"/>
      <c r="AW154" s="39"/>
      <c r="AX154" s="39"/>
      <c r="AY154" s="39"/>
      <c r="AZ154" s="39"/>
      <c r="BA154" s="39"/>
      <c r="BB154" s="39"/>
      <c r="BC154" s="39"/>
    </row>
    <row r="155" spans="1:55" ht="14.25" customHeight="1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9"/>
      <c r="AW155" s="39"/>
      <c r="AX155" s="39"/>
      <c r="AY155" s="39"/>
      <c r="AZ155" s="39"/>
      <c r="BA155" s="39"/>
      <c r="BB155" s="39"/>
      <c r="BC155" s="39"/>
    </row>
    <row r="156" spans="1:55" ht="14.25" customHeight="1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9"/>
      <c r="AW156" s="39"/>
      <c r="AX156" s="39"/>
      <c r="AY156" s="39"/>
      <c r="AZ156" s="39"/>
      <c r="BA156" s="39"/>
      <c r="BB156" s="39"/>
      <c r="BC156" s="39"/>
    </row>
    <row r="157" spans="1:55" ht="14.25" customHeight="1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9"/>
      <c r="AW157" s="39"/>
      <c r="AX157" s="39"/>
      <c r="AY157" s="39"/>
      <c r="AZ157" s="39"/>
      <c r="BA157" s="39"/>
      <c r="BB157" s="39"/>
      <c r="BC157" s="39"/>
    </row>
    <row r="158" spans="1:55" ht="14.25" customHeight="1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/>
      <c r="AT158" s="39"/>
      <c r="AU158" s="39"/>
      <c r="AV158" s="39"/>
      <c r="AW158" s="39"/>
      <c r="AX158" s="39"/>
      <c r="AY158" s="39"/>
      <c r="AZ158" s="39"/>
      <c r="BA158" s="39"/>
      <c r="BB158" s="39"/>
      <c r="BC158" s="39"/>
    </row>
    <row r="159" spans="1:55" ht="14.25" customHeight="1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9"/>
      <c r="AW159" s="39"/>
      <c r="AX159" s="39"/>
      <c r="AY159" s="39"/>
      <c r="AZ159" s="39"/>
      <c r="BA159" s="39"/>
      <c r="BB159" s="39"/>
      <c r="BC159" s="39"/>
    </row>
    <row r="160" spans="1:55" ht="14.25" customHeight="1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  <c r="AX160" s="39"/>
      <c r="AY160" s="39"/>
      <c r="AZ160" s="39"/>
      <c r="BA160" s="39"/>
      <c r="BB160" s="39"/>
      <c r="BC160" s="39"/>
    </row>
    <row r="161" spans="1:55" ht="14.25" customHeight="1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  <c r="AX161" s="39"/>
      <c r="AY161" s="39"/>
      <c r="AZ161" s="39"/>
      <c r="BA161" s="39"/>
      <c r="BB161" s="39"/>
      <c r="BC161" s="39"/>
    </row>
    <row r="162" spans="1:55" ht="14.25" customHeight="1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  <c r="AX162" s="39"/>
      <c r="AY162" s="39"/>
      <c r="AZ162" s="39"/>
      <c r="BA162" s="39"/>
      <c r="BB162" s="39"/>
      <c r="BC162" s="39"/>
    </row>
    <row r="163" spans="1:55" ht="14.25" customHeight="1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  <c r="AX163" s="39"/>
      <c r="AY163" s="39"/>
      <c r="AZ163" s="39"/>
      <c r="BA163" s="39"/>
      <c r="BB163" s="39"/>
      <c r="BC163" s="39"/>
    </row>
    <row r="164" spans="1:55" ht="14.25" customHeight="1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  <c r="AX164" s="39"/>
      <c r="AY164" s="39"/>
      <c r="AZ164" s="39"/>
      <c r="BA164" s="39"/>
      <c r="BB164" s="39"/>
      <c r="BC164" s="39"/>
    </row>
    <row r="165" spans="1:55" ht="14.25" customHeight="1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  <c r="AX165" s="39"/>
      <c r="AY165" s="39"/>
      <c r="AZ165" s="39"/>
      <c r="BA165" s="39"/>
      <c r="BB165" s="39"/>
      <c r="BC165" s="39"/>
    </row>
    <row r="166" spans="1:55" ht="14.25" customHeight="1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  <c r="AX166" s="39"/>
      <c r="AY166" s="39"/>
      <c r="AZ166" s="39"/>
      <c r="BA166" s="39"/>
      <c r="BB166" s="39"/>
      <c r="BC166" s="39"/>
    </row>
    <row r="167" spans="1:55" ht="14.25" customHeight="1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  <c r="AX167" s="39"/>
      <c r="AY167" s="39"/>
      <c r="AZ167" s="39"/>
      <c r="BA167" s="39"/>
      <c r="BB167" s="39"/>
      <c r="BC167" s="39"/>
    </row>
    <row r="168" spans="1:55" ht="14.25" customHeight="1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  <c r="BA168" s="39"/>
      <c r="BB168" s="39"/>
      <c r="BC168" s="39"/>
    </row>
    <row r="169" spans="1:55" ht="14.25" customHeight="1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  <c r="AX169" s="39"/>
      <c r="AY169" s="39"/>
      <c r="AZ169" s="39"/>
      <c r="BA169" s="39"/>
      <c r="BB169" s="39"/>
      <c r="BC169" s="39"/>
    </row>
    <row r="170" spans="1:55" ht="14.25" customHeight="1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  <c r="AX170" s="39"/>
      <c r="AY170" s="39"/>
      <c r="AZ170" s="39"/>
      <c r="BA170" s="39"/>
      <c r="BB170" s="39"/>
      <c r="BC170" s="39"/>
    </row>
    <row r="171" spans="1:55" ht="14.25" customHeight="1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  <c r="AX171" s="39"/>
      <c r="AY171" s="39"/>
      <c r="AZ171" s="39"/>
      <c r="BA171" s="39"/>
      <c r="BB171" s="39"/>
      <c r="BC171" s="39"/>
    </row>
    <row r="172" spans="1:55" ht="14.25" customHeight="1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  <c r="AX172" s="39"/>
      <c r="AY172" s="39"/>
      <c r="AZ172" s="39"/>
      <c r="BA172" s="39"/>
      <c r="BB172" s="39"/>
      <c r="BC172" s="39"/>
    </row>
    <row r="173" spans="1:55" ht="14.25" customHeight="1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  <c r="AX173" s="39"/>
      <c r="AY173" s="39"/>
      <c r="AZ173" s="39"/>
      <c r="BA173" s="39"/>
      <c r="BB173" s="39"/>
      <c r="BC173" s="39"/>
    </row>
    <row r="174" spans="1:55" ht="14.25" customHeight="1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39"/>
      <c r="AV174" s="39"/>
      <c r="AW174" s="39"/>
      <c r="AX174" s="39"/>
      <c r="AY174" s="39"/>
      <c r="AZ174" s="39"/>
      <c r="BA174" s="39"/>
      <c r="BB174" s="39"/>
      <c r="BC174" s="39"/>
    </row>
    <row r="175" spans="1:55" ht="14.25" customHeight="1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  <c r="AQ175" s="39"/>
      <c r="AR175" s="39"/>
      <c r="AS175" s="39"/>
      <c r="AT175" s="39"/>
      <c r="AU175" s="39"/>
      <c r="AV175" s="39"/>
      <c r="AW175" s="39"/>
      <c r="AX175" s="39"/>
      <c r="AY175" s="39"/>
      <c r="AZ175" s="39"/>
      <c r="BA175" s="39"/>
      <c r="BB175" s="39"/>
      <c r="BC175" s="39"/>
    </row>
    <row r="176" spans="1:55" ht="14.25" customHeight="1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  <c r="AQ176" s="39"/>
      <c r="AR176" s="39"/>
      <c r="AS176" s="39"/>
      <c r="AT176" s="39"/>
      <c r="AU176" s="39"/>
      <c r="AV176" s="39"/>
      <c r="AW176" s="39"/>
      <c r="AX176" s="39"/>
      <c r="AY176" s="39"/>
      <c r="AZ176" s="39"/>
      <c r="BA176" s="39"/>
      <c r="BB176" s="39"/>
      <c r="BC176" s="39"/>
    </row>
    <row r="177" spans="1:55" ht="14.25" customHeight="1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  <c r="AQ177" s="39"/>
      <c r="AR177" s="39"/>
      <c r="AS177" s="39"/>
      <c r="AT177" s="39"/>
      <c r="AU177" s="39"/>
      <c r="AV177" s="39"/>
      <c r="AW177" s="39"/>
      <c r="AX177" s="39"/>
      <c r="AY177" s="39"/>
      <c r="AZ177" s="39"/>
      <c r="BA177" s="39"/>
      <c r="BB177" s="39"/>
      <c r="BC177" s="39"/>
    </row>
    <row r="178" spans="1:55" ht="14.25" customHeight="1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  <c r="AQ178" s="39"/>
      <c r="AR178" s="39"/>
      <c r="AS178" s="39"/>
      <c r="AT178" s="39"/>
      <c r="AU178" s="39"/>
      <c r="AV178" s="39"/>
      <c r="AW178" s="39"/>
      <c r="AX178" s="39"/>
      <c r="AY178" s="39"/>
      <c r="AZ178" s="39"/>
      <c r="BA178" s="39"/>
      <c r="BB178" s="39"/>
      <c r="BC178" s="39"/>
    </row>
    <row r="179" spans="1:55" ht="14.25" customHeight="1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  <c r="AQ179" s="39"/>
      <c r="AR179" s="39"/>
      <c r="AS179" s="39"/>
      <c r="AT179" s="39"/>
      <c r="AU179" s="39"/>
      <c r="AV179" s="39"/>
      <c r="AW179" s="39"/>
      <c r="AX179" s="39"/>
      <c r="AY179" s="39"/>
      <c r="AZ179" s="39"/>
      <c r="BA179" s="39"/>
      <c r="BB179" s="39"/>
      <c r="BC179" s="39"/>
    </row>
    <row r="180" spans="1:55" ht="14.25" customHeight="1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  <c r="AQ180" s="39"/>
      <c r="AR180" s="39"/>
      <c r="AS180" s="39"/>
      <c r="AT180" s="39"/>
      <c r="AU180" s="39"/>
      <c r="AV180" s="39"/>
      <c r="AW180" s="39"/>
      <c r="AX180" s="39"/>
      <c r="AY180" s="39"/>
      <c r="AZ180" s="39"/>
      <c r="BA180" s="39"/>
      <c r="BB180" s="39"/>
      <c r="BC180" s="39"/>
    </row>
    <row r="181" spans="1:55" ht="14.25" customHeight="1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Q181" s="39"/>
      <c r="AR181" s="39"/>
      <c r="AS181" s="39"/>
      <c r="AT181" s="39"/>
      <c r="AU181" s="39"/>
      <c r="AV181" s="39"/>
      <c r="AW181" s="39"/>
      <c r="AX181" s="39"/>
      <c r="AY181" s="39"/>
      <c r="AZ181" s="39"/>
      <c r="BA181" s="39"/>
      <c r="BB181" s="39"/>
      <c r="BC181" s="39"/>
    </row>
    <row r="182" spans="1:55" ht="14.25" customHeight="1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39"/>
      <c r="AS182" s="39"/>
      <c r="AT182" s="39"/>
      <c r="AU182" s="39"/>
      <c r="AV182" s="39"/>
      <c r="AW182" s="39"/>
      <c r="AX182" s="39"/>
      <c r="AY182" s="39"/>
      <c r="AZ182" s="39"/>
      <c r="BA182" s="39"/>
      <c r="BB182" s="39"/>
      <c r="BC182" s="39"/>
    </row>
    <row r="183" spans="1:55" ht="14.25" customHeight="1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  <c r="AR183" s="39"/>
      <c r="AS183" s="39"/>
      <c r="AT183" s="39"/>
      <c r="AU183" s="39"/>
      <c r="AV183" s="39"/>
      <c r="AW183" s="39"/>
      <c r="AX183" s="39"/>
      <c r="AY183" s="39"/>
      <c r="AZ183" s="39"/>
      <c r="BA183" s="39"/>
      <c r="BB183" s="39"/>
      <c r="BC183" s="39"/>
    </row>
    <row r="184" spans="1:55" ht="14.25" customHeight="1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  <c r="AR184" s="39"/>
      <c r="AS184" s="39"/>
      <c r="AT184" s="39"/>
      <c r="AU184" s="39"/>
      <c r="AV184" s="39"/>
      <c r="AW184" s="39"/>
      <c r="AX184" s="39"/>
      <c r="AY184" s="39"/>
      <c r="AZ184" s="39"/>
      <c r="BA184" s="39"/>
      <c r="BB184" s="39"/>
      <c r="BC184" s="39"/>
    </row>
    <row r="185" spans="1:55" ht="14.25" customHeight="1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  <c r="AQ185" s="39"/>
      <c r="AR185" s="39"/>
      <c r="AS185" s="39"/>
      <c r="AT185" s="39"/>
      <c r="AU185" s="39"/>
      <c r="AV185" s="39"/>
      <c r="AW185" s="39"/>
      <c r="AX185" s="39"/>
      <c r="AY185" s="39"/>
      <c r="AZ185" s="39"/>
      <c r="BA185" s="39"/>
      <c r="BB185" s="39"/>
      <c r="BC185" s="39"/>
    </row>
    <row r="186" spans="1:55" ht="14.25" customHeight="1">
      <c r="A186" s="39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  <c r="AQ186" s="39"/>
      <c r="AR186" s="39"/>
      <c r="AS186" s="39"/>
      <c r="AT186" s="39"/>
      <c r="AU186" s="39"/>
      <c r="AV186" s="39"/>
      <c r="AW186" s="39"/>
      <c r="AX186" s="39"/>
      <c r="AY186" s="39"/>
      <c r="AZ186" s="39"/>
      <c r="BA186" s="39"/>
      <c r="BB186" s="39"/>
      <c r="BC186" s="39"/>
    </row>
    <row r="187" spans="1:55" ht="14.25" customHeight="1">
      <c r="A187" s="39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  <c r="AR187" s="39"/>
      <c r="AS187" s="39"/>
      <c r="AT187" s="39"/>
      <c r="AU187" s="39"/>
      <c r="AV187" s="39"/>
      <c r="AW187" s="39"/>
      <c r="AX187" s="39"/>
      <c r="AY187" s="39"/>
      <c r="AZ187" s="39"/>
      <c r="BA187" s="39"/>
      <c r="BB187" s="39"/>
      <c r="BC187" s="39"/>
    </row>
    <row r="188" spans="1:55" ht="14.25" customHeight="1">
      <c r="A188" s="39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  <c r="AQ188" s="39"/>
      <c r="AR188" s="39"/>
      <c r="AS188" s="39"/>
      <c r="AT188" s="39"/>
      <c r="AU188" s="39"/>
      <c r="AV188" s="39"/>
      <c r="AW188" s="39"/>
      <c r="AX188" s="39"/>
      <c r="AY188" s="39"/>
      <c r="AZ188" s="39"/>
      <c r="BA188" s="39"/>
      <c r="BB188" s="39"/>
      <c r="BC188" s="39"/>
    </row>
    <row r="189" spans="1:55" ht="14.25" customHeight="1">
      <c r="A189" s="39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  <c r="AQ189" s="39"/>
      <c r="AR189" s="39"/>
      <c r="AS189" s="39"/>
      <c r="AT189" s="39"/>
      <c r="AU189" s="39"/>
      <c r="AV189" s="39"/>
      <c r="AW189" s="39"/>
      <c r="AX189" s="39"/>
      <c r="AY189" s="39"/>
      <c r="AZ189" s="39"/>
      <c r="BA189" s="39"/>
      <c r="BB189" s="39"/>
      <c r="BC189" s="39"/>
    </row>
    <row r="190" spans="1:55" ht="14.25" customHeight="1">
      <c r="A190" s="39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  <c r="AQ190" s="39"/>
      <c r="AR190" s="39"/>
      <c r="AS190" s="39"/>
      <c r="AT190" s="39"/>
      <c r="AU190" s="39"/>
      <c r="AV190" s="39"/>
      <c r="AW190" s="39"/>
      <c r="AX190" s="39"/>
      <c r="AY190" s="39"/>
      <c r="AZ190" s="39"/>
      <c r="BA190" s="39"/>
      <c r="BB190" s="39"/>
      <c r="BC190" s="39"/>
    </row>
    <row r="191" spans="1:55" ht="14.25" customHeight="1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  <c r="AQ191" s="39"/>
      <c r="AR191" s="39"/>
      <c r="AS191" s="39"/>
      <c r="AT191" s="39"/>
      <c r="AU191" s="39"/>
      <c r="AV191" s="39"/>
      <c r="AW191" s="39"/>
      <c r="AX191" s="39"/>
      <c r="AY191" s="39"/>
      <c r="AZ191" s="39"/>
      <c r="BA191" s="39"/>
      <c r="BB191" s="39"/>
      <c r="BC191" s="39"/>
    </row>
    <row r="192" spans="1:55" ht="14.25" customHeight="1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  <c r="AQ192" s="39"/>
      <c r="AR192" s="39"/>
      <c r="AS192" s="39"/>
      <c r="AT192" s="39"/>
      <c r="AU192" s="39"/>
      <c r="AV192" s="39"/>
      <c r="AW192" s="39"/>
      <c r="AX192" s="39"/>
      <c r="AY192" s="39"/>
      <c r="AZ192" s="39"/>
      <c r="BA192" s="39"/>
      <c r="BB192" s="39"/>
      <c r="BC192" s="39"/>
    </row>
    <row r="193" spans="1:55" ht="14.25" customHeight="1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  <c r="AQ193" s="39"/>
      <c r="AR193" s="39"/>
      <c r="AS193" s="39"/>
      <c r="AT193" s="39"/>
      <c r="AU193" s="39"/>
      <c r="AV193" s="39"/>
      <c r="AW193" s="39"/>
      <c r="AX193" s="39"/>
      <c r="AY193" s="39"/>
      <c r="AZ193" s="39"/>
      <c r="BA193" s="39"/>
      <c r="BB193" s="39"/>
      <c r="BC193" s="39"/>
    </row>
    <row r="194" spans="1:55" ht="14.25" customHeight="1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  <c r="AQ194" s="39"/>
      <c r="AR194" s="39"/>
      <c r="AS194" s="39"/>
      <c r="AT194" s="39"/>
      <c r="AU194" s="39"/>
      <c r="AV194" s="39"/>
      <c r="AW194" s="39"/>
      <c r="AX194" s="39"/>
      <c r="AY194" s="39"/>
      <c r="AZ194" s="39"/>
      <c r="BA194" s="39"/>
      <c r="BB194" s="39"/>
      <c r="BC194" s="39"/>
    </row>
    <row r="195" spans="1:55" ht="14.25" customHeight="1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  <c r="AQ195" s="39"/>
      <c r="AR195" s="39"/>
      <c r="AS195" s="39"/>
      <c r="AT195" s="39"/>
      <c r="AU195" s="39"/>
      <c r="AV195" s="39"/>
      <c r="AW195" s="39"/>
      <c r="AX195" s="39"/>
      <c r="AY195" s="39"/>
      <c r="AZ195" s="39"/>
      <c r="BA195" s="39"/>
      <c r="BB195" s="39"/>
      <c r="BC195" s="39"/>
    </row>
    <row r="196" spans="1:55" ht="14.25" customHeight="1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9"/>
      <c r="AG196" s="39"/>
      <c r="AH196" s="39"/>
      <c r="AI196" s="39"/>
      <c r="AJ196" s="39"/>
      <c r="AK196" s="39"/>
      <c r="AL196" s="39"/>
      <c r="AM196" s="39"/>
      <c r="AN196" s="39"/>
      <c r="AO196" s="39"/>
      <c r="AP196" s="39"/>
      <c r="AQ196" s="39"/>
      <c r="AR196" s="39"/>
      <c r="AS196" s="39"/>
      <c r="AT196" s="39"/>
      <c r="AU196" s="39"/>
      <c r="AV196" s="39"/>
      <c r="AW196" s="39"/>
      <c r="AX196" s="39"/>
      <c r="AY196" s="39"/>
      <c r="AZ196" s="39"/>
      <c r="BA196" s="39"/>
      <c r="BB196" s="39"/>
      <c r="BC196" s="39"/>
    </row>
    <row r="197" spans="1:55" ht="14.25" customHeight="1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  <c r="AQ197" s="39"/>
      <c r="AR197" s="39"/>
      <c r="AS197" s="39"/>
      <c r="AT197" s="39"/>
      <c r="AU197" s="39"/>
      <c r="AV197" s="39"/>
      <c r="AW197" s="39"/>
      <c r="AX197" s="39"/>
      <c r="AY197" s="39"/>
      <c r="AZ197" s="39"/>
      <c r="BA197" s="39"/>
      <c r="BB197" s="39"/>
      <c r="BC197" s="39"/>
    </row>
    <row r="198" spans="1:55" ht="14.25" customHeight="1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  <c r="AQ198" s="39"/>
      <c r="AR198" s="39"/>
      <c r="AS198" s="39"/>
      <c r="AT198" s="39"/>
      <c r="AU198" s="39"/>
      <c r="AV198" s="39"/>
      <c r="AW198" s="39"/>
      <c r="AX198" s="39"/>
      <c r="AY198" s="39"/>
      <c r="AZ198" s="39"/>
      <c r="BA198" s="39"/>
      <c r="BB198" s="39"/>
      <c r="BC198" s="39"/>
    </row>
    <row r="199" spans="1:55" ht="14.25" customHeight="1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  <c r="AQ199" s="39"/>
      <c r="AR199" s="39"/>
      <c r="AS199" s="39"/>
      <c r="AT199" s="39"/>
      <c r="AU199" s="39"/>
      <c r="AV199" s="39"/>
      <c r="AW199" s="39"/>
      <c r="AX199" s="39"/>
      <c r="AY199" s="39"/>
      <c r="AZ199" s="39"/>
      <c r="BA199" s="39"/>
      <c r="BB199" s="39"/>
      <c r="BC199" s="39"/>
    </row>
    <row r="200" spans="1:55" ht="14.25" customHeight="1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  <c r="AQ200" s="39"/>
      <c r="AR200" s="39"/>
      <c r="AS200" s="39"/>
      <c r="AT200" s="39"/>
      <c r="AU200" s="39"/>
      <c r="AV200" s="39"/>
      <c r="AW200" s="39"/>
      <c r="AX200" s="39"/>
      <c r="AY200" s="39"/>
      <c r="AZ200" s="39"/>
      <c r="BA200" s="39"/>
      <c r="BB200" s="39"/>
      <c r="BC200" s="39"/>
    </row>
  </sheetData>
  <phoneticPr fontId="7" type="noConversion"/>
  <dataValidations count="3">
    <dataValidation type="list" allowBlank="1" showInputMessage="1" showErrorMessage="1" sqref="S201:U1048576 C501:C1048576 C201:C499 D201:D499 D501:D1048576" xr:uid="{41A33975-62C0-47A2-973E-84C6D410E0FE}">
      <formula1>#REF!</formula1>
    </dataValidation>
    <dataValidation type="list" allowBlank="1" showInputMessage="1" showErrorMessage="1" sqref="D4:D200 C4:C200 B4:B200 A3:A200 F3:BC200 E4:E200" xr:uid="{58D09BA8-D384-404E-9266-F7F6D204AB43}">
      <formula1>factor_dropdown</formula1>
    </dataValidation>
    <dataValidation type="list" errorStyle="warning" allowBlank="1" showInputMessage="1" showErrorMessage="1" sqref="A2:BC2" xr:uid="{FC728ABF-7324-4069-B4B6-7EC81AA7F719}">
      <formula1>factor_dropdown</formula1>
    </dataValidation>
  </dataValidations>
  <pageMargins left="0.70866141732283472" right="0.70866141732283472" top="0.74803149606299213" bottom="0.74803149606299213" header="0.31496062992125984" footer="0.31496062992125984"/>
  <pageSetup paperSize="8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B8F626-737F-4AB4-9CDE-DF4CE7F2E988}">
          <x14:formula1>
            <xm:f>lanupro_vocabulary_combined!$1:$1</xm:f>
          </x14:formula1>
          <xm:sqref>A1:BC1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AEF14-8B1C-45A5-B4ED-3939E7C8E230}">
  <dimension ref="A1:DT106"/>
  <sheetViews>
    <sheetView topLeftCell="M1" workbookViewId="0">
      <selection activeCell="M1" sqref="M1"/>
    </sheetView>
  </sheetViews>
  <sheetFormatPr defaultRowHeight="14.4"/>
  <cols>
    <col min="1" max="1" width="18.44140625" bestFit="1" customWidth="1"/>
    <col min="2" max="2" width="55.109375" bestFit="1" customWidth="1"/>
    <col min="3" max="3" width="62.109375" bestFit="1" customWidth="1"/>
    <col min="4" max="4" width="64" bestFit="1" customWidth="1"/>
    <col min="5" max="5" width="54.44140625" bestFit="1" customWidth="1"/>
    <col min="6" max="6" width="61.44140625" bestFit="1" customWidth="1"/>
    <col min="7" max="7" width="63.33203125" bestFit="1" customWidth="1"/>
    <col min="8" max="8" width="55.21875" bestFit="1" customWidth="1"/>
    <col min="9" max="9" width="49.6640625" bestFit="1" customWidth="1"/>
    <col min="10" max="10" width="56.77734375" bestFit="1" customWidth="1"/>
    <col min="11" max="11" width="58.6640625" bestFit="1" customWidth="1"/>
    <col min="12" max="12" width="62.21875" bestFit="1" customWidth="1"/>
    <col min="13" max="13" width="56.6640625" bestFit="1" customWidth="1"/>
    <col min="14" max="14" width="80.88671875" bestFit="1" customWidth="1"/>
    <col min="15" max="15" width="56.5546875" bestFit="1" customWidth="1"/>
    <col min="16" max="16" width="80.88671875" bestFit="1" customWidth="1"/>
    <col min="17" max="17" width="46.6640625" bestFit="1" customWidth="1"/>
    <col min="18" max="18" width="57.21875" bestFit="1" customWidth="1"/>
    <col min="19" max="19" width="63.33203125" bestFit="1" customWidth="1"/>
    <col min="20" max="20" width="49.21875" bestFit="1" customWidth="1"/>
    <col min="21" max="21" width="59.88671875" bestFit="1" customWidth="1"/>
    <col min="22" max="22" width="65.88671875" bestFit="1" customWidth="1"/>
    <col min="23" max="23" width="74.44140625" bestFit="1" customWidth="1"/>
    <col min="24" max="24" width="46.5546875" bestFit="1" customWidth="1"/>
    <col min="25" max="25" width="51.6640625" bestFit="1" customWidth="1"/>
    <col min="26" max="26" width="35.88671875" bestFit="1" customWidth="1"/>
    <col min="27" max="27" width="43.88671875" bestFit="1" customWidth="1"/>
    <col min="28" max="28" width="57.44140625" bestFit="1" customWidth="1"/>
    <col min="29" max="29" width="72.33203125" bestFit="1" customWidth="1"/>
    <col min="30" max="30" width="70.109375" bestFit="1" customWidth="1"/>
    <col min="31" max="31" width="35" bestFit="1" customWidth="1"/>
    <col min="32" max="32" width="34" bestFit="1" customWidth="1"/>
    <col min="33" max="33" width="30.21875" bestFit="1" customWidth="1"/>
    <col min="34" max="34" width="67.6640625" bestFit="1" customWidth="1"/>
    <col min="35" max="35" width="34.77734375" bestFit="1" customWidth="1"/>
    <col min="36" max="36" width="59.21875" bestFit="1" customWidth="1"/>
    <col min="37" max="37" width="29.77734375" bestFit="1" customWidth="1"/>
    <col min="38" max="38" width="55.88671875" bestFit="1" customWidth="1"/>
    <col min="39" max="39" width="34.77734375" bestFit="1" customWidth="1"/>
    <col min="40" max="40" width="59.21875" bestFit="1" customWidth="1"/>
    <col min="41" max="41" width="29.77734375" bestFit="1" customWidth="1"/>
    <col min="42" max="42" width="55.88671875" bestFit="1" customWidth="1"/>
    <col min="43" max="43" width="34.77734375" bestFit="1" customWidth="1"/>
    <col min="44" max="44" width="59.21875" bestFit="1" customWidth="1"/>
    <col min="45" max="45" width="29.77734375" bestFit="1" customWidth="1"/>
    <col min="46" max="46" width="55.88671875" bestFit="1" customWidth="1"/>
    <col min="47" max="47" width="34.77734375" bestFit="1" customWidth="1"/>
    <col min="48" max="48" width="59.21875" bestFit="1" customWidth="1"/>
    <col min="49" max="49" width="29.77734375" bestFit="1" customWidth="1"/>
    <col min="50" max="50" width="55.88671875" bestFit="1" customWidth="1"/>
    <col min="51" max="51" width="10.44140625" bestFit="1" customWidth="1"/>
    <col min="52" max="52" width="16.109375" bestFit="1" customWidth="1"/>
    <col min="53" max="53" width="28.33203125" bestFit="1" customWidth="1"/>
    <col min="54" max="54" width="29.6640625" bestFit="1" customWidth="1"/>
    <col min="55" max="55" width="51.21875" bestFit="1" customWidth="1"/>
    <col min="56" max="56" width="45.109375" bestFit="1" customWidth="1"/>
    <col min="57" max="57" width="7.5546875" bestFit="1" customWidth="1"/>
    <col min="58" max="58" width="13.6640625" bestFit="1" customWidth="1"/>
    <col min="59" max="59" width="7.5546875" bestFit="1" customWidth="1"/>
    <col min="60" max="60" width="13.5546875" bestFit="1" customWidth="1"/>
    <col min="61" max="61" width="7.5546875" bestFit="1" customWidth="1"/>
    <col min="62" max="62" width="13.6640625" bestFit="1" customWidth="1"/>
    <col min="63" max="63" width="26.5546875" bestFit="1" customWidth="1"/>
    <col min="64" max="64" width="11.21875" bestFit="1" customWidth="1"/>
    <col min="65" max="65" width="14.109375" bestFit="1" customWidth="1"/>
    <col min="66" max="66" width="18.44140625" bestFit="1" customWidth="1"/>
    <col min="67" max="67" width="34.44140625" bestFit="1" customWidth="1"/>
    <col min="68" max="68" width="37.33203125" bestFit="1" customWidth="1"/>
    <col min="69" max="69" width="37.77734375" bestFit="1" customWidth="1"/>
    <col min="70" max="70" width="48.88671875" bestFit="1" customWidth="1"/>
    <col min="71" max="71" width="46.77734375" bestFit="1" customWidth="1"/>
    <col min="72" max="72" width="36.33203125" bestFit="1" customWidth="1"/>
    <col min="73" max="73" width="39.21875" bestFit="1" customWidth="1"/>
    <col min="74" max="74" width="39.44140625" bestFit="1" customWidth="1"/>
    <col min="75" max="75" width="37" bestFit="1" customWidth="1"/>
    <col min="76" max="76" width="39.21875" bestFit="1" customWidth="1"/>
    <col min="77" max="77" width="36.77734375" bestFit="1" customWidth="1"/>
    <col min="78" max="78" width="37.44140625" bestFit="1" customWidth="1"/>
    <col min="79" max="79" width="52.21875" bestFit="1" customWidth="1"/>
    <col min="80" max="80" width="55.109375" bestFit="1" customWidth="1"/>
    <col min="81" max="81" width="55.33203125" bestFit="1" customWidth="1"/>
    <col min="82" max="82" width="52.88671875" bestFit="1" customWidth="1"/>
    <col min="83" max="83" width="55.109375" bestFit="1" customWidth="1"/>
    <col min="84" max="84" width="52.6640625" bestFit="1" customWidth="1"/>
    <col min="85" max="85" width="53.33203125" bestFit="1" customWidth="1"/>
    <col min="86" max="86" width="16.33203125" bestFit="1" customWidth="1"/>
    <col min="87" max="87" width="7.5546875" customWidth="1"/>
    <col min="88" max="88" width="48.88671875" bestFit="1" customWidth="1"/>
    <col min="89" max="89" width="55.5546875" bestFit="1" customWidth="1"/>
    <col min="90" max="90" width="44.77734375" bestFit="1" customWidth="1"/>
    <col min="91" max="91" width="51.88671875" bestFit="1" customWidth="1"/>
    <col min="92" max="92" width="28" bestFit="1" customWidth="1"/>
    <col min="93" max="93" width="27.21875" bestFit="1" customWidth="1"/>
    <col min="94" max="94" width="22.88671875" bestFit="1" customWidth="1"/>
    <col min="95" max="95" width="24.44140625" bestFit="1" customWidth="1"/>
    <col min="96" max="96" width="80.88671875" bestFit="1" customWidth="1"/>
    <col min="97" max="97" width="31" bestFit="1" customWidth="1"/>
    <col min="98" max="98" width="33.88671875" bestFit="1" customWidth="1"/>
    <col min="99" max="99" width="21.77734375" bestFit="1" customWidth="1"/>
    <col min="100" max="100" width="42.33203125" bestFit="1" customWidth="1"/>
    <col min="101" max="101" width="17.109375" bestFit="1" customWidth="1"/>
    <col min="102" max="102" width="20.44140625" bestFit="1" customWidth="1"/>
    <col min="103" max="103" width="35" bestFit="1" customWidth="1"/>
    <col min="104" max="104" width="41.109375" bestFit="1" customWidth="1"/>
    <col min="105" max="105" width="49.44140625" bestFit="1" customWidth="1"/>
    <col min="106" max="106" width="23.44140625" bestFit="1" customWidth="1"/>
    <col min="107" max="107" width="23.77734375" bestFit="1" customWidth="1"/>
    <col min="108" max="108" width="27.6640625" bestFit="1" customWidth="1"/>
    <col min="109" max="109" width="30.21875" bestFit="1" customWidth="1"/>
    <col min="110" max="110" width="24.6640625" bestFit="1" customWidth="1"/>
    <col min="111" max="111" width="32.21875" bestFit="1" customWidth="1"/>
    <col min="112" max="112" width="29.77734375" bestFit="1" customWidth="1"/>
    <col min="113" max="113" width="32" bestFit="1" customWidth="1"/>
    <col min="114" max="114" width="47.33203125" bestFit="1" customWidth="1"/>
    <col min="115" max="115" width="41.88671875" bestFit="1" customWidth="1"/>
    <col min="116" max="116" width="27.77734375" bestFit="1" customWidth="1"/>
    <col min="117" max="117" width="34" bestFit="1" customWidth="1"/>
    <col min="118" max="118" width="46.6640625" bestFit="1" customWidth="1"/>
    <col min="119" max="119" width="44.5546875" bestFit="1" customWidth="1"/>
    <col min="120" max="120" width="46.21875" bestFit="1" customWidth="1"/>
    <col min="121" max="121" width="48.88671875" bestFit="1" customWidth="1"/>
    <col min="122" max="122" width="30.109375" bestFit="1" customWidth="1"/>
    <col min="123" max="123" width="29.33203125" bestFit="1" customWidth="1"/>
    <col min="124" max="124" width="14" bestFit="1" customWidth="1"/>
    <col min="125" max="125" width="28.6640625" bestFit="1" customWidth="1"/>
    <col min="126" max="126" width="28.77734375" bestFit="1" customWidth="1"/>
    <col min="127" max="127" width="30.44140625" bestFit="1" customWidth="1"/>
    <col min="128" max="128" width="30.88671875" bestFit="1" customWidth="1"/>
    <col min="129" max="129" width="9.5546875" bestFit="1" customWidth="1"/>
    <col min="130" max="130" width="27.21875" bestFit="1" customWidth="1"/>
    <col min="131" max="131" width="22.88671875" bestFit="1" customWidth="1"/>
    <col min="132" max="132" width="24.44140625" bestFit="1" customWidth="1"/>
    <col min="133" max="133" width="80.88671875" bestFit="1" customWidth="1"/>
    <col min="134" max="134" width="31" bestFit="1" customWidth="1"/>
    <col min="135" max="135" width="33.88671875" bestFit="1" customWidth="1"/>
    <col min="136" max="136" width="21.77734375" bestFit="1" customWidth="1"/>
    <col min="137" max="137" width="42.33203125" bestFit="1" customWidth="1"/>
    <col min="138" max="138" width="17.109375" bestFit="1" customWidth="1"/>
    <col min="139" max="139" width="20.44140625" bestFit="1" customWidth="1"/>
    <col min="140" max="140" width="23.44140625" bestFit="1" customWidth="1"/>
    <col min="141" max="141" width="23.77734375" bestFit="1" customWidth="1"/>
    <col min="142" max="142" width="27.6640625" bestFit="1" customWidth="1"/>
    <col min="143" max="143" width="30.21875" bestFit="1" customWidth="1"/>
    <col min="144" max="144" width="8" bestFit="1" customWidth="1"/>
    <col min="145" max="145" width="8.6640625" bestFit="1" customWidth="1"/>
    <col min="146" max="146" width="11.109375" bestFit="1" customWidth="1"/>
    <col min="147" max="147" width="32" bestFit="1" customWidth="1"/>
    <col min="148" max="148" width="8.33203125" bestFit="1" customWidth="1"/>
    <col min="149" max="149" width="16.77734375" bestFit="1" customWidth="1"/>
    <col min="150" max="150" width="13.88671875" bestFit="1" customWidth="1"/>
    <col min="151" max="151" width="20.88671875" bestFit="1" customWidth="1"/>
    <col min="152" max="152" width="23.109375" customWidth="1"/>
    <col min="153" max="153" width="19.21875" bestFit="1" customWidth="1"/>
    <col min="154" max="154" width="13.77734375" bestFit="1" customWidth="1"/>
    <col min="155" max="155" width="13.88671875" bestFit="1" customWidth="1"/>
    <col min="156" max="156" width="30.109375" bestFit="1" customWidth="1"/>
    <col min="157" max="157" width="14" bestFit="1" customWidth="1"/>
    <col min="158" max="158" width="19.21875" bestFit="1" customWidth="1"/>
    <col min="159" max="159" width="13.77734375" bestFit="1" customWidth="1"/>
    <col min="160" max="160" width="13.88671875" bestFit="1" customWidth="1"/>
    <col min="161" max="162" width="30.109375" bestFit="1" customWidth="1"/>
    <col min="163" max="164" width="9.33203125" bestFit="1" customWidth="1"/>
    <col min="165" max="165" width="43.77734375" bestFit="1" customWidth="1"/>
    <col min="166" max="166" width="33" bestFit="1" customWidth="1"/>
    <col min="167" max="167" width="80.88671875" bestFit="1" customWidth="1"/>
    <col min="168" max="169" width="39.33203125" bestFit="1" customWidth="1"/>
    <col min="170" max="170" width="31.77734375" bestFit="1" customWidth="1"/>
    <col min="171" max="171" width="42.33203125" bestFit="1" customWidth="1"/>
    <col min="172" max="172" width="42.44140625" bestFit="1" customWidth="1"/>
    <col min="173" max="173" width="45.77734375" bestFit="1" customWidth="1"/>
    <col min="174" max="174" width="36.77734375" bestFit="1" customWidth="1"/>
    <col min="175" max="175" width="31.21875" bestFit="1" customWidth="1"/>
    <col min="176" max="176" width="35.5546875" bestFit="1" customWidth="1"/>
    <col min="177" max="177" width="34.6640625" bestFit="1" customWidth="1"/>
    <col min="178" max="178" width="38.109375" bestFit="1" customWidth="1"/>
    <col min="179" max="179" width="31.77734375" bestFit="1" customWidth="1"/>
    <col min="180" max="180" width="33.21875" bestFit="1" customWidth="1"/>
    <col min="181" max="181" width="33.88671875" bestFit="1" customWidth="1"/>
    <col min="182" max="182" width="36.44140625" bestFit="1" customWidth="1"/>
    <col min="183" max="183" width="38.5546875" bestFit="1" customWidth="1"/>
    <col min="184" max="184" width="33.5546875" bestFit="1" customWidth="1"/>
    <col min="185" max="185" width="42.109375" bestFit="1" customWidth="1"/>
    <col min="186" max="186" width="39.21875" bestFit="1" customWidth="1"/>
    <col min="187" max="187" width="46.21875" bestFit="1" customWidth="1"/>
    <col min="188" max="188" width="48.5546875" bestFit="1" customWidth="1"/>
    <col min="189" max="189" width="44.6640625" bestFit="1" customWidth="1"/>
    <col min="190" max="190" width="39.109375" bestFit="1" customWidth="1"/>
    <col min="191" max="191" width="39.21875" bestFit="1" customWidth="1"/>
    <col min="192" max="192" width="34.5546875" bestFit="1" customWidth="1"/>
    <col min="193" max="193" width="41.5546875" bestFit="1" customWidth="1"/>
    <col min="194" max="194" width="34.5546875" bestFit="1" customWidth="1"/>
  </cols>
  <sheetData>
    <row r="1" spans="1:124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</row>
    <row r="2" spans="1:124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</row>
    <row r="3" spans="1:124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</row>
    <row r="4" spans="1:124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</row>
    <row r="5" spans="1:124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</row>
    <row r="6" spans="1:124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</row>
    <row r="7" spans="1:124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</row>
    <row r="8" spans="1:124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</row>
    <row r="9" spans="1:124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</row>
    <row r="10" spans="1:124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</row>
    <row r="11" spans="1:124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</row>
    <row r="12" spans="1:124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</row>
    <row r="13" spans="1:124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</row>
    <row r="14" spans="1:124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</row>
    <row r="15" spans="1:124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</row>
    <row r="16" spans="1:124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</row>
    <row r="17" spans="1:124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</row>
    <row r="18" spans="1:124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</row>
    <row r="19" spans="1:124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</row>
    <row r="20" spans="1:124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</row>
    <row r="21" spans="1:124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</row>
    <row r="22" spans="1:124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</row>
    <row r="23" spans="1:124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</row>
    <row r="24" spans="1:124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</row>
    <row r="25" spans="1:124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</row>
    <row r="26" spans="1:124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</row>
    <row r="27" spans="1:124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</row>
    <row r="28" spans="1:124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</row>
    <row r="29" spans="1:124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</row>
    <row r="30" spans="1:124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</row>
    <row r="31" spans="1:124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</row>
    <row r="32" spans="1:124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</row>
    <row r="33" spans="1:124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</row>
    <row r="34" spans="1:124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</row>
    <row r="35" spans="1:124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</row>
    <row r="36" spans="1:124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</row>
    <row r="37" spans="1:124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</row>
    <row r="38" spans="1:124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</row>
    <row r="39" spans="1:124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</row>
    <row r="40" spans="1:124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</row>
    <row r="41" spans="1:124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</row>
    <row r="42" spans="1:124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</row>
    <row r="43" spans="1:12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</row>
    <row r="44" spans="1:12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</row>
    <row r="45" spans="1:124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</row>
    <row r="46" spans="1:12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</row>
    <row r="47" spans="1:124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</row>
    <row r="48" spans="1:124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</row>
    <row r="49" spans="1:12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</row>
    <row r="50" spans="1:124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</row>
    <row r="51" spans="1:124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</row>
    <row r="52" spans="1:124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</row>
    <row r="53" spans="1:12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</row>
    <row r="54" spans="1:12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</row>
    <row r="55" spans="1:12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</row>
    <row r="56" spans="1:12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</row>
    <row r="57" spans="1:12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</row>
    <row r="58" spans="1:12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</row>
    <row r="59" spans="1:12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</row>
    <row r="60" spans="1:12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</row>
    <row r="61" spans="1:12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</row>
    <row r="62" spans="1:12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</row>
    <row r="63" spans="1:12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</row>
    <row r="64" spans="1:12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</row>
    <row r="65" spans="1:12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</row>
    <row r="66" spans="1:12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</row>
    <row r="67" spans="1:12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</row>
    <row r="68" spans="1:12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</row>
    <row r="69" spans="1:12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</row>
    <row r="70" spans="1:12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</row>
    <row r="71" spans="1:12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</row>
    <row r="72" spans="1:12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</row>
    <row r="73" spans="1:12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</row>
    <row r="74" spans="1:12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</row>
    <row r="75" spans="1:12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</row>
    <row r="76" spans="1:12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</row>
    <row r="77" spans="1:12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</row>
    <row r="78" spans="1:12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</row>
    <row r="79" spans="1:12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</row>
    <row r="80" spans="1:12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</row>
    <row r="81" spans="1:12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</row>
    <row r="82" spans="1:12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</row>
    <row r="83" spans="1:12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</row>
    <row r="84" spans="1:12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</row>
    <row r="85" spans="1:12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</row>
    <row r="86" spans="1:12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</row>
    <row r="87" spans="1:12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</row>
    <row r="88" spans="1:12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</row>
    <row r="89" spans="1:12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</row>
    <row r="90" spans="1:12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</row>
    <row r="91" spans="1:12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</row>
    <row r="92" spans="1:12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</row>
    <row r="93" spans="1:12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</row>
    <row r="94" spans="1:12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</row>
    <row r="95" spans="1:12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</row>
    <row r="96" spans="1:12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</row>
    <row r="97" spans="1:12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</row>
    <row r="98" spans="1:12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79421-B842-465A-99A9-39E5323D3CA2}">
  <dimension ref="A1:AE106"/>
  <sheetViews>
    <sheetView workbookViewId="0">
      <selection sqref="A1:AF101"/>
    </sheetView>
  </sheetViews>
  <sheetFormatPr defaultRowHeight="14.4"/>
  <cols>
    <col min="1" max="1" width="18.44140625" bestFit="1" customWidth="1"/>
    <col min="2" max="2" width="24.44140625" bestFit="1" customWidth="1"/>
    <col min="3" max="3" width="80.88671875" bestFit="1" customWidth="1"/>
    <col min="4" max="4" width="31" bestFit="1" customWidth="1"/>
    <col min="5" max="5" width="33.88671875" bestFit="1" customWidth="1"/>
    <col min="6" max="6" width="21.77734375" bestFit="1" customWidth="1"/>
    <col min="7" max="7" width="42.33203125" bestFit="1" customWidth="1"/>
    <col min="8" max="8" width="17.109375" bestFit="1" customWidth="1"/>
    <col min="9" max="9" width="20.44140625" bestFit="1" customWidth="1"/>
    <col min="10" max="10" width="35" bestFit="1" customWidth="1"/>
    <col min="11" max="11" width="41.109375" bestFit="1" customWidth="1"/>
    <col min="12" max="12" width="49.44140625" bestFit="1" customWidth="1"/>
    <col min="13" max="13" width="23.44140625" bestFit="1" customWidth="1"/>
    <col min="14" max="14" width="23.77734375" bestFit="1" customWidth="1"/>
    <col min="15" max="15" width="27.6640625" bestFit="1" customWidth="1"/>
    <col min="16" max="16" width="30.21875" bestFit="1" customWidth="1"/>
    <col min="17" max="17" width="24.6640625" bestFit="1" customWidth="1"/>
    <col min="18" max="18" width="32.21875" bestFit="1" customWidth="1"/>
    <col min="19" max="19" width="29.77734375" bestFit="1" customWidth="1"/>
    <col min="20" max="20" width="32" bestFit="1" customWidth="1"/>
    <col min="21" max="21" width="47.33203125" bestFit="1" customWidth="1"/>
    <col min="22" max="22" width="41.88671875" bestFit="1" customWidth="1"/>
    <col min="23" max="23" width="27.77734375" bestFit="1" customWidth="1"/>
    <col min="24" max="24" width="34" bestFit="1" customWidth="1"/>
    <col min="25" max="25" width="46.6640625" bestFit="1" customWidth="1"/>
    <col min="26" max="26" width="44.5546875" bestFit="1" customWidth="1"/>
    <col min="27" max="27" width="46.21875" bestFit="1" customWidth="1"/>
    <col min="28" max="28" width="48.88671875" bestFit="1" customWidth="1"/>
    <col min="29" max="29" width="30.109375" bestFit="1" customWidth="1"/>
    <col min="30" max="30" width="29.33203125" bestFit="1" customWidth="1"/>
    <col min="31" max="31" width="14" bestFit="1" customWidth="1"/>
    <col min="32" max="32" width="13.88671875" bestFit="1" customWidth="1"/>
    <col min="33" max="33" width="20.88671875" bestFit="1" customWidth="1"/>
    <col min="34" max="34" width="23.109375" bestFit="1" customWidth="1"/>
    <col min="35" max="35" width="19.21875" bestFit="1" customWidth="1"/>
    <col min="36" max="36" width="13.77734375" bestFit="1" customWidth="1"/>
    <col min="37" max="37" width="13.88671875" bestFit="1" customWidth="1"/>
    <col min="38" max="38" width="30.109375" bestFit="1" customWidth="1"/>
    <col min="39" max="39" width="14" bestFit="1" customWidth="1"/>
    <col min="40" max="40" width="13.88671875" bestFit="1" customWidth="1"/>
    <col min="41" max="41" width="30.109375" bestFit="1" customWidth="1"/>
    <col min="42" max="42" width="13.88671875" bestFit="1" customWidth="1"/>
    <col min="43" max="43" width="9.33203125" bestFit="1" customWidth="1"/>
    <col min="44" max="44" width="30.109375" bestFit="1" customWidth="1"/>
    <col min="45" max="46" width="9.33203125" customWidth="1"/>
  </cols>
  <sheetData>
    <row r="1" spans="1:31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</row>
    <row r="2" spans="1:31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</row>
    <row r="3" spans="1:31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</row>
    <row r="4" spans="1:31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</row>
    <row r="5" spans="1:31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</row>
    <row r="99" spans="1:3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</row>
    <row r="100" spans="1:3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</row>
    <row r="101" spans="1:3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</row>
    <row r="102" spans="1:3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</row>
    <row r="103" spans="1:3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</row>
    <row r="104" spans="1:3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</row>
    <row r="105" spans="1:3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</row>
    <row r="106" spans="1:3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ED5E8-6E7B-4D21-A467-2225839D25A0}">
  <dimension ref="A1:CP106"/>
  <sheetViews>
    <sheetView workbookViewId="0">
      <selection activeCell="H11" sqref="H11"/>
    </sheetView>
  </sheetViews>
  <sheetFormatPr defaultRowHeight="14.4"/>
  <cols>
    <col min="1" max="1" width="18.44140625" bestFit="1" customWidth="1"/>
    <col min="2" max="2" width="55.109375" bestFit="1" customWidth="1"/>
    <col min="3" max="3" width="62.109375" bestFit="1" customWidth="1"/>
    <col min="4" max="4" width="64" bestFit="1" customWidth="1"/>
    <col min="5" max="5" width="54.44140625" bestFit="1" customWidth="1"/>
    <col min="6" max="6" width="61.44140625" bestFit="1" customWidth="1"/>
    <col min="7" max="7" width="63.33203125" bestFit="1" customWidth="1"/>
    <col min="8" max="8" width="55.21875" bestFit="1" customWidth="1"/>
    <col min="9" max="9" width="49.6640625" bestFit="1" customWidth="1"/>
    <col min="10" max="10" width="56.77734375" bestFit="1" customWidth="1"/>
    <col min="11" max="11" width="58.6640625" bestFit="1" customWidth="1"/>
    <col min="12" max="12" width="62.21875" bestFit="1" customWidth="1"/>
    <col min="13" max="13" width="56.6640625" bestFit="1" customWidth="1"/>
    <col min="14" max="14" width="80.88671875" bestFit="1" customWidth="1"/>
    <col min="15" max="15" width="56.5546875" bestFit="1" customWidth="1"/>
    <col min="16" max="16" width="80.88671875" bestFit="1" customWidth="1"/>
    <col min="17" max="17" width="46.6640625" bestFit="1" customWidth="1"/>
    <col min="18" max="18" width="57.21875" bestFit="1" customWidth="1"/>
    <col min="19" max="19" width="63.33203125" bestFit="1" customWidth="1"/>
    <col min="20" max="20" width="49.21875" bestFit="1" customWidth="1"/>
    <col min="21" max="21" width="59.88671875" bestFit="1" customWidth="1"/>
    <col min="22" max="22" width="65.88671875" bestFit="1" customWidth="1"/>
    <col min="23" max="23" width="74.44140625" bestFit="1" customWidth="1"/>
    <col min="24" max="24" width="46.5546875" bestFit="1" customWidth="1"/>
    <col min="25" max="25" width="51.6640625" bestFit="1" customWidth="1"/>
    <col min="26" max="26" width="35.88671875" bestFit="1" customWidth="1"/>
    <col min="27" max="27" width="43.88671875" bestFit="1" customWidth="1"/>
    <col min="28" max="28" width="57.44140625" bestFit="1" customWidth="1"/>
    <col min="29" max="29" width="72.33203125" bestFit="1" customWidth="1"/>
    <col min="30" max="30" width="70.109375" bestFit="1" customWidth="1"/>
    <col min="31" max="31" width="35" bestFit="1" customWidth="1"/>
    <col min="32" max="32" width="34" bestFit="1" customWidth="1"/>
    <col min="33" max="33" width="30.21875" bestFit="1" customWidth="1"/>
    <col min="34" max="34" width="67.6640625" bestFit="1" customWidth="1"/>
    <col min="35" max="35" width="34.77734375" bestFit="1" customWidth="1"/>
    <col min="36" max="36" width="59.21875" bestFit="1" customWidth="1"/>
    <col min="37" max="37" width="29.77734375" bestFit="1" customWidth="1"/>
    <col min="38" max="38" width="55.88671875" bestFit="1" customWidth="1"/>
    <col min="39" max="39" width="34.77734375" bestFit="1" customWidth="1"/>
    <col min="40" max="40" width="59.21875" bestFit="1" customWidth="1"/>
    <col min="41" max="41" width="29.77734375" bestFit="1" customWidth="1"/>
    <col min="42" max="42" width="55.88671875" bestFit="1" customWidth="1"/>
    <col min="43" max="43" width="34.77734375" bestFit="1" customWidth="1"/>
    <col min="44" max="44" width="59.21875" bestFit="1" customWidth="1"/>
    <col min="45" max="45" width="29.77734375" bestFit="1" customWidth="1"/>
    <col min="46" max="46" width="55.88671875" bestFit="1" customWidth="1"/>
    <col min="47" max="47" width="34.77734375" bestFit="1" customWidth="1"/>
    <col min="48" max="48" width="59.21875" bestFit="1" customWidth="1"/>
    <col min="49" max="49" width="29.77734375" bestFit="1" customWidth="1"/>
    <col min="50" max="50" width="55.88671875" bestFit="1" customWidth="1"/>
    <col min="51" max="51" width="10.44140625" bestFit="1" customWidth="1"/>
    <col min="52" max="52" width="16.109375" bestFit="1" customWidth="1"/>
    <col min="53" max="53" width="28.33203125" bestFit="1" customWidth="1"/>
    <col min="54" max="54" width="29.6640625" bestFit="1" customWidth="1"/>
    <col min="55" max="55" width="51.21875" bestFit="1" customWidth="1"/>
    <col min="56" max="56" width="45.109375" bestFit="1" customWidth="1"/>
    <col min="57" max="57" width="7.5546875" bestFit="1" customWidth="1"/>
    <col min="58" max="58" width="13.6640625" bestFit="1" customWidth="1"/>
    <col min="59" max="59" width="7.5546875" bestFit="1" customWidth="1"/>
    <col min="60" max="60" width="13.5546875" bestFit="1" customWidth="1"/>
    <col min="61" max="61" width="7.5546875" bestFit="1" customWidth="1"/>
    <col min="62" max="62" width="13.6640625" bestFit="1" customWidth="1"/>
    <col min="63" max="63" width="26.5546875" bestFit="1" customWidth="1"/>
    <col min="64" max="64" width="11.21875" bestFit="1" customWidth="1"/>
    <col min="65" max="65" width="14.109375" bestFit="1" customWidth="1"/>
    <col min="66" max="66" width="18.44140625" bestFit="1" customWidth="1"/>
    <col min="67" max="67" width="34.44140625" bestFit="1" customWidth="1"/>
    <col min="68" max="68" width="37.33203125" bestFit="1" customWidth="1"/>
    <col min="69" max="69" width="37.77734375" bestFit="1" customWidth="1"/>
    <col min="70" max="70" width="48.88671875" bestFit="1" customWidth="1"/>
    <col min="71" max="71" width="46.77734375" bestFit="1" customWidth="1"/>
    <col min="72" max="72" width="36.33203125" bestFit="1" customWidth="1"/>
    <col min="73" max="73" width="39.21875" bestFit="1" customWidth="1"/>
    <col min="74" max="74" width="39.44140625" bestFit="1" customWidth="1"/>
    <col min="75" max="75" width="37" bestFit="1" customWidth="1"/>
    <col min="76" max="76" width="39.21875" bestFit="1" customWidth="1"/>
    <col min="77" max="77" width="36.77734375" bestFit="1" customWidth="1"/>
    <col min="78" max="78" width="37.44140625" bestFit="1" customWidth="1"/>
    <col min="79" max="79" width="52.21875" bestFit="1" customWidth="1"/>
    <col min="80" max="80" width="55.109375" bestFit="1" customWidth="1"/>
    <col min="81" max="81" width="55.33203125" bestFit="1" customWidth="1"/>
    <col min="82" max="82" width="52.88671875" bestFit="1" customWidth="1"/>
    <col min="83" max="83" width="55.109375" bestFit="1" customWidth="1"/>
    <col min="84" max="84" width="52.6640625" bestFit="1" customWidth="1"/>
    <col min="85" max="85" width="53.33203125" bestFit="1" customWidth="1"/>
    <col min="86" max="86" width="16.33203125" bestFit="1" customWidth="1"/>
    <col min="87" max="87" width="7.5546875" bestFit="1" customWidth="1"/>
    <col min="88" max="88" width="48.88671875" bestFit="1" customWidth="1"/>
    <col min="89" max="89" width="55.5546875" bestFit="1" customWidth="1"/>
    <col min="90" max="90" width="44.77734375" bestFit="1" customWidth="1"/>
    <col min="91" max="91" width="51.88671875" bestFit="1" customWidth="1"/>
    <col min="92" max="92" width="28" bestFit="1" customWidth="1"/>
    <col min="93" max="93" width="27.21875" bestFit="1" customWidth="1"/>
    <col min="94" max="94" width="22.88671875" bestFit="1" customWidth="1"/>
    <col min="95" max="95" width="22.109375" bestFit="1" customWidth="1"/>
    <col min="96" max="96" width="28.21875" bestFit="1" customWidth="1"/>
    <col min="97" max="97" width="20.77734375" bestFit="1" customWidth="1"/>
    <col min="98" max="98" width="24" bestFit="1" customWidth="1"/>
    <col min="99" max="99" width="24.21875" bestFit="1" customWidth="1"/>
    <col min="100" max="100" width="21.77734375" bestFit="1" customWidth="1"/>
    <col min="101" max="101" width="23.77734375" bestFit="1" customWidth="1"/>
    <col min="102" max="102" width="21.33203125" bestFit="1" customWidth="1"/>
    <col min="103" max="103" width="22" bestFit="1" customWidth="1"/>
    <col min="104" max="104" width="17" bestFit="1" customWidth="1"/>
    <col min="105" max="105" width="20.21875" bestFit="1" customWidth="1"/>
    <col min="106" max="106" width="20.44140625" bestFit="1" customWidth="1"/>
    <col min="107" max="107" width="18" bestFit="1" customWidth="1"/>
    <col min="108" max="108" width="20" bestFit="1" customWidth="1"/>
    <col min="109" max="109" width="17.5546875" bestFit="1" customWidth="1"/>
    <col min="110" max="110" width="18.21875" bestFit="1" customWidth="1"/>
    <col min="111" max="111" width="16.33203125" bestFit="1" customWidth="1"/>
    <col min="112" max="112" width="7.5546875" customWidth="1"/>
    <col min="113" max="113" width="28.6640625" bestFit="1" customWidth="1"/>
    <col min="114" max="114" width="28.77734375" bestFit="1" customWidth="1"/>
    <col min="115" max="115" width="30.44140625" bestFit="1" customWidth="1"/>
    <col min="116" max="116" width="30.88671875" bestFit="1" customWidth="1"/>
    <col min="117" max="117" width="9.5546875" bestFit="1" customWidth="1"/>
    <col min="118" max="118" width="27.21875" bestFit="1" customWidth="1"/>
    <col min="119" max="119" width="22.88671875" bestFit="1" customWidth="1"/>
    <col min="120" max="120" width="28.6640625" bestFit="1" customWidth="1"/>
    <col min="121" max="121" width="28.77734375" bestFit="1" customWidth="1"/>
    <col min="122" max="122" width="30.44140625" bestFit="1" customWidth="1"/>
    <col min="123" max="124" width="30.88671875" bestFit="1" customWidth="1"/>
  </cols>
  <sheetData>
    <row r="1" spans="1:94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</row>
    <row r="2" spans="1:94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</row>
    <row r="3" spans="1:94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</row>
    <row r="4" spans="1:94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</row>
    <row r="5" spans="1:94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</row>
    <row r="6" spans="1:94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</row>
    <row r="7" spans="1:94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</row>
    <row r="8" spans="1:94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</row>
    <row r="9" spans="1:94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</row>
    <row r="10" spans="1:94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</row>
    <row r="11" spans="1:94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</row>
    <row r="12" spans="1:94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</row>
    <row r="13" spans="1:94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</row>
    <row r="14" spans="1:94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</row>
    <row r="15" spans="1:94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</row>
    <row r="16" spans="1:94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</row>
    <row r="17" spans="1:94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</row>
    <row r="18" spans="1:94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</row>
    <row r="19" spans="1:94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</row>
    <row r="20" spans="1:94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</row>
    <row r="21" spans="1:94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</row>
    <row r="22" spans="1:94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</row>
    <row r="23" spans="1:94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</row>
    <row r="24" spans="1:94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</row>
    <row r="25" spans="1:94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</row>
    <row r="26" spans="1:94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</row>
    <row r="27" spans="1:94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</row>
    <row r="28" spans="1:94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</row>
    <row r="29" spans="1:94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</row>
    <row r="30" spans="1:94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</row>
    <row r="31" spans="1:94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</row>
    <row r="32" spans="1:94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</row>
    <row r="33" spans="1:94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</row>
    <row r="34" spans="1:94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</row>
    <row r="35" spans="1:94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</row>
    <row r="36" spans="1:94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</row>
    <row r="37" spans="1:94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</row>
    <row r="38" spans="1:94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</row>
    <row r="39" spans="1:94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</row>
    <row r="40" spans="1:94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</row>
    <row r="41" spans="1:94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</row>
    <row r="42" spans="1:94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</row>
    <row r="43" spans="1:9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</row>
    <row r="44" spans="1:9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</row>
    <row r="45" spans="1:94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</row>
    <row r="46" spans="1:9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</row>
    <row r="47" spans="1:94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</row>
    <row r="48" spans="1:94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</row>
    <row r="49" spans="1:9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</row>
    <row r="50" spans="1:94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</row>
    <row r="51" spans="1:94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</row>
    <row r="52" spans="1:94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</row>
    <row r="53" spans="1:9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</row>
    <row r="54" spans="1:9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</row>
    <row r="55" spans="1:9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</row>
    <row r="56" spans="1:9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</row>
    <row r="57" spans="1:9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</row>
    <row r="58" spans="1:9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</row>
    <row r="59" spans="1:9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</row>
    <row r="60" spans="1:9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</row>
    <row r="61" spans="1:9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</row>
    <row r="62" spans="1:9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</row>
    <row r="63" spans="1:9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</row>
    <row r="64" spans="1:9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</row>
    <row r="65" spans="1:9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</row>
    <row r="66" spans="1:9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</row>
    <row r="67" spans="1:9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</row>
    <row r="68" spans="1:9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</row>
    <row r="69" spans="1:9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</row>
    <row r="70" spans="1:9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</row>
    <row r="71" spans="1:9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</row>
    <row r="72" spans="1:9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</row>
    <row r="73" spans="1:9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</row>
    <row r="74" spans="1:9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</row>
    <row r="75" spans="1:9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</row>
    <row r="76" spans="1:9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</row>
    <row r="77" spans="1:9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</row>
    <row r="78" spans="1:9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</row>
    <row r="79" spans="1:9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</row>
    <row r="80" spans="1:9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</row>
    <row r="81" spans="1:9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</row>
    <row r="82" spans="1:9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</row>
    <row r="83" spans="1:9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</row>
    <row r="84" spans="1:9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</row>
    <row r="85" spans="1:9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</row>
    <row r="86" spans="1:9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</row>
    <row r="87" spans="1:9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</row>
    <row r="88" spans="1:9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</row>
    <row r="89" spans="1:9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</row>
    <row r="90" spans="1:9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</row>
    <row r="91" spans="1:9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</row>
    <row r="92" spans="1:9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</row>
    <row r="93" spans="1:9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</row>
    <row r="94" spans="1:9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</row>
    <row r="95" spans="1:9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</row>
    <row r="96" spans="1:9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</row>
    <row r="97" spans="1:9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</row>
    <row r="98" spans="1:9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</row>
    <row r="99" spans="1:9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</row>
    <row r="100" spans="1:9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</row>
    <row r="101" spans="1:9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</row>
    <row r="102" spans="1:9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</row>
    <row r="103" spans="1:9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</row>
    <row r="104" spans="1:9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</row>
    <row r="105" spans="1:9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</row>
    <row r="106" spans="1:9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X411"/>
  <sheetViews>
    <sheetView topLeftCell="A21" zoomScale="105" zoomScaleNormal="105" workbookViewId="0">
      <selection activeCell="B41" sqref="B41"/>
    </sheetView>
  </sheetViews>
  <sheetFormatPr defaultRowHeight="14.4"/>
  <cols>
    <col min="1" max="1" width="24" style="28" customWidth="1"/>
    <col min="2" max="2" width="23.88671875" customWidth="1"/>
    <col min="3" max="3" width="38.88671875" customWidth="1"/>
    <col min="4" max="4" width="28.33203125" bestFit="1" customWidth="1"/>
    <col min="5" max="5" width="17.33203125" style="93" bestFit="1" customWidth="1"/>
    <col min="6" max="6" width="64.6640625" bestFit="1" customWidth="1"/>
    <col min="7" max="7" width="17.109375" customWidth="1"/>
    <col min="8" max="8" width="12" bestFit="1" customWidth="1"/>
    <col min="9" max="9" width="20.33203125" style="39" customWidth="1"/>
    <col min="11" max="11" width="121" bestFit="1" customWidth="1"/>
    <col min="12" max="12" width="10.33203125" bestFit="1" customWidth="1"/>
    <col min="14" max="14" width="8.6640625" style="39"/>
    <col min="17" max="17" width="10.5546875" bestFit="1" customWidth="1"/>
  </cols>
  <sheetData>
    <row r="1" spans="1:24" ht="15" thickBot="1">
      <c r="A1" s="481" t="s">
        <v>192</v>
      </c>
      <c r="B1" s="482"/>
      <c r="C1" s="482"/>
      <c r="D1" s="482"/>
      <c r="E1" s="483"/>
      <c r="F1" s="292"/>
      <c r="G1" s="295"/>
      <c r="I1"/>
      <c r="K1" s="191" t="s">
        <v>158</v>
      </c>
      <c r="M1" s="186"/>
      <c r="N1" s="186"/>
      <c r="O1" s="186"/>
    </row>
    <row r="2" spans="1:24" ht="15" thickBot="1">
      <c r="A2" s="144"/>
      <c r="B2" s="145" t="s">
        <v>129</v>
      </c>
      <c r="C2" s="146" t="s">
        <v>130</v>
      </c>
      <c r="D2" s="146" t="s">
        <v>194</v>
      </c>
      <c r="E2" s="147" t="s">
        <v>128</v>
      </c>
      <c r="F2" s="293"/>
      <c r="G2" s="295"/>
      <c r="I2"/>
      <c r="K2" s="190" t="s">
        <v>157</v>
      </c>
      <c r="N2"/>
    </row>
    <row r="3" spans="1:24" ht="15" thickBot="1">
      <c r="A3" s="143" t="s">
        <v>131</v>
      </c>
      <c r="B3" s="148">
        <v>12.9</v>
      </c>
      <c r="C3" s="152">
        <v>3.58</v>
      </c>
      <c r="D3" s="471">
        <f>+C3*5</f>
        <v>17.899999999999999</v>
      </c>
      <c r="E3" s="469"/>
      <c r="F3" s="293"/>
      <c r="G3" s="295"/>
      <c r="I3"/>
      <c r="M3" s="28"/>
      <c r="N3"/>
    </row>
    <row r="4" spans="1:24">
      <c r="A4" s="141" t="s">
        <v>132</v>
      </c>
      <c r="B4" s="149">
        <v>14.13</v>
      </c>
      <c r="C4" s="181">
        <v>1.55</v>
      </c>
      <c r="D4" s="472">
        <f>+C4*5</f>
        <v>7.75</v>
      </c>
      <c r="E4" s="467"/>
      <c r="F4" s="293"/>
      <c r="G4" s="295"/>
      <c r="I4"/>
      <c r="K4" s="187" t="s">
        <v>159</v>
      </c>
      <c r="M4" s="28"/>
      <c r="N4"/>
    </row>
    <row r="5" spans="1:24">
      <c r="A5" s="141" t="s">
        <v>133</v>
      </c>
      <c r="B5" s="149">
        <v>15.17</v>
      </c>
      <c r="C5" s="181">
        <v>0.125</v>
      </c>
      <c r="D5" s="472">
        <f>+C5*5</f>
        <v>0.625</v>
      </c>
      <c r="E5" s="467"/>
      <c r="F5" s="293"/>
      <c r="G5" s="295"/>
      <c r="I5"/>
      <c r="K5" s="188" t="s">
        <v>160</v>
      </c>
      <c r="M5" s="28"/>
      <c r="N5"/>
    </row>
    <row r="6" spans="1:24">
      <c r="A6" s="141" t="s">
        <v>134</v>
      </c>
      <c r="B6" s="150">
        <v>12.1</v>
      </c>
      <c r="C6" s="181">
        <v>8.74</v>
      </c>
      <c r="D6" s="472">
        <f>+C6*5</f>
        <v>43.7</v>
      </c>
      <c r="E6" s="467"/>
      <c r="F6" s="293"/>
      <c r="G6" s="295"/>
      <c r="I6"/>
      <c r="K6" s="189" t="s">
        <v>161</v>
      </c>
      <c r="M6" s="28"/>
      <c r="N6"/>
    </row>
    <row r="7" spans="1:24" ht="15" thickBot="1">
      <c r="A7" s="142" t="s">
        <v>135</v>
      </c>
      <c r="B7" s="151">
        <v>15.15</v>
      </c>
      <c r="C7" s="182">
        <v>1</v>
      </c>
      <c r="D7" s="468">
        <f>+C7*5</f>
        <v>5</v>
      </c>
      <c r="E7" s="470"/>
      <c r="F7" s="293"/>
      <c r="G7" s="295"/>
      <c r="H7" s="294"/>
      <c r="I7" s="28"/>
      <c r="J7" s="28"/>
      <c r="K7" s="188" t="s">
        <v>162</v>
      </c>
      <c r="L7" s="28"/>
      <c r="M7" s="28"/>
      <c r="N7"/>
      <c r="P7" s="93"/>
      <c r="T7" s="484"/>
      <c r="U7" s="484"/>
      <c r="V7" s="484"/>
      <c r="W7" s="484"/>
      <c r="X7" s="484"/>
    </row>
    <row r="8" spans="1:24">
      <c r="I8" s="28"/>
      <c r="K8" s="188" t="s">
        <v>163</v>
      </c>
      <c r="M8" s="28"/>
      <c r="N8"/>
      <c r="T8" s="28"/>
      <c r="X8" s="93"/>
    </row>
    <row r="9" spans="1:24">
      <c r="A9" s="444" t="s">
        <v>187</v>
      </c>
      <c r="I9" s="28"/>
      <c r="K9" s="188" t="s">
        <v>164</v>
      </c>
      <c r="L9" s="184"/>
      <c r="M9" s="28"/>
      <c r="N9"/>
      <c r="T9" s="28"/>
      <c r="V9" s="183"/>
      <c r="W9" s="184"/>
      <c r="X9" s="185"/>
    </row>
    <row r="10" spans="1:24" ht="16.8" thickBot="1">
      <c r="A10" s="442" t="s">
        <v>188</v>
      </c>
      <c r="B10" s="445" t="s">
        <v>154</v>
      </c>
      <c r="C10" s="443"/>
      <c r="D10" s="443"/>
      <c r="E10" s="290"/>
      <c r="F10" s="291"/>
      <c r="I10" s="28"/>
      <c r="K10" s="190" t="s">
        <v>165</v>
      </c>
      <c r="L10" s="184"/>
      <c r="M10" s="28"/>
      <c r="N10"/>
      <c r="T10" s="28"/>
      <c r="V10" s="183"/>
      <c r="W10" s="184"/>
      <c r="X10" s="185"/>
    </row>
    <row r="11" spans="1:24">
      <c r="A11" s="441" t="s">
        <v>189</v>
      </c>
      <c r="B11" s="445" t="s">
        <v>155</v>
      </c>
      <c r="I11"/>
      <c r="N11"/>
    </row>
    <row r="12" spans="1:24">
      <c r="A12" s="441" t="s">
        <v>190</v>
      </c>
      <c r="B12" s="445" t="s">
        <v>156</v>
      </c>
      <c r="I12"/>
      <c r="N12"/>
    </row>
    <row r="13" spans="1:24">
      <c r="A13" s="441" t="s">
        <v>191</v>
      </c>
      <c r="B13" s="445" t="s">
        <v>195</v>
      </c>
      <c r="I13"/>
      <c r="N13"/>
    </row>
    <row r="14" spans="1:24">
      <c r="A14" s="441"/>
      <c r="I14"/>
      <c r="N14"/>
    </row>
    <row r="15" spans="1:24" ht="17.7" customHeight="1">
      <c r="A15" s="447" t="s">
        <v>176</v>
      </c>
      <c r="C15" s="485" t="s">
        <v>196</v>
      </c>
      <c r="D15" s="485"/>
      <c r="F15" t="s">
        <v>203</v>
      </c>
      <c r="I15"/>
      <c r="N15"/>
    </row>
    <row r="16" spans="1:24">
      <c r="A16" s="448">
        <v>35</v>
      </c>
      <c r="B16" t="s">
        <v>197</v>
      </c>
      <c r="C16" s="446" t="s">
        <v>177</v>
      </c>
      <c r="D16" s="446" t="s">
        <v>178</v>
      </c>
      <c r="F16" t="s">
        <v>202</v>
      </c>
      <c r="I16"/>
      <c r="N16"/>
    </row>
    <row r="17" spans="1:14">
      <c r="A17" s="448">
        <v>50</v>
      </c>
      <c r="B17" t="s">
        <v>198</v>
      </c>
      <c r="C17" t="s">
        <v>200</v>
      </c>
      <c r="D17" t="s">
        <v>201</v>
      </c>
      <c r="F17">
        <f>15*3.5*7+15*4.5*7+12*4.5*9.5+12*5.5*11</f>
        <v>2079</v>
      </c>
      <c r="I17"/>
      <c r="N17"/>
    </row>
    <row r="18" spans="1:14">
      <c r="A18" s="448">
        <v>100</v>
      </c>
      <c r="B18" t="s">
        <v>199</v>
      </c>
      <c r="C18">
        <v>2</v>
      </c>
      <c r="D18">
        <v>2</v>
      </c>
      <c r="I18"/>
      <c r="N18"/>
    </row>
    <row r="19" spans="1:14">
      <c r="I19"/>
      <c r="N19"/>
    </row>
    <row r="20" spans="1:14">
      <c r="I20"/>
      <c r="N20"/>
    </row>
    <row r="21" spans="1:14">
      <c r="A21"/>
      <c r="E21"/>
      <c r="I21"/>
      <c r="N21"/>
    </row>
    <row r="22" spans="1:14">
      <c r="A22"/>
      <c r="E22"/>
      <c r="I22"/>
      <c r="N22"/>
    </row>
    <row r="23" spans="1:14">
      <c r="A23"/>
      <c r="E23"/>
      <c r="I23"/>
      <c r="N23"/>
    </row>
    <row r="24" spans="1:14">
      <c r="A24"/>
      <c r="E24"/>
      <c r="I24"/>
      <c r="N24"/>
    </row>
    <row r="25" spans="1:14">
      <c r="A25"/>
      <c r="E25"/>
      <c r="I25"/>
      <c r="N25"/>
    </row>
    <row r="26" spans="1:14">
      <c r="A26"/>
      <c r="E26"/>
      <c r="I26"/>
      <c r="N26"/>
    </row>
    <row r="27" spans="1:14">
      <c r="A27"/>
      <c r="E27"/>
      <c r="I27"/>
      <c r="N27"/>
    </row>
    <row r="28" spans="1:14">
      <c r="A28"/>
      <c r="E28"/>
      <c r="I28"/>
      <c r="N28"/>
    </row>
    <row r="29" spans="1:14">
      <c r="A29"/>
      <c r="E29"/>
      <c r="I29"/>
      <c r="N29"/>
    </row>
    <row r="30" spans="1:14">
      <c r="A30"/>
      <c r="E30"/>
      <c r="I30"/>
      <c r="N30"/>
    </row>
    <row r="31" spans="1:14">
      <c r="A31"/>
      <c r="E31"/>
      <c r="I31"/>
      <c r="N31"/>
    </row>
    <row r="32" spans="1:14">
      <c r="A32"/>
      <c r="E32"/>
      <c r="I32"/>
      <c r="N32"/>
    </row>
    <row r="33" spans="1:14">
      <c r="A33"/>
      <c r="E33"/>
      <c r="I33"/>
      <c r="N33"/>
    </row>
    <row r="34" spans="1:14">
      <c r="I34"/>
      <c r="N34"/>
    </row>
    <row r="35" spans="1:14">
      <c r="E35"/>
      <c r="I35"/>
      <c r="N35"/>
    </row>
    <row r="36" spans="1:14">
      <c r="E36"/>
      <c r="I36"/>
      <c r="N36"/>
    </row>
    <row r="37" spans="1:14">
      <c r="E37"/>
      <c r="I37"/>
      <c r="N37"/>
    </row>
    <row r="38" spans="1:14">
      <c r="E38"/>
      <c r="I38"/>
      <c r="N38"/>
    </row>
    <row r="39" spans="1:14">
      <c r="E39"/>
      <c r="I39"/>
      <c r="N39"/>
    </row>
    <row r="40" spans="1:14">
      <c r="E40"/>
      <c r="I40"/>
      <c r="N40"/>
    </row>
    <row r="41" spans="1:14">
      <c r="E41"/>
      <c r="I41"/>
      <c r="N41"/>
    </row>
    <row r="42" spans="1:14">
      <c r="E42"/>
      <c r="I42"/>
      <c r="N42"/>
    </row>
    <row r="43" spans="1:14">
      <c r="E43"/>
      <c r="I43"/>
      <c r="N43"/>
    </row>
    <row r="44" spans="1:14">
      <c r="E44"/>
      <c r="I44"/>
      <c r="N44"/>
    </row>
    <row r="45" spans="1:14">
      <c r="E45"/>
      <c r="I45"/>
      <c r="N45"/>
    </row>
    <row r="46" spans="1:14">
      <c r="I46"/>
      <c r="N46"/>
    </row>
    <row r="47" spans="1:14">
      <c r="I47"/>
      <c r="N47"/>
    </row>
    <row r="48" spans="1:14">
      <c r="I48"/>
      <c r="N48"/>
    </row>
    <row r="49" spans="9:14">
      <c r="I49"/>
      <c r="N49"/>
    </row>
    <row r="50" spans="9:14">
      <c r="I50"/>
      <c r="N50"/>
    </row>
    <row r="51" spans="9:14">
      <c r="I51"/>
      <c r="N51"/>
    </row>
    <row r="52" spans="9:14">
      <c r="I52"/>
      <c r="N52"/>
    </row>
    <row r="53" spans="9:14">
      <c r="I53"/>
      <c r="N53"/>
    </row>
    <row r="54" spans="9:14">
      <c r="I54"/>
      <c r="N54"/>
    </row>
    <row r="55" spans="9:14">
      <c r="I55"/>
      <c r="N55"/>
    </row>
    <row r="56" spans="9:14">
      <c r="I56"/>
      <c r="N56"/>
    </row>
    <row r="57" spans="9:14">
      <c r="I57"/>
      <c r="N57"/>
    </row>
    <row r="58" spans="9:14">
      <c r="I58"/>
      <c r="N58"/>
    </row>
    <row r="59" spans="9:14">
      <c r="I59"/>
      <c r="N59"/>
    </row>
    <row r="60" spans="9:14">
      <c r="I60"/>
      <c r="N60"/>
    </row>
    <row r="61" spans="9:14">
      <c r="I61"/>
      <c r="N61"/>
    </row>
    <row r="62" spans="9:14">
      <c r="I62"/>
      <c r="N62"/>
    </row>
    <row r="63" spans="9:14">
      <c r="I63"/>
      <c r="N63"/>
    </row>
    <row r="64" spans="9:14">
      <c r="I64"/>
      <c r="N64"/>
    </row>
    <row r="65" spans="9:14">
      <c r="I65"/>
      <c r="N65"/>
    </row>
    <row r="66" spans="9:14">
      <c r="I66"/>
      <c r="N66"/>
    </row>
    <row r="67" spans="9:14">
      <c r="I67"/>
      <c r="N67"/>
    </row>
    <row r="68" spans="9:14">
      <c r="I68"/>
      <c r="N68"/>
    </row>
    <row r="69" spans="9:14">
      <c r="I69"/>
      <c r="N69"/>
    </row>
    <row r="70" spans="9:14">
      <c r="I70"/>
      <c r="N70"/>
    </row>
    <row r="71" spans="9:14">
      <c r="I71"/>
      <c r="N71"/>
    </row>
    <row r="72" spans="9:14">
      <c r="I72"/>
      <c r="N72"/>
    </row>
    <row r="73" spans="9:14">
      <c r="I73"/>
      <c r="N73"/>
    </row>
    <row r="74" spans="9:14">
      <c r="I74"/>
      <c r="N74"/>
    </row>
    <row r="75" spans="9:14">
      <c r="I75"/>
      <c r="N75"/>
    </row>
    <row r="76" spans="9:14">
      <c r="I76"/>
      <c r="N76"/>
    </row>
    <row r="77" spans="9:14">
      <c r="I77"/>
      <c r="N77"/>
    </row>
    <row r="78" spans="9:14">
      <c r="I78"/>
      <c r="N78"/>
    </row>
    <row r="79" spans="9:14">
      <c r="I79"/>
      <c r="N79"/>
    </row>
    <row r="80" spans="9:14">
      <c r="I80"/>
      <c r="N80"/>
    </row>
    <row r="81" spans="9:14">
      <c r="I81"/>
      <c r="N81"/>
    </row>
    <row r="82" spans="9:14">
      <c r="I82"/>
      <c r="N82"/>
    </row>
    <row r="83" spans="9:14">
      <c r="I83"/>
      <c r="N83"/>
    </row>
    <row r="84" spans="9:14">
      <c r="I84"/>
      <c r="N84"/>
    </row>
    <row r="85" spans="9:14">
      <c r="I85"/>
      <c r="N85"/>
    </row>
    <row r="86" spans="9:14">
      <c r="I86"/>
      <c r="N86"/>
    </row>
    <row r="87" spans="9:14">
      <c r="I87"/>
      <c r="N87"/>
    </row>
    <row r="88" spans="9:14">
      <c r="I88"/>
      <c r="N88"/>
    </row>
    <row r="89" spans="9:14">
      <c r="I89"/>
      <c r="N89"/>
    </row>
    <row r="90" spans="9:14">
      <c r="I90"/>
      <c r="N90"/>
    </row>
    <row r="91" spans="9:14">
      <c r="I91"/>
      <c r="N91"/>
    </row>
    <row r="92" spans="9:14">
      <c r="I92"/>
      <c r="N92"/>
    </row>
    <row r="93" spans="9:14">
      <c r="I93"/>
      <c r="N93"/>
    </row>
    <row r="94" spans="9:14">
      <c r="I94"/>
      <c r="N94"/>
    </row>
    <row r="95" spans="9:14">
      <c r="I95"/>
      <c r="N95"/>
    </row>
    <row r="96" spans="9:14">
      <c r="I96"/>
      <c r="N96"/>
    </row>
    <row r="97" spans="9:14">
      <c r="I97"/>
      <c r="N97"/>
    </row>
    <row r="98" spans="9:14">
      <c r="I98"/>
      <c r="N98"/>
    </row>
    <row r="99" spans="9:14">
      <c r="I99"/>
      <c r="N99"/>
    </row>
    <row r="100" spans="9:14">
      <c r="I100"/>
      <c r="N100"/>
    </row>
    <row r="101" spans="9:14">
      <c r="I101"/>
      <c r="N101"/>
    </row>
    <row r="102" spans="9:14">
      <c r="I102"/>
      <c r="N102"/>
    </row>
    <row r="103" spans="9:14">
      <c r="I103"/>
      <c r="N103"/>
    </row>
    <row r="104" spans="9:14">
      <c r="I104"/>
      <c r="N104"/>
    </row>
    <row r="105" spans="9:14">
      <c r="I105"/>
      <c r="N105"/>
    </row>
    <row r="106" spans="9:14">
      <c r="I106"/>
      <c r="N106"/>
    </row>
    <row r="107" spans="9:14">
      <c r="I107"/>
      <c r="N107"/>
    </row>
    <row r="108" spans="9:14">
      <c r="I108"/>
      <c r="N108"/>
    </row>
    <row r="109" spans="9:14">
      <c r="I109"/>
      <c r="N109"/>
    </row>
    <row r="110" spans="9:14">
      <c r="I110"/>
      <c r="N110"/>
    </row>
    <row r="111" spans="9:14">
      <c r="I111"/>
      <c r="N111"/>
    </row>
    <row r="112" spans="9:14">
      <c r="I112"/>
      <c r="N112"/>
    </row>
    <row r="113" spans="9:14">
      <c r="I113"/>
      <c r="N113"/>
    </row>
    <row r="114" spans="9:14">
      <c r="I114"/>
      <c r="N114"/>
    </row>
    <row r="115" spans="9:14">
      <c r="I115"/>
      <c r="N115"/>
    </row>
    <row r="116" spans="9:14">
      <c r="I116"/>
      <c r="N116"/>
    </row>
    <row r="117" spans="9:14">
      <c r="I117"/>
      <c r="N117"/>
    </row>
    <row r="118" spans="9:14">
      <c r="I118"/>
      <c r="N118"/>
    </row>
    <row r="119" spans="9:14">
      <c r="I119"/>
      <c r="N119"/>
    </row>
    <row r="120" spans="9:14">
      <c r="I120"/>
      <c r="N120"/>
    </row>
    <row r="121" spans="9:14">
      <c r="I121"/>
      <c r="N121"/>
    </row>
    <row r="122" spans="9:14">
      <c r="I122"/>
      <c r="N122"/>
    </row>
    <row r="123" spans="9:14">
      <c r="I123"/>
      <c r="N123"/>
    </row>
    <row r="124" spans="9:14">
      <c r="I124"/>
      <c r="N124"/>
    </row>
    <row r="125" spans="9:14">
      <c r="I125"/>
      <c r="N125"/>
    </row>
    <row r="126" spans="9:14">
      <c r="I126"/>
      <c r="N126"/>
    </row>
    <row r="127" spans="9:14">
      <c r="I127"/>
      <c r="N127"/>
    </row>
    <row r="128" spans="9:14">
      <c r="I128"/>
      <c r="N128"/>
    </row>
    <row r="129" spans="9:14">
      <c r="I129"/>
      <c r="N129"/>
    </row>
    <row r="130" spans="9:14">
      <c r="I130"/>
      <c r="N130"/>
    </row>
    <row r="131" spans="9:14">
      <c r="I131"/>
      <c r="N131"/>
    </row>
    <row r="132" spans="9:14">
      <c r="I132"/>
      <c r="N132"/>
    </row>
    <row r="133" spans="9:14">
      <c r="I133"/>
      <c r="N133"/>
    </row>
    <row r="134" spans="9:14">
      <c r="I134"/>
      <c r="N134"/>
    </row>
    <row r="135" spans="9:14">
      <c r="I135"/>
      <c r="N135"/>
    </row>
    <row r="136" spans="9:14">
      <c r="I136"/>
      <c r="N136"/>
    </row>
    <row r="137" spans="9:14">
      <c r="I137"/>
      <c r="N137"/>
    </row>
    <row r="138" spans="9:14">
      <c r="I138"/>
      <c r="N138"/>
    </row>
    <row r="139" spans="9:14">
      <c r="I139"/>
      <c r="N139"/>
    </row>
    <row r="140" spans="9:14">
      <c r="I140"/>
      <c r="N140"/>
    </row>
    <row r="141" spans="9:14">
      <c r="I141"/>
      <c r="N141"/>
    </row>
    <row r="142" spans="9:14">
      <c r="I142"/>
      <c r="N142"/>
    </row>
    <row r="143" spans="9:14">
      <c r="I143"/>
      <c r="N143"/>
    </row>
    <row r="144" spans="9:14">
      <c r="I144"/>
      <c r="N144"/>
    </row>
    <row r="145" spans="9:14">
      <c r="I145"/>
      <c r="N145"/>
    </row>
    <row r="146" spans="9:14">
      <c r="I146"/>
      <c r="N146"/>
    </row>
    <row r="147" spans="9:14">
      <c r="I147"/>
      <c r="N147"/>
    </row>
    <row r="148" spans="9:14">
      <c r="I148"/>
      <c r="N148"/>
    </row>
    <row r="149" spans="9:14">
      <c r="I149"/>
      <c r="N149"/>
    </row>
    <row r="150" spans="9:14">
      <c r="I150"/>
      <c r="N150"/>
    </row>
    <row r="151" spans="9:14">
      <c r="I151"/>
      <c r="N151"/>
    </row>
    <row r="152" spans="9:14">
      <c r="I152"/>
      <c r="N152"/>
    </row>
    <row r="153" spans="9:14">
      <c r="I153"/>
      <c r="N153"/>
    </row>
    <row r="154" spans="9:14">
      <c r="I154"/>
      <c r="N154"/>
    </row>
    <row r="155" spans="9:14">
      <c r="I155"/>
      <c r="N155"/>
    </row>
    <row r="156" spans="9:14">
      <c r="I156"/>
      <c r="N156"/>
    </row>
    <row r="157" spans="9:14">
      <c r="I157"/>
      <c r="N157"/>
    </row>
    <row r="158" spans="9:14">
      <c r="I158"/>
      <c r="N158"/>
    </row>
    <row r="159" spans="9:14">
      <c r="I159"/>
      <c r="N159"/>
    </row>
    <row r="160" spans="9:14">
      <c r="I160"/>
      <c r="N160"/>
    </row>
    <row r="161" spans="9:14">
      <c r="I161"/>
      <c r="N161"/>
    </row>
    <row r="162" spans="9:14">
      <c r="I162"/>
      <c r="N162"/>
    </row>
    <row r="163" spans="9:14">
      <c r="I163"/>
      <c r="N163"/>
    </row>
    <row r="164" spans="9:14">
      <c r="I164"/>
      <c r="N164"/>
    </row>
    <row r="165" spans="9:14">
      <c r="I165"/>
      <c r="N165"/>
    </row>
    <row r="166" spans="9:14">
      <c r="I166"/>
      <c r="N166"/>
    </row>
    <row r="167" spans="9:14">
      <c r="I167"/>
      <c r="N167"/>
    </row>
    <row r="168" spans="9:14">
      <c r="I168"/>
      <c r="N168"/>
    </row>
    <row r="169" spans="9:14">
      <c r="I169"/>
      <c r="N169"/>
    </row>
    <row r="170" spans="9:14">
      <c r="I170"/>
      <c r="N170"/>
    </row>
    <row r="171" spans="9:14">
      <c r="I171"/>
      <c r="N171"/>
    </row>
    <row r="172" spans="9:14">
      <c r="I172"/>
      <c r="N172"/>
    </row>
    <row r="173" spans="9:14">
      <c r="I173"/>
      <c r="N173"/>
    </row>
    <row r="174" spans="9:14">
      <c r="I174"/>
      <c r="N174"/>
    </row>
    <row r="175" spans="9:14">
      <c r="I175"/>
      <c r="N175"/>
    </row>
    <row r="176" spans="9:14">
      <c r="I176"/>
      <c r="N176"/>
    </row>
    <row r="177" spans="9:14">
      <c r="I177"/>
      <c r="N177"/>
    </row>
    <row r="178" spans="9:14">
      <c r="I178"/>
      <c r="N178"/>
    </row>
    <row r="179" spans="9:14">
      <c r="I179"/>
      <c r="N179"/>
    </row>
    <row r="180" spans="9:14">
      <c r="I180"/>
      <c r="N180"/>
    </row>
    <row r="181" spans="9:14">
      <c r="I181"/>
      <c r="N181"/>
    </row>
    <row r="182" spans="9:14">
      <c r="I182"/>
      <c r="N182"/>
    </row>
    <row r="183" spans="9:14">
      <c r="I183"/>
      <c r="N183"/>
    </row>
    <row r="184" spans="9:14">
      <c r="I184"/>
      <c r="N184"/>
    </row>
    <row r="185" spans="9:14">
      <c r="I185"/>
      <c r="N185"/>
    </row>
    <row r="186" spans="9:14">
      <c r="I186"/>
      <c r="N186"/>
    </row>
    <row r="187" spans="9:14">
      <c r="I187"/>
      <c r="N187"/>
    </row>
    <row r="188" spans="9:14">
      <c r="I188"/>
      <c r="N188"/>
    </row>
    <row r="189" spans="9:14">
      <c r="I189"/>
      <c r="N189"/>
    </row>
    <row r="190" spans="9:14">
      <c r="I190"/>
      <c r="N190"/>
    </row>
    <row r="191" spans="9:14">
      <c r="I191"/>
      <c r="N191"/>
    </row>
    <row r="192" spans="9:14">
      <c r="I192"/>
      <c r="N192"/>
    </row>
    <row r="193" spans="9:14">
      <c r="I193"/>
      <c r="N193"/>
    </row>
    <row r="194" spans="9:14">
      <c r="I194"/>
      <c r="N194"/>
    </row>
    <row r="195" spans="9:14">
      <c r="I195"/>
      <c r="N195"/>
    </row>
    <row r="196" spans="9:14">
      <c r="I196"/>
      <c r="N196"/>
    </row>
    <row r="197" spans="9:14">
      <c r="I197"/>
      <c r="N197"/>
    </row>
    <row r="198" spans="9:14">
      <c r="I198"/>
      <c r="N198"/>
    </row>
    <row r="199" spans="9:14">
      <c r="I199"/>
      <c r="N199"/>
    </row>
    <row r="200" spans="9:14">
      <c r="I200"/>
      <c r="N200"/>
    </row>
    <row r="201" spans="9:14">
      <c r="I201"/>
      <c r="N201"/>
    </row>
    <row r="202" spans="9:14">
      <c r="I202"/>
      <c r="N202"/>
    </row>
    <row r="203" spans="9:14">
      <c r="I203"/>
      <c r="N203"/>
    </row>
    <row r="204" spans="9:14">
      <c r="I204"/>
      <c r="N204"/>
    </row>
    <row r="205" spans="9:14">
      <c r="I205"/>
      <c r="N205"/>
    </row>
    <row r="206" spans="9:14">
      <c r="I206"/>
      <c r="N206"/>
    </row>
    <row r="207" spans="9:14">
      <c r="I207"/>
      <c r="N207"/>
    </row>
    <row r="208" spans="9:14">
      <c r="I208"/>
      <c r="N208"/>
    </row>
    <row r="209" spans="9:14">
      <c r="I209"/>
      <c r="N209"/>
    </row>
    <row r="210" spans="9:14">
      <c r="I210"/>
      <c r="N210"/>
    </row>
    <row r="211" spans="9:14">
      <c r="I211"/>
      <c r="N211"/>
    </row>
    <row r="212" spans="9:14">
      <c r="I212"/>
      <c r="N212"/>
    </row>
    <row r="213" spans="9:14">
      <c r="I213"/>
      <c r="N213"/>
    </row>
    <row r="214" spans="9:14">
      <c r="I214"/>
      <c r="N214"/>
    </row>
    <row r="215" spans="9:14">
      <c r="I215"/>
      <c r="N215"/>
    </row>
    <row r="216" spans="9:14">
      <c r="I216"/>
      <c r="N216"/>
    </row>
    <row r="217" spans="9:14">
      <c r="I217"/>
      <c r="N217"/>
    </row>
    <row r="218" spans="9:14">
      <c r="I218"/>
      <c r="N218"/>
    </row>
    <row r="219" spans="9:14">
      <c r="I219"/>
      <c r="N219"/>
    </row>
    <row r="220" spans="9:14">
      <c r="I220"/>
      <c r="N220"/>
    </row>
    <row r="221" spans="9:14">
      <c r="I221"/>
      <c r="N221"/>
    </row>
    <row r="222" spans="9:14">
      <c r="I222"/>
      <c r="N222"/>
    </row>
    <row r="223" spans="9:14">
      <c r="I223"/>
      <c r="N223"/>
    </row>
    <row r="224" spans="9:14">
      <c r="I224"/>
      <c r="N224"/>
    </row>
    <row r="225" spans="9:14">
      <c r="I225"/>
      <c r="N225"/>
    </row>
    <row r="226" spans="9:14">
      <c r="I226"/>
      <c r="N226"/>
    </row>
    <row r="227" spans="9:14">
      <c r="I227"/>
      <c r="N227"/>
    </row>
    <row r="228" spans="9:14">
      <c r="I228"/>
      <c r="N228"/>
    </row>
    <row r="229" spans="9:14">
      <c r="I229"/>
      <c r="N229"/>
    </row>
    <row r="230" spans="9:14">
      <c r="I230"/>
      <c r="N230"/>
    </row>
    <row r="231" spans="9:14">
      <c r="I231"/>
      <c r="N231"/>
    </row>
    <row r="232" spans="9:14">
      <c r="I232"/>
      <c r="N232"/>
    </row>
    <row r="233" spans="9:14">
      <c r="I233"/>
      <c r="N233"/>
    </row>
    <row r="234" spans="9:14">
      <c r="I234"/>
      <c r="N234"/>
    </row>
    <row r="235" spans="9:14">
      <c r="I235"/>
      <c r="N235"/>
    </row>
    <row r="236" spans="9:14">
      <c r="I236"/>
      <c r="N236"/>
    </row>
    <row r="237" spans="9:14">
      <c r="I237"/>
      <c r="N237"/>
    </row>
    <row r="238" spans="9:14">
      <c r="I238"/>
      <c r="N238"/>
    </row>
    <row r="239" spans="9:14">
      <c r="I239"/>
      <c r="N239"/>
    </row>
    <row r="240" spans="9:14">
      <c r="I240"/>
      <c r="N240"/>
    </row>
    <row r="241" spans="9:14">
      <c r="I241"/>
      <c r="N241"/>
    </row>
    <row r="242" spans="9:14">
      <c r="I242"/>
      <c r="N242"/>
    </row>
    <row r="243" spans="9:14">
      <c r="I243"/>
      <c r="N243"/>
    </row>
    <row r="244" spans="9:14">
      <c r="I244"/>
      <c r="N244"/>
    </row>
    <row r="245" spans="9:14">
      <c r="I245"/>
      <c r="N245"/>
    </row>
    <row r="246" spans="9:14">
      <c r="I246"/>
      <c r="N246"/>
    </row>
    <row r="247" spans="9:14">
      <c r="I247"/>
      <c r="N247"/>
    </row>
    <row r="248" spans="9:14">
      <c r="I248"/>
      <c r="N248"/>
    </row>
    <row r="249" spans="9:14">
      <c r="I249"/>
      <c r="N249"/>
    </row>
    <row r="250" spans="9:14">
      <c r="I250"/>
      <c r="N250"/>
    </row>
    <row r="251" spans="9:14">
      <c r="I251"/>
      <c r="N251"/>
    </row>
    <row r="252" spans="9:14">
      <c r="I252"/>
      <c r="N252"/>
    </row>
    <row r="253" spans="9:14">
      <c r="I253"/>
      <c r="N253"/>
    </row>
    <row r="254" spans="9:14">
      <c r="I254"/>
      <c r="N254"/>
    </row>
    <row r="255" spans="9:14">
      <c r="I255"/>
      <c r="N255"/>
    </row>
    <row r="256" spans="9:14">
      <c r="I256"/>
      <c r="N256"/>
    </row>
    <row r="257" spans="9:14">
      <c r="I257"/>
      <c r="N257"/>
    </row>
    <row r="258" spans="9:14">
      <c r="I258"/>
      <c r="N258"/>
    </row>
    <row r="259" spans="9:14">
      <c r="I259"/>
      <c r="N259"/>
    </row>
    <row r="260" spans="9:14">
      <c r="I260"/>
      <c r="N260"/>
    </row>
    <row r="261" spans="9:14">
      <c r="I261"/>
      <c r="N261"/>
    </row>
    <row r="262" spans="9:14">
      <c r="I262"/>
      <c r="N262"/>
    </row>
    <row r="263" spans="9:14">
      <c r="I263"/>
      <c r="N263"/>
    </row>
    <row r="264" spans="9:14">
      <c r="I264"/>
      <c r="N264"/>
    </row>
    <row r="265" spans="9:14">
      <c r="I265"/>
      <c r="N265"/>
    </row>
    <row r="266" spans="9:14">
      <c r="I266"/>
      <c r="N266"/>
    </row>
    <row r="267" spans="9:14">
      <c r="I267"/>
      <c r="N267"/>
    </row>
    <row r="268" spans="9:14">
      <c r="I268"/>
      <c r="N268"/>
    </row>
    <row r="269" spans="9:14">
      <c r="I269"/>
      <c r="N269"/>
    </row>
    <row r="270" spans="9:14">
      <c r="I270"/>
      <c r="N270"/>
    </row>
    <row r="271" spans="9:14">
      <c r="I271"/>
      <c r="N271"/>
    </row>
    <row r="272" spans="9:14">
      <c r="I272"/>
      <c r="N272"/>
    </row>
    <row r="273" spans="9:14">
      <c r="I273"/>
      <c r="N273"/>
    </row>
    <row r="274" spans="9:14">
      <c r="I274"/>
      <c r="N274"/>
    </row>
    <row r="275" spans="9:14">
      <c r="I275"/>
      <c r="N275"/>
    </row>
    <row r="276" spans="9:14">
      <c r="I276"/>
      <c r="N276"/>
    </row>
    <row r="277" spans="9:14">
      <c r="I277"/>
      <c r="N277"/>
    </row>
    <row r="278" spans="9:14">
      <c r="I278"/>
      <c r="N278"/>
    </row>
    <row r="279" spans="9:14">
      <c r="I279"/>
      <c r="N279"/>
    </row>
    <row r="280" spans="9:14">
      <c r="I280"/>
      <c r="N280"/>
    </row>
    <row r="281" spans="9:14">
      <c r="I281"/>
      <c r="N281"/>
    </row>
    <row r="282" spans="9:14">
      <c r="I282"/>
      <c r="N282"/>
    </row>
    <row r="283" spans="9:14">
      <c r="I283"/>
      <c r="N283"/>
    </row>
    <row r="284" spans="9:14">
      <c r="I284"/>
      <c r="N284"/>
    </row>
    <row r="285" spans="9:14">
      <c r="I285"/>
      <c r="N285"/>
    </row>
    <row r="286" spans="9:14">
      <c r="I286"/>
      <c r="N286"/>
    </row>
    <row r="287" spans="9:14">
      <c r="I287"/>
      <c r="N287"/>
    </row>
    <row r="288" spans="9:14">
      <c r="I288"/>
      <c r="N288"/>
    </row>
    <row r="289" spans="9:14">
      <c r="I289"/>
      <c r="N289"/>
    </row>
    <row r="290" spans="9:14">
      <c r="I290"/>
      <c r="N290"/>
    </row>
    <row r="291" spans="9:14">
      <c r="I291"/>
      <c r="N291"/>
    </row>
    <row r="292" spans="9:14">
      <c r="I292"/>
      <c r="N292"/>
    </row>
    <row r="293" spans="9:14">
      <c r="I293"/>
      <c r="N293"/>
    </row>
    <row r="294" spans="9:14">
      <c r="I294"/>
      <c r="N294"/>
    </row>
    <row r="295" spans="9:14">
      <c r="I295"/>
      <c r="N295"/>
    </row>
    <row r="296" spans="9:14">
      <c r="I296"/>
      <c r="N296"/>
    </row>
    <row r="297" spans="9:14">
      <c r="I297"/>
      <c r="N297"/>
    </row>
    <row r="298" spans="9:14">
      <c r="I298"/>
      <c r="N298"/>
    </row>
    <row r="299" spans="9:14">
      <c r="I299"/>
      <c r="N299"/>
    </row>
    <row r="300" spans="9:14">
      <c r="I300"/>
      <c r="N300"/>
    </row>
    <row r="301" spans="9:14">
      <c r="I301"/>
      <c r="N301"/>
    </row>
    <row r="302" spans="9:14">
      <c r="I302"/>
      <c r="N302"/>
    </row>
    <row r="303" spans="9:14">
      <c r="I303"/>
      <c r="N303"/>
    </row>
    <row r="304" spans="9:14">
      <c r="I304"/>
      <c r="N304"/>
    </row>
    <row r="305" spans="9:14">
      <c r="I305"/>
      <c r="N305"/>
    </row>
    <row r="306" spans="9:14">
      <c r="I306"/>
      <c r="N306"/>
    </row>
    <row r="307" spans="9:14">
      <c r="I307"/>
      <c r="N307"/>
    </row>
    <row r="308" spans="9:14">
      <c r="I308"/>
      <c r="N308"/>
    </row>
    <row r="309" spans="9:14">
      <c r="I309"/>
      <c r="N309"/>
    </row>
    <row r="310" spans="9:14">
      <c r="I310"/>
      <c r="N310"/>
    </row>
    <row r="311" spans="9:14">
      <c r="I311"/>
      <c r="N311"/>
    </row>
    <row r="312" spans="9:14">
      <c r="I312"/>
      <c r="N312"/>
    </row>
    <row r="313" spans="9:14">
      <c r="I313"/>
      <c r="N313"/>
    </row>
    <row r="314" spans="9:14">
      <c r="I314"/>
      <c r="N314"/>
    </row>
    <row r="315" spans="9:14">
      <c r="I315"/>
      <c r="N315"/>
    </row>
    <row r="316" spans="9:14">
      <c r="I316"/>
      <c r="N316"/>
    </row>
    <row r="317" spans="9:14">
      <c r="I317"/>
      <c r="N317"/>
    </row>
    <row r="318" spans="9:14">
      <c r="I318"/>
      <c r="N318"/>
    </row>
    <row r="319" spans="9:14">
      <c r="I319"/>
      <c r="N319"/>
    </row>
    <row r="320" spans="9:14">
      <c r="I320"/>
      <c r="N320"/>
    </row>
    <row r="321" spans="9:14">
      <c r="I321"/>
      <c r="N321"/>
    </row>
    <row r="322" spans="9:14">
      <c r="I322"/>
      <c r="N322"/>
    </row>
    <row r="323" spans="9:14">
      <c r="I323"/>
      <c r="N323"/>
    </row>
    <row r="324" spans="9:14">
      <c r="I324"/>
      <c r="N324"/>
    </row>
    <row r="325" spans="9:14">
      <c r="I325"/>
      <c r="N325"/>
    </row>
    <row r="326" spans="9:14">
      <c r="I326"/>
      <c r="N326"/>
    </row>
    <row r="327" spans="9:14">
      <c r="I327"/>
      <c r="N327"/>
    </row>
    <row r="328" spans="9:14">
      <c r="I328"/>
      <c r="N328"/>
    </row>
    <row r="329" spans="9:14">
      <c r="I329"/>
      <c r="N329"/>
    </row>
    <row r="330" spans="9:14">
      <c r="I330"/>
      <c r="N330"/>
    </row>
    <row r="331" spans="9:14">
      <c r="I331"/>
      <c r="N331"/>
    </row>
    <row r="332" spans="9:14">
      <c r="I332"/>
      <c r="N332"/>
    </row>
    <row r="333" spans="9:14">
      <c r="I333"/>
      <c r="N333"/>
    </row>
    <row r="334" spans="9:14">
      <c r="I334"/>
      <c r="N334"/>
    </row>
    <row r="335" spans="9:14">
      <c r="I335"/>
      <c r="N335"/>
    </row>
    <row r="336" spans="9:14">
      <c r="I336"/>
      <c r="N336"/>
    </row>
    <row r="337" spans="9:14">
      <c r="I337"/>
      <c r="N337"/>
    </row>
    <row r="338" spans="9:14">
      <c r="I338"/>
      <c r="N338"/>
    </row>
    <row r="339" spans="9:14">
      <c r="I339"/>
      <c r="N339"/>
    </row>
    <row r="340" spans="9:14">
      <c r="I340"/>
      <c r="N340"/>
    </row>
    <row r="341" spans="9:14">
      <c r="I341"/>
      <c r="N341"/>
    </row>
    <row r="342" spans="9:14">
      <c r="I342"/>
      <c r="N342"/>
    </row>
    <row r="343" spans="9:14">
      <c r="I343"/>
      <c r="N343"/>
    </row>
    <row r="344" spans="9:14">
      <c r="I344"/>
      <c r="N344"/>
    </row>
    <row r="345" spans="9:14">
      <c r="I345"/>
      <c r="N345"/>
    </row>
    <row r="346" spans="9:14">
      <c r="I346"/>
      <c r="N346"/>
    </row>
    <row r="347" spans="9:14">
      <c r="I347"/>
      <c r="N347"/>
    </row>
    <row r="348" spans="9:14">
      <c r="I348"/>
      <c r="N348"/>
    </row>
    <row r="349" spans="9:14">
      <c r="I349"/>
      <c r="N349"/>
    </row>
    <row r="350" spans="9:14">
      <c r="I350"/>
      <c r="N350"/>
    </row>
    <row r="351" spans="9:14">
      <c r="I351"/>
      <c r="N351"/>
    </row>
    <row r="352" spans="9:14">
      <c r="I352"/>
      <c r="N352"/>
    </row>
    <row r="353" spans="9:14">
      <c r="I353"/>
      <c r="N353"/>
    </row>
    <row r="354" spans="9:14">
      <c r="I354"/>
      <c r="N354"/>
    </row>
    <row r="355" spans="9:14">
      <c r="I355"/>
      <c r="N355"/>
    </row>
    <row r="356" spans="9:14">
      <c r="I356"/>
      <c r="N356"/>
    </row>
    <row r="357" spans="9:14">
      <c r="I357"/>
      <c r="N357"/>
    </row>
    <row r="358" spans="9:14">
      <c r="I358"/>
      <c r="N358"/>
    </row>
    <row r="359" spans="9:14">
      <c r="I359"/>
      <c r="N359"/>
    </row>
    <row r="360" spans="9:14">
      <c r="I360"/>
      <c r="N360"/>
    </row>
    <row r="361" spans="9:14">
      <c r="I361"/>
      <c r="N361"/>
    </row>
    <row r="362" spans="9:14">
      <c r="I362"/>
      <c r="N362"/>
    </row>
    <row r="363" spans="9:14">
      <c r="I363"/>
      <c r="N363"/>
    </row>
    <row r="364" spans="9:14">
      <c r="I364"/>
      <c r="N364"/>
    </row>
    <row r="365" spans="9:14">
      <c r="I365"/>
      <c r="N365"/>
    </row>
    <row r="366" spans="9:14">
      <c r="I366"/>
      <c r="N366"/>
    </row>
    <row r="367" spans="9:14">
      <c r="I367"/>
      <c r="N367"/>
    </row>
    <row r="368" spans="9:14">
      <c r="I368"/>
      <c r="N368"/>
    </row>
    <row r="369" spans="9:14">
      <c r="I369"/>
      <c r="N369"/>
    </row>
    <row r="370" spans="9:14">
      <c r="I370"/>
      <c r="N370"/>
    </row>
    <row r="371" spans="9:14">
      <c r="I371"/>
      <c r="N371"/>
    </row>
    <row r="372" spans="9:14">
      <c r="I372"/>
      <c r="N372"/>
    </row>
    <row r="373" spans="9:14">
      <c r="I373"/>
      <c r="N373"/>
    </row>
    <row r="374" spans="9:14">
      <c r="I374"/>
      <c r="N374"/>
    </row>
    <row r="375" spans="9:14">
      <c r="I375"/>
      <c r="N375"/>
    </row>
    <row r="376" spans="9:14">
      <c r="I376"/>
      <c r="N376"/>
    </row>
    <row r="377" spans="9:14">
      <c r="I377"/>
      <c r="N377"/>
    </row>
    <row r="378" spans="9:14">
      <c r="I378"/>
      <c r="N378"/>
    </row>
    <row r="379" spans="9:14">
      <c r="I379"/>
      <c r="N379"/>
    </row>
    <row r="380" spans="9:14">
      <c r="I380"/>
      <c r="N380"/>
    </row>
    <row r="381" spans="9:14">
      <c r="I381"/>
      <c r="N381"/>
    </row>
    <row r="382" spans="9:14">
      <c r="I382"/>
      <c r="N382"/>
    </row>
    <row r="383" spans="9:14">
      <c r="I383"/>
      <c r="N383"/>
    </row>
    <row r="384" spans="9:14">
      <c r="I384"/>
      <c r="N384"/>
    </row>
    <row r="385" spans="9:14">
      <c r="I385"/>
      <c r="N385"/>
    </row>
    <row r="386" spans="9:14">
      <c r="I386"/>
      <c r="N386"/>
    </row>
    <row r="387" spans="9:14">
      <c r="I387"/>
      <c r="N387"/>
    </row>
    <row r="388" spans="9:14">
      <c r="I388"/>
      <c r="N388"/>
    </row>
    <row r="389" spans="9:14">
      <c r="I389"/>
      <c r="N389"/>
    </row>
    <row r="390" spans="9:14">
      <c r="I390"/>
      <c r="N390"/>
    </row>
    <row r="391" spans="9:14">
      <c r="I391"/>
      <c r="N391"/>
    </row>
    <row r="392" spans="9:14">
      <c r="I392"/>
      <c r="N392"/>
    </row>
    <row r="393" spans="9:14">
      <c r="I393"/>
      <c r="N393"/>
    </row>
    <row r="394" spans="9:14">
      <c r="I394"/>
      <c r="N394"/>
    </row>
    <row r="395" spans="9:14">
      <c r="I395"/>
      <c r="N395"/>
    </row>
    <row r="396" spans="9:14">
      <c r="I396"/>
      <c r="N396"/>
    </row>
    <row r="397" spans="9:14">
      <c r="I397"/>
      <c r="N397"/>
    </row>
    <row r="398" spans="9:14">
      <c r="I398"/>
      <c r="N398"/>
    </row>
    <row r="399" spans="9:14">
      <c r="I399"/>
      <c r="N399"/>
    </row>
    <row r="400" spans="9:14">
      <c r="I400"/>
      <c r="N400"/>
    </row>
    <row r="401" spans="9:14">
      <c r="I401"/>
      <c r="N401"/>
    </row>
    <row r="402" spans="9:14">
      <c r="I402"/>
      <c r="N402"/>
    </row>
    <row r="403" spans="9:14">
      <c r="I403"/>
      <c r="N403"/>
    </row>
    <row r="404" spans="9:14">
      <c r="I404"/>
      <c r="N404"/>
    </row>
    <row r="405" spans="9:14">
      <c r="I405"/>
      <c r="N405"/>
    </row>
    <row r="406" spans="9:14">
      <c r="I406"/>
      <c r="N406"/>
    </row>
    <row r="407" spans="9:14">
      <c r="I407"/>
      <c r="N407"/>
    </row>
    <row r="408" spans="9:14">
      <c r="I408"/>
      <c r="N408"/>
    </row>
    <row r="409" spans="9:14">
      <c r="I409"/>
      <c r="N409"/>
    </row>
    <row r="410" spans="9:14">
      <c r="I410"/>
      <c r="N410"/>
    </row>
    <row r="411" spans="9:14">
      <c r="I411"/>
      <c r="N411"/>
    </row>
  </sheetData>
  <mergeCells count="3">
    <mergeCell ref="A1:E1"/>
    <mergeCell ref="T7:X7"/>
    <mergeCell ref="C15:D15"/>
  </mergeCells>
  <phoneticPr fontId="7" type="noConversion"/>
  <dataValidations count="1">
    <dataValidation type="list" allowBlank="1" showInputMessage="1" showErrorMessage="1" sqref="K8:K9" xr:uid="{F75AD814-6CC2-4B9E-8A3B-87919DE8A6A1}">
      <formula1>INDIRECT($DD8)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93348-F90F-403F-BEA0-2D5DB49AC606}">
  <sheetPr>
    <pageSetUpPr fitToPage="1"/>
  </sheetPr>
  <dimension ref="A1:XW149"/>
  <sheetViews>
    <sheetView zoomScale="80" zoomScaleNormal="80" workbookViewId="0">
      <pane xSplit="2" ySplit="1" topLeftCell="Q127" activePane="bottomRight" state="frozen"/>
      <selection pane="topRight" activeCell="C1" sqref="C1"/>
      <selection pane="bottomLeft" activeCell="A2" sqref="A2"/>
      <selection pane="bottomRight" activeCell="A2" sqref="A2:AB148"/>
    </sheetView>
  </sheetViews>
  <sheetFormatPr defaultColWidth="8.6640625" defaultRowHeight="14.4"/>
  <cols>
    <col min="1" max="1" width="7.6640625" style="39" bestFit="1" customWidth="1"/>
    <col min="2" max="2" width="24.109375" style="39" bestFit="1" customWidth="1"/>
    <col min="3" max="3" width="39.33203125" style="38" customWidth="1"/>
    <col min="4" max="4" width="13.44140625" style="39" bestFit="1" customWidth="1"/>
    <col min="5" max="5" width="11.5546875" style="39" customWidth="1"/>
    <col min="6" max="6" width="11" style="38" customWidth="1"/>
    <col min="7" max="8" width="7.5546875" style="38" customWidth="1"/>
    <col min="9" max="9" width="20.44140625" style="38" bestFit="1" customWidth="1"/>
    <col min="10" max="10" width="9.6640625" style="47" bestFit="1" customWidth="1"/>
    <col min="11" max="11" width="14.6640625" style="29" bestFit="1" customWidth="1"/>
    <col min="12" max="12" width="20.44140625" style="29" bestFit="1" customWidth="1"/>
    <col min="13" max="13" width="20.33203125" style="29" customWidth="1"/>
    <col min="14" max="17" width="22.5546875" style="29" customWidth="1"/>
    <col min="18" max="18" width="10.5546875" style="93" customWidth="1"/>
    <col min="19" max="19" width="9.33203125" style="93" bestFit="1" customWidth="1"/>
    <col min="20" max="23" width="18.44140625" style="93" customWidth="1"/>
    <col min="24" max="24" width="25.5546875" style="39" bestFit="1" customWidth="1"/>
    <col min="25" max="27" width="12.5546875" style="83" customWidth="1"/>
    <col min="28" max="28" width="24.109375" style="83" bestFit="1" customWidth="1"/>
    <col min="29" max="29" width="10.33203125" style="83" bestFit="1" customWidth="1"/>
    <col min="30" max="647" width="8.6640625" style="83"/>
    <col min="648" max="16384" width="8.6640625" style="39"/>
  </cols>
  <sheetData>
    <row r="1" spans="1:647" s="46" customFormat="1" ht="34.35" customHeight="1">
      <c r="A1" s="40" t="s">
        <v>19</v>
      </c>
      <c r="B1" s="41" t="s">
        <v>20</v>
      </c>
      <c r="C1" s="37" t="s">
        <v>21</v>
      </c>
      <c r="D1" s="42" t="s">
        <v>22</v>
      </c>
      <c r="E1" s="43" t="s">
        <v>23</v>
      </c>
      <c r="F1" s="44" t="s">
        <v>24</v>
      </c>
      <c r="G1" s="44" t="s">
        <v>25</v>
      </c>
      <c r="H1" s="44" t="s">
        <v>175</v>
      </c>
      <c r="I1" s="44" t="s">
        <v>26</v>
      </c>
      <c r="J1" s="44" t="s">
        <v>174</v>
      </c>
      <c r="K1" s="44" t="s">
        <v>173</v>
      </c>
      <c r="L1" s="44" t="s">
        <v>172</v>
      </c>
      <c r="M1" s="44" t="s">
        <v>180</v>
      </c>
      <c r="N1" s="44" t="s">
        <v>181</v>
      </c>
      <c r="O1" s="44" t="s">
        <v>182</v>
      </c>
      <c r="P1" s="44" t="s">
        <v>183</v>
      </c>
      <c r="Q1" s="44" t="s">
        <v>193</v>
      </c>
      <c r="R1" s="44" t="s">
        <v>27</v>
      </c>
      <c r="S1" s="44" t="s">
        <v>127</v>
      </c>
      <c r="T1" s="44" t="s">
        <v>123</v>
      </c>
      <c r="U1" s="44" t="s">
        <v>179</v>
      </c>
      <c r="V1" s="44" t="s">
        <v>124</v>
      </c>
      <c r="W1" s="44" t="s">
        <v>125</v>
      </c>
      <c r="X1" s="45" t="str">
        <f>B1</f>
        <v>Sample_ID</v>
      </c>
      <c r="Y1" s="102" t="s">
        <v>29</v>
      </c>
      <c r="Z1" s="102" t="s">
        <v>30</v>
      </c>
      <c r="AA1" s="102" t="s">
        <v>28</v>
      </c>
      <c r="AB1" s="87" t="s">
        <v>20</v>
      </c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87"/>
      <c r="BX1" s="87"/>
      <c r="BY1" s="87"/>
      <c r="BZ1" s="87"/>
      <c r="CA1" s="87"/>
      <c r="CB1" s="87"/>
      <c r="CC1" s="87"/>
      <c r="CD1" s="87"/>
      <c r="CE1" s="87"/>
      <c r="CF1" s="87"/>
      <c r="CG1" s="87"/>
      <c r="CH1" s="87"/>
      <c r="CI1" s="87"/>
      <c r="CJ1" s="87"/>
      <c r="CK1" s="87"/>
      <c r="CL1" s="87"/>
      <c r="CM1" s="87"/>
      <c r="CN1" s="87"/>
      <c r="CO1" s="87"/>
      <c r="CP1" s="87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</row>
    <row r="2" spans="1:647" s="30" customFormat="1" ht="14.25" customHeight="1">
      <c r="A2" s="88"/>
      <c r="B2" s="89"/>
      <c r="C2" s="92"/>
      <c r="D2" s="92"/>
      <c r="E2" s="94"/>
      <c r="F2" s="92"/>
      <c r="G2" s="92"/>
      <c r="H2" s="92"/>
      <c r="I2" s="92"/>
      <c r="J2" s="95"/>
      <c r="K2" s="95"/>
      <c r="L2" s="95"/>
      <c r="M2" s="95"/>
      <c r="N2" s="95"/>
      <c r="O2" s="95"/>
      <c r="P2" s="95"/>
      <c r="Q2" s="95"/>
      <c r="R2" s="92"/>
      <c r="S2" s="101"/>
      <c r="T2" s="95"/>
      <c r="U2" s="95"/>
      <c r="V2" s="95"/>
      <c r="W2" s="95"/>
      <c r="X2" s="92"/>
      <c r="Y2" s="160"/>
      <c r="Z2" s="160"/>
      <c r="AA2" s="160"/>
      <c r="AB2" s="85"/>
      <c r="AC2" s="83" t="s">
        <v>136</v>
      </c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AZ2" s="85"/>
      <c r="BA2" s="85"/>
      <c r="BB2" s="85"/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  <c r="BS2" s="85"/>
      <c r="BT2" s="85"/>
      <c r="BU2" s="85"/>
      <c r="BV2" s="85"/>
      <c r="BW2" s="85"/>
      <c r="BX2" s="85"/>
      <c r="BY2" s="85"/>
      <c r="BZ2" s="85"/>
      <c r="CA2" s="85"/>
      <c r="CB2" s="85"/>
      <c r="CC2" s="85"/>
      <c r="CD2" s="85"/>
      <c r="CE2" s="85"/>
      <c r="CF2" s="85"/>
      <c r="CG2" s="85"/>
      <c r="CH2" s="85"/>
      <c r="CI2" s="85"/>
      <c r="CJ2" s="85"/>
      <c r="CK2" s="85"/>
      <c r="CL2" s="85"/>
      <c r="CM2" s="85"/>
      <c r="CN2" s="85"/>
      <c r="CO2" s="85"/>
      <c r="CP2" s="85"/>
      <c r="CQ2" s="85"/>
      <c r="CR2" s="85"/>
      <c r="CS2" s="85"/>
      <c r="CT2" s="85"/>
      <c r="CU2" s="85"/>
      <c r="CV2" s="85"/>
      <c r="CW2" s="85"/>
      <c r="CX2" s="85"/>
      <c r="CY2" s="85"/>
      <c r="CZ2" s="85"/>
      <c r="DA2" s="85"/>
      <c r="DB2" s="85"/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5"/>
      <c r="DT2" s="85"/>
      <c r="DU2" s="85"/>
      <c r="DV2" s="85"/>
      <c r="DW2" s="85"/>
      <c r="DX2" s="85"/>
      <c r="DY2" s="85"/>
      <c r="DZ2" s="85"/>
      <c r="EA2" s="85"/>
      <c r="EB2" s="85"/>
      <c r="EC2" s="85"/>
      <c r="ED2" s="85"/>
      <c r="EE2" s="85"/>
      <c r="EF2" s="85"/>
      <c r="EG2" s="85"/>
      <c r="EH2" s="85"/>
      <c r="EI2" s="85"/>
      <c r="EJ2" s="85"/>
      <c r="EK2" s="85"/>
      <c r="EL2" s="85"/>
      <c r="EM2" s="85"/>
      <c r="EN2" s="85"/>
      <c r="EO2" s="85"/>
      <c r="EP2" s="85"/>
      <c r="EQ2" s="85"/>
      <c r="ER2" s="85"/>
      <c r="ES2" s="85"/>
      <c r="ET2" s="85"/>
      <c r="EU2" s="85"/>
      <c r="EV2" s="85"/>
      <c r="EW2" s="85"/>
      <c r="EX2" s="85"/>
      <c r="EY2" s="85"/>
      <c r="EZ2" s="85"/>
      <c r="FA2" s="85"/>
      <c r="FB2" s="85"/>
      <c r="FC2" s="85"/>
      <c r="FD2" s="85"/>
      <c r="FE2" s="85"/>
      <c r="FF2" s="85"/>
      <c r="FG2" s="85"/>
      <c r="FH2" s="85"/>
      <c r="FI2" s="85"/>
      <c r="FJ2" s="85"/>
      <c r="FK2" s="85"/>
      <c r="FL2" s="85"/>
      <c r="FM2" s="85"/>
      <c r="FN2" s="85"/>
      <c r="FO2" s="85"/>
      <c r="FP2" s="85"/>
      <c r="FQ2" s="85"/>
      <c r="FR2" s="85"/>
      <c r="FS2" s="85"/>
      <c r="FT2" s="85"/>
      <c r="FU2" s="85"/>
      <c r="FV2" s="85"/>
      <c r="FW2" s="85"/>
      <c r="FX2" s="85"/>
      <c r="FY2" s="85"/>
      <c r="FZ2" s="85"/>
      <c r="GA2" s="85"/>
      <c r="GB2" s="85"/>
      <c r="GC2" s="85"/>
      <c r="GD2" s="85"/>
      <c r="GE2" s="85"/>
      <c r="GF2" s="85"/>
      <c r="GG2" s="85"/>
      <c r="GH2" s="85"/>
      <c r="GI2" s="85"/>
      <c r="GJ2" s="85"/>
      <c r="GK2" s="85"/>
      <c r="GL2" s="85"/>
      <c r="GM2" s="85"/>
      <c r="GN2" s="85"/>
      <c r="GO2" s="85"/>
      <c r="GP2" s="85"/>
      <c r="GQ2" s="85"/>
      <c r="GR2" s="85"/>
      <c r="GS2" s="85"/>
      <c r="GT2" s="85"/>
      <c r="GU2" s="85"/>
      <c r="GV2" s="85"/>
      <c r="GW2" s="85"/>
      <c r="GX2" s="85"/>
      <c r="GY2" s="85"/>
      <c r="GZ2" s="85"/>
      <c r="HA2" s="85"/>
      <c r="HB2" s="85"/>
      <c r="HC2" s="85"/>
      <c r="HD2" s="85"/>
      <c r="HE2" s="85"/>
      <c r="HF2" s="85"/>
      <c r="HG2" s="85"/>
      <c r="HH2" s="85"/>
      <c r="HI2" s="85"/>
      <c r="HJ2" s="85"/>
      <c r="HK2" s="85"/>
      <c r="HL2" s="85"/>
      <c r="HM2" s="85"/>
      <c r="HN2" s="85"/>
      <c r="HO2" s="85"/>
      <c r="HP2" s="85"/>
      <c r="HQ2" s="85"/>
      <c r="HR2" s="85"/>
      <c r="HS2" s="85"/>
      <c r="HT2" s="85"/>
      <c r="HU2" s="85"/>
      <c r="HV2" s="85"/>
      <c r="HW2" s="85"/>
      <c r="HX2" s="85"/>
      <c r="HY2" s="85"/>
      <c r="HZ2" s="85"/>
      <c r="IA2" s="85"/>
      <c r="IB2" s="85"/>
      <c r="IC2" s="85"/>
      <c r="ID2" s="85"/>
      <c r="IE2" s="85"/>
      <c r="IF2" s="85"/>
      <c r="IG2" s="85"/>
      <c r="IH2" s="85"/>
      <c r="II2" s="85"/>
      <c r="IJ2" s="85"/>
      <c r="IK2" s="85"/>
      <c r="IL2" s="85"/>
      <c r="IM2" s="85"/>
      <c r="IN2" s="85"/>
      <c r="IO2" s="85"/>
      <c r="IP2" s="85"/>
      <c r="IQ2" s="85"/>
      <c r="IR2" s="85"/>
      <c r="IS2" s="85"/>
      <c r="IT2" s="85"/>
      <c r="IU2" s="85"/>
      <c r="IV2" s="85"/>
      <c r="IW2" s="85"/>
      <c r="IX2" s="85"/>
      <c r="IY2" s="85"/>
      <c r="IZ2" s="85"/>
      <c r="JA2" s="85"/>
      <c r="JB2" s="85"/>
      <c r="JC2" s="85"/>
      <c r="JD2" s="85"/>
      <c r="JE2" s="85"/>
      <c r="JF2" s="85"/>
      <c r="JG2" s="85"/>
      <c r="JH2" s="85"/>
      <c r="JI2" s="85"/>
      <c r="JJ2" s="85"/>
      <c r="JK2" s="85"/>
      <c r="JL2" s="85"/>
      <c r="JM2" s="85"/>
      <c r="JN2" s="85"/>
      <c r="JO2" s="85"/>
      <c r="JP2" s="85"/>
      <c r="JQ2" s="85"/>
      <c r="JR2" s="85"/>
      <c r="JS2" s="85"/>
      <c r="JT2" s="85"/>
      <c r="JU2" s="85"/>
      <c r="JV2" s="85"/>
      <c r="JW2" s="85"/>
      <c r="JX2" s="85"/>
      <c r="JY2" s="85"/>
      <c r="JZ2" s="85"/>
      <c r="KA2" s="85"/>
      <c r="KB2" s="85"/>
      <c r="KC2" s="85"/>
      <c r="KD2" s="85"/>
      <c r="KE2" s="85"/>
      <c r="KF2" s="85"/>
      <c r="KG2" s="85"/>
      <c r="KH2" s="85"/>
      <c r="KI2" s="85"/>
      <c r="KJ2" s="85"/>
      <c r="KK2" s="85"/>
      <c r="KL2" s="85"/>
      <c r="KM2" s="85"/>
      <c r="KN2" s="85"/>
      <c r="KO2" s="85"/>
      <c r="KP2" s="85"/>
      <c r="KQ2" s="85"/>
      <c r="KR2" s="85"/>
      <c r="KS2" s="85"/>
      <c r="KT2" s="85"/>
      <c r="KU2" s="85"/>
      <c r="KV2" s="85"/>
      <c r="KW2" s="85"/>
      <c r="KX2" s="85"/>
      <c r="KY2" s="85"/>
      <c r="KZ2" s="85"/>
      <c r="LA2" s="85"/>
      <c r="LB2" s="85"/>
      <c r="LC2" s="85"/>
      <c r="LD2" s="85"/>
      <c r="LE2" s="85"/>
      <c r="LF2" s="85"/>
      <c r="LG2" s="85"/>
      <c r="LH2" s="85"/>
      <c r="LI2" s="85"/>
      <c r="LJ2" s="85"/>
      <c r="LK2" s="85"/>
      <c r="LL2" s="85"/>
      <c r="LM2" s="85"/>
      <c r="LN2" s="85"/>
      <c r="LO2" s="85"/>
      <c r="LP2" s="85"/>
      <c r="LQ2" s="85"/>
      <c r="LR2" s="85"/>
      <c r="LS2" s="85"/>
      <c r="LT2" s="85"/>
      <c r="LU2" s="85"/>
      <c r="LV2" s="85"/>
      <c r="LW2" s="85"/>
      <c r="LX2" s="85"/>
      <c r="LY2" s="85"/>
      <c r="LZ2" s="85"/>
      <c r="MA2" s="85"/>
      <c r="MB2" s="85"/>
      <c r="MC2" s="85"/>
      <c r="MD2" s="85"/>
      <c r="ME2" s="85"/>
      <c r="MF2" s="85"/>
      <c r="MG2" s="85"/>
      <c r="MH2" s="85"/>
      <c r="MI2" s="85"/>
      <c r="MJ2" s="85"/>
      <c r="MK2" s="85"/>
      <c r="ML2" s="85"/>
      <c r="MM2" s="85"/>
      <c r="MN2" s="85"/>
      <c r="MO2" s="85"/>
      <c r="MP2" s="85"/>
      <c r="MQ2" s="85"/>
      <c r="MR2" s="85"/>
      <c r="MS2" s="85"/>
      <c r="MT2" s="85"/>
      <c r="MU2" s="85"/>
      <c r="MV2" s="85"/>
      <c r="MW2" s="85"/>
      <c r="MX2" s="85"/>
      <c r="MY2" s="85"/>
      <c r="MZ2" s="85"/>
      <c r="NA2" s="85"/>
      <c r="NB2" s="85"/>
      <c r="NC2" s="85"/>
      <c r="ND2" s="85"/>
      <c r="NE2" s="85"/>
      <c r="NF2" s="85"/>
      <c r="NG2" s="85"/>
      <c r="NH2" s="85"/>
      <c r="NI2" s="85"/>
      <c r="NJ2" s="85"/>
      <c r="NK2" s="85"/>
      <c r="NL2" s="85"/>
      <c r="NM2" s="85"/>
      <c r="NN2" s="85"/>
      <c r="NO2" s="85"/>
      <c r="NP2" s="85"/>
      <c r="NQ2" s="85"/>
      <c r="NR2" s="85"/>
      <c r="NS2" s="85"/>
      <c r="NT2" s="85"/>
      <c r="NU2" s="85"/>
      <c r="NV2" s="85"/>
      <c r="NW2" s="85"/>
      <c r="NX2" s="85"/>
      <c r="NY2" s="85"/>
      <c r="NZ2" s="85"/>
      <c r="OA2" s="85"/>
      <c r="OB2" s="85"/>
      <c r="OC2" s="85"/>
      <c r="OD2" s="85"/>
      <c r="OE2" s="85"/>
      <c r="OF2" s="85"/>
      <c r="OG2" s="85"/>
      <c r="OH2" s="85"/>
      <c r="OI2" s="85"/>
      <c r="OJ2" s="85"/>
      <c r="OK2" s="85"/>
      <c r="OL2" s="85"/>
      <c r="OM2" s="85"/>
      <c r="ON2" s="85"/>
      <c r="OO2" s="85"/>
      <c r="OP2" s="85"/>
      <c r="OQ2" s="85"/>
      <c r="OR2" s="85"/>
      <c r="OS2" s="85"/>
      <c r="OT2" s="85"/>
      <c r="OU2" s="85"/>
      <c r="OV2" s="85"/>
      <c r="OW2" s="85"/>
      <c r="OX2" s="85"/>
      <c r="OY2" s="85"/>
      <c r="OZ2" s="85"/>
      <c r="PA2" s="85"/>
      <c r="PB2" s="85"/>
      <c r="PC2" s="85"/>
      <c r="PD2" s="85"/>
      <c r="PE2" s="85"/>
      <c r="PF2" s="85"/>
      <c r="PG2" s="85"/>
      <c r="PH2" s="85"/>
      <c r="PI2" s="85"/>
      <c r="PJ2" s="85"/>
      <c r="PK2" s="85"/>
      <c r="PL2" s="85"/>
      <c r="PM2" s="85"/>
      <c r="PN2" s="85"/>
      <c r="PO2" s="85"/>
      <c r="PP2" s="85"/>
      <c r="PQ2" s="85"/>
      <c r="PR2" s="85"/>
      <c r="PS2" s="85"/>
      <c r="PT2" s="85"/>
      <c r="PU2" s="85"/>
      <c r="PV2" s="85"/>
      <c r="PW2" s="85"/>
      <c r="PX2" s="85"/>
      <c r="PY2" s="85"/>
      <c r="PZ2" s="85"/>
      <c r="QA2" s="85"/>
      <c r="QB2" s="85"/>
      <c r="QC2" s="85"/>
      <c r="QD2" s="85"/>
      <c r="QE2" s="85"/>
      <c r="QF2" s="85"/>
      <c r="QG2" s="85"/>
      <c r="QH2" s="85"/>
      <c r="QI2" s="85"/>
      <c r="QJ2" s="85"/>
      <c r="QK2" s="85"/>
      <c r="QL2" s="85"/>
      <c r="QM2" s="85"/>
      <c r="QN2" s="85"/>
      <c r="QO2" s="85"/>
      <c r="QP2" s="85"/>
      <c r="QQ2" s="85"/>
      <c r="QR2" s="85"/>
      <c r="QS2" s="85"/>
      <c r="QT2" s="85"/>
      <c r="QU2" s="85"/>
      <c r="QV2" s="85"/>
      <c r="QW2" s="85"/>
      <c r="QX2" s="85"/>
      <c r="QY2" s="85"/>
      <c r="QZ2" s="85"/>
      <c r="RA2" s="85"/>
      <c r="RB2" s="85"/>
      <c r="RC2" s="85"/>
      <c r="RD2" s="85"/>
      <c r="RE2" s="85"/>
      <c r="RF2" s="85"/>
      <c r="RG2" s="85"/>
      <c r="RH2" s="85"/>
      <c r="RI2" s="85"/>
      <c r="RJ2" s="85"/>
      <c r="RK2" s="85"/>
      <c r="RL2" s="85"/>
      <c r="RM2" s="85"/>
      <c r="RN2" s="85"/>
      <c r="RO2" s="85"/>
      <c r="RP2" s="85"/>
      <c r="RQ2" s="85"/>
      <c r="RR2" s="85"/>
      <c r="RS2" s="85"/>
      <c r="RT2" s="85"/>
      <c r="RU2" s="85"/>
      <c r="RV2" s="85"/>
      <c r="RW2" s="85"/>
      <c r="RX2" s="85"/>
      <c r="RY2" s="85"/>
      <c r="RZ2" s="85"/>
      <c r="SA2" s="85"/>
      <c r="SB2" s="85"/>
      <c r="SC2" s="85"/>
      <c r="SD2" s="85"/>
      <c r="SE2" s="85"/>
      <c r="SF2" s="85"/>
      <c r="SG2" s="85"/>
      <c r="SH2" s="85"/>
      <c r="SI2" s="85"/>
      <c r="SJ2" s="85"/>
      <c r="SK2" s="85"/>
      <c r="SL2" s="85"/>
      <c r="SM2" s="85"/>
      <c r="SN2" s="85"/>
      <c r="SO2" s="85"/>
      <c r="SP2" s="85"/>
      <c r="SQ2" s="85"/>
      <c r="SR2" s="85"/>
      <c r="SS2" s="85"/>
      <c r="ST2" s="85"/>
      <c r="SU2" s="85"/>
      <c r="SV2" s="85"/>
      <c r="SW2" s="85"/>
      <c r="SX2" s="85"/>
      <c r="SY2" s="85"/>
      <c r="SZ2" s="85"/>
      <c r="TA2" s="85"/>
      <c r="TB2" s="85"/>
      <c r="TC2" s="85"/>
      <c r="TD2" s="85"/>
      <c r="TE2" s="85"/>
      <c r="TF2" s="85"/>
      <c r="TG2" s="85"/>
      <c r="TH2" s="85"/>
      <c r="TI2" s="85"/>
      <c r="TJ2" s="85"/>
      <c r="TK2" s="85"/>
      <c r="TL2" s="85"/>
      <c r="TM2" s="85"/>
      <c r="TN2" s="85"/>
      <c r="TO2" s="85"/>
      <c r="TP2" s="85"/>
      <c r="TQ2" s="85"/>
      <c r="TR2" s="85"/>
      <c r="TS2" s="85"/>
      <c r="TT2" s="85"/>
      <c r="TU2" s="85"/>
      <c r="TV2" s="85"/>
      <c r="TW2" s="85"/>
      <c r="TX2" s="85"/>
      <c r="TY2" s="85"/>
      <c r="TZ2" s="85"/>
      <c r="UA2" s="85"/>
      <c r="UB2" s="85"/>
      <c r="UC2" s="85"/>
      <c r="UD2" s="85"/>
      <c r="UE2" s="85"/>
      <c r="UF2" s="85"/>
      <c r="UG2" s="85"/>
      <c r="UH2" s="85"/>
      <c r="UI2" s="85"/>
      <c r="UJ2" s="85"/>
      <c r="UK2" s="85"/>
      <c r="UL2" s="85"/>
      <c r="UM2" s="85"/>
      <c r="UN2" s="85"/>
      <c r="UO2" s="85"/>
      <c r="UP2" s="85"/>
      <c r="UQ2" s="85"/>
      <c r="UR2" s="85"/>
      <c r="US2" s="85"/>
      <c r="UT2" s="85"/>
      <c r="UU2" s="85"/>
      <c r="UV2" s="85"/>
      <c r="UW2" s="85"/>
      <c r="UX2" s="85"/>
      <c r="UY2" s="85"/>
      <c r="UZ2" s="85"/>
      <c r="VA2" s="85"/>
      <c r="VB2" s="85"/>
      <c r="VC2" s="85"/>
      <c r="VD2" s="85"/>
      <c r="VE2" s="85"/>
      <c r="VF2" s="85"/>
      <c r="VG2" s="85"/>
      <c r="VH2" s="85"/>
      <c r="VI2" s="85"/>
      <c r="VJ2" s="85"/>
      <c r="VK2" s="85"/>
      <c r="VL2" s="85"/>
      <c r="VM2" s="85"/>
      <c r="VN2" s="85"/>
      <c r="VO2" s="85"/>
      <c r="VP2" s="85"/>
      <c r="VQ2" s="85"/>
      <c r="VR2" s="85"/>
      <c r="VS2" s="85"/>
      <c r="VT2" s="85"/>
      <c r="VU2" s="85"/>
      <c r="VV2" s="85"/>
      <c r="VW2" s="85"/>
      <c r="VX2" s="85"/>
      <c r="VY2" s="85"/>
      <c r="VZ2" s="85"/>
      <c r="WA2" s="85"/>
      <c r="WB2" s="85"/>
      <c r="WC2" s="85"/>
      <c r="WD2" s="85"/>
      <c r="WE2" s="85"/>
      <c r="WF2" s="85"/>
      <c r="WG2" s="85"/>
      <c r="WH2" s="85"/>
      <c r="WI2" s="85"/>
      <c r="WJ2" s="85"/>
      <c r="WK2" s="85"/>
      <c r="WL2" s="85"/>
      <c r="WM2" s="85"/>
      <c r="WN2" s="85"/>
      <c r="WO2" s="85"/>
      <c r="WP2" s="85"/>
      <c r="WQ2" s="85"/>
      <c r="WR2" s="85"/>
      <c r="WS2" s="85"/>
      <c r="WT2" s="85"/>
      <c r="WU2" s="85"/>
      <c r="WV2" s="85"/>
      <c r="WW2" s="85"/>
      <c r="WX2" s="85"/>
      <c r="WY2" s="85"/>
      <c r="WZ2" s="85"/>
      <c r="XA2" s="85"/>
      <c r="XB2" s="85"/>
      <c r="XC2" s="85"/>
      <c r="XD2" s="85"/>
      <c r="XE2" s="85"/>
      <c r="XF2" s="85"/>
      <c r="XG2" s="85"/>
      <c r="XH2" s="85"/>
      <c r="XI2" s="85"/>
      <c r="XJ2" s="85"/>
      <c r="XK2" s="85"/>
      <c r="XL2" s="85"/>
      <c r="XM2" s="85"/>
      <c r="XN2" s="85"/>
      <c r="XO2" s="85"/>
      <c r="XP2" s="85"/>
      <c r="XQ2" s="85"/>
      <c r="XR2" s="85"/>
      <c r="XS2" s="85"/>
      <c r="XT2" s="85"/>
      <c r="XU2" s="85"/>
      <c r="XV2" s="85"/>
      <c r="XW2" s="85"/>
    </row>
    <row r="3" spans="1:647" s="30" customFormat="1" ht="14.25" customHeight="1">
      <c r="A3" s="88"/>
      <c r="B3" s="89"/>
      <c r="C3" s="92"/>
      <c r="D3" s="92"/>
      <c r="E3" s="94"/>
      <c r="F3" s="92"/>
      <c r="G3" s="92"/>
      <c r="H3" s="92"/>
      <c r="I3" s="92"/>
      <c r="J3" s="95"/>
      <c r="K3" s="95"/>
      <c r="L3" s="95"/>
      <c r="M3" s="95"/>
      <c r="N3" s="95"/>
      <c r="O3" s="95"/>
      <c r="P3" s="95"/>
      <c r="Q3" s="95"/>
      <c r="R3" s="92"/>
      <c r="S3" s="101"/>
      <c r="T3" s="95"/>
      <c r="U3" s="95"/>
      <c r="V3" s="95"/>
      <c r="W3" s="95"/>
      <c r="X3" s="92"/>
      <c r="Y3" s="160"/>
      <c r="Z3" s="160"/>
      <c r="AA3" s="160"/>
      <c r="AB3" s="85"/>
      <c r="AC3" s="83" t="s">
        <v>137</v>
      </c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5"/>
      <c r="BG3" s="85"/>
      <c r="BH3" s="85"/>
      <c r="BI3" s="85"/>
      <c r="BJ3" s="85"/>
      <c r="BK3" s="85"/>
      <c r="BL3" s="85"/>
      <c r="BM3" s="85"/>
      <c r="BN3" s="85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85"/>
      <c r="CA3" s="85"/>
      <c r="CB3" s="85"/>
      <c r="CC3" s="85"/>
      <c r="CD3" s="85"/>
      <c r="CE3" s="85"/>
      <c r="CF3" s="85"/>
      <c r="CG3" s="85"/>
      <c r="CH3" s="85"/>
      <c r="CI3" s="85"/>
      <c r="CJ3" s="85"/>
      <c r="CK3" s="85"/>
      <c r="CL3" s="85"/>
      <c r="CM3" s="85"/>
      <c r="CN3" s="85"/>
      <c r="CO3" s="85"/>
      <c r="CP3" s="85"/>
      <c r="CQ3" s="85"/>
      <c r="CR3" s="85"/>
      <c r="CS3" s="85"/>
      <c r="CT3" s="85"/>
      <c r="CU3" s="85"/>
      <c r="CV3" s="85"/>
      <c r="CW3" s="85"/>
      <c r="CX3" s="85"/>
      <c r="CY3" s="85"/>
      <c r="CZ3" s="85"/>
      <c r="DA3" s="85"/>
      <c r="DB3" s="85"/>
      <c r="DC3" s="85"/>
      <c r="DD3" s="85"/>
      <c r="DE3" s="85"/>
      <c r="DF3" s="85"/>
      <c r="DG3" s="85"/>
      <c r="DH3" s="85"/>
      <c r="DI3" s="85"/>
      <c r="DJ3" s="85"/>
      <c r="DK3" s="85"/>
      <c r="DL3" s="85"/>
      <c r="DM3" s="85"/>
      <c r="DN3" s="85"/>
      <c r="DO3" s="85"/>
      <c r="DP3" s="85"/>
      <c r="DQ3" s="85"/>
      <c r="DR3" s="85"/>
      <c r="DS3" s="85"/>
      <c r="DT3" s="85"/>
      <c r="DU3" s="85"/>
      <c r="DV3" s="85"/>
      <c r="DW3" s="85"/>
      <c r="DX3" s="85"/>
      <c r="DY3" s="85"/>
      <c r="DZ3" s="85"/>
      <c r="EA3" s="85"/>
      <c r="EB3" s="85"/>
      <c r="EC3" s="85"/>
      <c r="ED3" s="85"/>
      <c r="EE3" s="85"/>
      <c r="EF3" s="85"/>
      <c r="EG3" s="85"/>
      <c r="EH3" s="85"/>
      <c r="EI3" s="85"/>
      <c r="EJ3" s="85"/>
      <c r="EK3" s="85"/>
      <c r="EL3" s="85"/>
      <c r="EM3" s="85"/>
      <c r="EN3" s="85"/>
      <c r="EO3" s="85"/>
      <c r="EP3" s="85"/>
      <c r="EQ3" s="85"/>
      <c r="ER3" s="85"/>
      <c r="ES3" s="85"/>
      <c r="ET3" s="85"/>
      <c r="EU3" s="85"/>
      <c r="EV3" s="85"/>
      <c r="EW3" s="85"/>
      <c r="EX3" s="85"/>
      <c r="EY3" s="85"/>
      <c r="EZ3" s="85"/>
      <c r="FA3" s="85"/>
      <c r="FB3" s="85"/>
      <c r="FC3" s="85"/>
      <c r="FD3" s="85"/>
      <c r="FE3" s="85"/>
      <c r="FF3" s="85"/>
      <c r="FG3" s="85"/>
      <c r="FH3" s="85"/>
      <c r="FI3" s="85"/>
      <c r="FJ3" s="85"/>
      <c r="FK3" s="85"/>
      <c r="FL3" s="85"/>
      <c r="FM3" s="85"/>
      <c r="FN3" s="85"/>
      <c r="FO3" s="85"/>
      <c r="FP3" s="85"/>
      <c r="FQ3" s="85"/>
      <c r="FR3" s="85"/>
      <c r="FS3" s="85"/>
      <c r="FT3" s="85"/>
      <c r="FU3" s="85"/>
      <c r="FV3" s="85"/>
      <c r="FW3" s="85"/>
      <c r="FX3" s="85"/>
      <c r="FY3" s="85"/>
      <c r="FZ3" s="85"/>
      <c r="GA3" s="85"/>
      <c r="GB3" s="85"/>
      <c r="GC3" s="85"/>
      <c r="GD3" s="85"/>
      <c r="GE3" s="85"/>
      <c r="GF3" s="85"/>
      <c r="GG3" s="85"/>
      <c r="GH3" s="85"/>
      <c r="GI3" s="85"/>
      <c r="GJ3" s="85"/>
      <c r="GK3" s="85"/>
      <c r="GL3" s="85"/>
      <c r="GM3" s="85"/>
      <c r="GN3" s="85"/>
      <c r="GO3" s="85"/>
      <c r="GP3" s="85"/>
      <c r="GQ3" s="85"/>
      <c r="GR3" s="85"/>
      <c r="GS3" s="85"/>
      <c r="GT3" s="85"/>
      <c r="GU3" s="85"/>
      <c r="GV3" s="85"/>
      <c r="GW3" s="85"/>
      <c r="GX3" s="85"/>
      <c r="GY3" s="85"/>
      <c r="GZ3" s="85"/>
      <c r="HA3" s="85"/>
      <c r="HB3" s="85"/>
      <c r="HC3" s="85"/>
      <c r="HD3" s="85"/>
      <c r="HE3" s="85"/>
      <c r="HF3" s="85"/>
      <c r="HG3" s="85"/>
      <c r="HH3" s="85"/>
      <c r="HI3" s="85"/>
      <c r="HJ3" s="85"/>
      <c r="HK3" s="85"/>
      <c r="HL3" s="85"/>
      <c r="HM3" s="85"/>
      <c r="HN3" s="85"/>
      <c r="HO3" s="85"/>
      <c r="HP3" s="85"/>
      <c r="HQ3" s="85"/>
      <c r="HR3" s="85"/>
      <c r="HS3" s="85"/>
      <c r="HT3" s="85"/>
      <c r="HU3" s="85"/>
      <c r="HV3" s="85"/>
      <c r="HW3" s="85"/>
      <c r="HX3" s="85"/>
      <c r="HY3" s="85"/>
      <c r="HZ3" s="85"/>
      <c r="IA3" s="85"/>
      <c r="IB3" s="85"/>
      <c r="IC3" s="85"/>
      <c r="ID3" s="85"/>
      <c r="IE3" s="85"/>
      <c r="IF3" s="85"/>
      <c r="IG3" s="85"/>
      <c r="IH3" s="85"/>
      <c r="II3" s="85"/>
      <c r="IJ3" s="85"/>
      <c r="IK3" s="85"/>
      <c r="IL3" s="85"/>
      <c r="IM3" s="85"/>
      <c r="IN3" s="85"/>
      <c r="IO3" s="85"/>
      <c r="IP3" s="85"/>
      <c r="IQ3" s="85"/>
      <c r="IR3" s="85"/>
      <c r="IS3" s="85"/>
      <c r="IT3" s="85"/>
      <c r="IU3" s="85"/>
      <c r="IV3" s="85"/>
      <c r="IW3" s="85"/>
      <c r="IX3" s="85"/>
      <c r="IY3" s="85"/>
      <c r="IZ3" s="85"/>
      <c r="JA3" s="85"/>
      <c r="JB3" s="85"/>
      <c r="JC3" s="85"/>
      <c r="JD3" s="85"/>
      <c r="JE3" s="85"/>
      <c r="JF3" s="85"/>
      <c r="JG3" s="85"/>
      <c r="JH3" s="85"/>
      <c r="JI3" s="85"/>
      <c r="JJ3" s="85"/>
      <c r="JK3" s="85"/>
      <c r="JL3" s="85"/>
      <c r="JM3" s="85"/>
      <c r="JN3" s="85"/>
      <c r="JO3" s="85"/>
      <c r="JP3" s="85"/>
      <c r="JQ3" s="85"/>
      <c r="JR3" s="85"/>
      <c r="JS3" s="85"/>
      <c r="JT3" s="85"/>
      <c r="JU3" s="85"/>
      <c r="JV3" s="85"/>
      <c r="JW3" s="85"/>
      <c r="JX3" s="85"/>
      <c r="JY3" s="85"/>
      <c r="JZ3" s="85"/>
      <c r="KA3" s="85"/>
      <c r="KB3" s="85"/>
      <c r="KC3" s="85"/>
      <c r="KD3" s="85"/>
      <c r="KE3" s="85"/>
      <c r="KF3" s="85"/>
      <c r="KG3" s="85"/>
      <c r="KH3" s="85"/>
      <c r="KI3" s="85"/>
      <c r="KJ3" s="85"/>
      <c r="KK3" s="85"/>
      <c r="KL3" s="85"/>
      <c r="KM3" s="85"/>
      <c r="KN3" s="85"/>
      <c r="KO3" s="85"/>
      <c r="KP3" s="85"/>
      <c r="KQ3" s="85"/>
      <c r="KR3" s="85"/>
      <c r="KS3" s="85"/>
      <c r="KT3" s="85"/>
      <c r="KU3" s="85"/>
      <c r="KV3" s="85"/>
      <c r="KW3" s="85"/>
      <c r="KX3" s="85"/>
      <c r="KY3" s="85"/>
      <c r="KZ3" s="85"/>
      <c r="LA3" s="85"/>
      <c r="LB3" s="85"/>
      <c r="LC3" s="85"/>
      <c r="LD3" s="85"/>
      <c r="LE3" s="85"/>
      <c r="LF3" s="85"/>
      <c r="LG3" s="85"/>
      <c r="LH3" s="85"/>
      <c r="LI3" s="85"/>
      <c r="LJ3" s="85"/>
      <c r="LK3" s="85"/>
      <c r="LL3" s="85"/>
      <c r="LM3" s="85"/>
      <c r="LN3" s="85"/>
      <c r="LO3" s="85"/>
      <c r="LP3" s="85"/>
      <c r="LQ3" s="85"/>
      <c r="LR3" s="85"/>
      <c r="LS3" s="85"/>
      <c r="LT3" s="85"/>
      <c r="LU3" s="85"/>
      <c r="LV3" s="85"/>
      <c r="LW3" s="85"/>
      <c r="LX3" s="85"/>
      <c r="LY3" s="85"/>
      <c r="LZ3" s="85"/>
      <c r="MA3" s="85"/>
      <c r="MB3" s="85"/>
      <c r="MC3" s="85"/>
      <c r="MD3" s="85"/>
      <c r="ME3" s="85"/>
      <c r="MF3" s="85"/>
      <c r="MG3" s="85"/>
      <c r="MH3" s="85"/>
      <c r="MI3" s="85"/>
      <c r="MJ3" s="85"/>
      <c r="MK3" s="85"/>
      <c r="ML3" s="85"/>
      <c r="MM3" s="85"/>
      <c r="MN3" s="85"/>
      <c r="MO3" s="85"/>
      <c r="MP3" s="85"/>
      <c r="MQ3" s="85"/>
      <c r="MR3" s="85"/>
      <c r="MS3" s="85"/>
      <c r="MT3" s="85"/>
      <c r="MU3" s="85"/>
      <c r="MV3" s="85"/>
      <c r="MW3" s="85"/>
      <c r="MX3" s="85"/>
      <c r="MY3" s="85"/>
      <c r="MZ3" s="85"/>
      <c r="NA3" s="85"/>
      <c r="NB3" s="85"/>
      <c r="NC3" s="85"/>
      <c r="ND3" s="85"/>
      <c r="NE3" s="85"/>
      <c r="NF3" s="85"/>
      <c r="NG3" s="85"/>
      <c r="NH3" s="85"/>
      <c r="NI3" s="85"/>
      <c r="NJ3" s="85"/>
      <c r="NK3" s="85"/>
      <c r="NL3" s="85"/>
      <c r="NM3" s="85"/>
      <c r="NN3" s="85"/>
      <c r="NO3" s="85"/>
      <c r="NP3" s="85"/>
      <c r="NQ3" s="85"/>
      <c r="NR3" s="85"/>
      <c r="NS3" s="85"/>
      <c r="NT3" s="85"/>
      <c r="NU3" s="85"/>
      <c r="NV3" s="85"/>
      <c r="NW3" s="85"/>
      <c r="NX3" s="85"/>
      <c r="NY3" s="85"/>
      <c r="NZ3" s="85"/>
      <c r="OA3" s="85"/>
      <c r="OB3" s="85"/>
      <c r="OC3" s="85"/>
      <c r="OD3" s="85"/>
      <c r="OE3" s="85"/>
      <c r="OF3" s="85"/>
      <c r="OG3" s="85"/>
      <c r="OH3" s="85"/>
      <c r="OI3" s="85"/>
      <c r="OJ3" s="85"/>
      <c r="OK3" s="85"/>
      <c r="OL3" s="85"/>
      <c r="OM3" s="85"/>
      <c r="ON3" s="85"/>
      <c r="OO3" s="85"/>
      <c r="OP3" s="85"/>
      <c r="OQ3" s="85"/>
      <c r="OR3" s="85"/>
      <c r="OS3" s="85"/>
      <c r="OT3" s="85"/>
      <c r="OU3" s="85"/>
      <c r="OV3" s="85"/>
      <c r="OW3" s="85"/>
      <c r="OX3" s="85"/>
      <c r="OY3" s="85"/>
      <c r="OZ3" s="85"/>
      <c r="PA3" s="85"/>
      <c r="PB3" s="85"/>
      <c r="PC3" s="85"/>
      <c r="PD3" s="85"/>
      <c r="PE3" s="85"/>
      <c r="PF3" s="85"/>
      <c r="PG3" s="85"/>
      <c r="PH3" s="85"/>
      <c r="PI3" s="85"/>
      <c r="PJ3" s="85"/>
      <c r="PK3" s="85"/>
      <c r="PL3" s="85"/>
      <c r="PM3" s="85"/>
      <c r="PN3" s="85"/>
      <c r="PO3" s="85"/>
      <c r="PP3" s="85"/>
      <c r="PQ3" s="85"/>
      <c r="PR3" s="85"/>
      <c r="PS3" s="85"/>
      <c r="PT3" s="85"/>
      <c r="PU3" s="85"/>
      <c r="PV3" s="85"/>
      <c r="PW3" s="85"/>
      <c r="PX3" s="85"/>
      <c r="PY3" s="85"/>
      <c r="PZ3" s="85"/>
      <c r="QA3" s="85"/>
      <c r="QB3" s="85"/>
      <c r="QC3" s="85"/>
      <c r="QD3" s="85"/>
      <c r="QE3" s="85"/>
      <c r="QF3" s="85"/>
      <c r="QG3" s="85"/>
      <c r="QH3" s="85"/>
      <c r="QI3" s="85"/>
      <c r="QJ3" s="85"/>
      <c r="QK3" s="85"/>
      <c r="QL3" s="85"/>
      <c r="QM3" s="85"/>
      <c r="QN3" s="85"/>
      <c r="QO3" s="85"/>
      <c r="QP3" s="85"/>
      <c r="QQ3" s="85"/>
      <c r="QR3" s="85"/>
      <c r="QS3" s="85"/>
      <c r="QT3" s="85"/>
      <c r="QU3" s="85"/>
      <c r="QV3" s="85"/>
      <c r="QW3" s="85"/>
      <c r="QX3" s="85"/>
      <c r="QY3" s="85"/>
      <c r="QZ3" s="85"/>
      <c r="RA3" s="85"/>
      <c r="RB3" s="85"/>
      <c r="RC3" s="85"/>
      <c r="RD3" s="85"/>
      <c r="RE3" s="85"/>
      <c r="RF3" s="85"/>
      <c r="RG3" s="85"/>
      <c r="RH3" s="85"/>
      <c r="RI3" s="85"/>
      <c r="RJ3" s="85"/>
      <c r="RK3" s="85"/>
      <c r="RL3" s="85"/>
      <c r="RM3" s="85"/>
      <c r="RN3" s="85"/>
      <c r="RO3" s="85"/>
      <c r="RP3" s="85"/>
      <c r="RQ3" s="85"/>
      <c r="RR3" s="85"/>
      <c r="RS3" s="85"/>
      <c r="RT3" s="85"/>
      <c r="RU3" s="85"/>
      <c r="RV3" s="85"/>
      <c r="RW3" s="85"/>
      <c r="RX3" s="85"/>
      <c r="RY3" s="85"/>
      <c r="RZ3" s="85"/>
      <c r="SA3" s="85"/>
      <c r="SB3" s="85"/>
      <c r="SC3" s="85"/>
      <c r="SD3" s="85"/>
      <c r="SE3" s="85"/>
      <c r="SF3" s="85"/>
      <c r="SG3" s="85"/>
      <c r="SH3" s="85"/>
      <c r="SI3" s="85"/>
      <c r="SJ3" s="85"/>
      <c r="SK3" s="85"/>
      <c r="SL3" s="85"/>
      <c r="SM3" s="85"/>
      <c r="SN3" s="85"/>
      <c r="SO3" s="85"/>
      <c r="SP3" s="85"/>
      <c r="SQ3" s="85"/>
      <c r="SR3" s="85"/>
      <c r="SS3" s="85"/>
      <c r="ST3" s="85"/>
      <c r="SU3" s="85"/>
      <c r="SV3" s="85"/>
      <c r="SW3" s="85"/>
      <c r="SX3" s="85"/>
      <c r="SY3" s="85"/>
      <c r="SZ3" s="85"/>
      <c r="TA3" s="85"/>
      <c r="TB3" s="85"/>
      <c r="TC3" s="85"/>
      <c r="TD3" s="85"/>
      <c r="TE3" s="85"/>
      <c r="TF3" s="85"/>
      <c r="TG3" s="85"/>
      <c r="TH3" s="85"/>
      <c r="TI3" s="85"/>
      <c r="TJ3" s="85"/>
      <c r="TK3" s="85"/>
      <c r="TL3" s="85"/>
      <c r="TM3" s="85"/>
      <c r="TN3" s="85"/>
      <c r="TO3" s="85"/>
      <c r="TP3" s="85"/>
      <c r="TQ3" s="85"/>
      <c r="TR3" s="85"/>
      <c r="TS3" s="85"/>
      <c r="TT3" s="85"/>
      <c r="TU3" s="85"/>
      <c r="TV3" s="85"/>
      <c r="TW3" s="85"/>
      <c r="TX3" s="85"/>
      <c r="TY3" s="85"/>
      <c r="TZ3" s="85"/>
      <c r="UA3" s="85"/>
      <c r="UB3" s="85"/>
      <c r="UC3" s="85"/>
      <c r="UD3" s="85"/>
      <c r="UE3" s="85"/>
      <c r="UF3" s="85"/>
      <c r="UG3" s="85"/>
      <c r="UH3" s="85"/>
      <c r="UI3" s="85"/>
      <c r="UJ3" s="85"/>
      <c r="UK3" s="85"/>
      <c r="UL3" s="85"/>
      <c r="UM3" s="85"/>
      <c r="UN3" s="85"/>
      <c r="UO3" s="85"/>
      <c r="UP3" s="85"/>
      <c r="UQ3" s="85"/>
      <c r="UR3" s="85"/>
      <c r="US3" s="85"/>
      <c r="UT3" s="85"/>
      <c r="UU3" s="85"/>
      <c r="UV3" s="85"/>
      <c r="UW3" s="85"/>
      <c r="UX3" s="85"/>
      <c r="UY3" s="85"/>
      <c r="UZ3" s="85"/>
      <c r="VA3" s="85"/>
      <c r="VB3" s="85"/>
      <c r="VC3" s="85"/>
      <c r="VD3" s="85"/>
      <c r="VE3" s="85"/>
      <c r="VF3" s="85"/>
      <c r="VG3" s="85"/>
      <c r="VH3" s="85"/>
      <c r="VI3" s="85"/>
      <c r="VJ3" s="85"/>
      <c r="VK3" s="85"/>
      <c r="VL3" s="85"/>
      <c r="VM3" s="85"/>
      <c r="VN3" s="85"/>
      <c r="VO3" s="85"/>
      <c r="VP3" s="85"/>
      <c r="VQ3" s="85"/>
      <c r="VR3" s="85"/>
      <c r="VS3" s="85"/>
      <c r="VT3" s="85"/>
      <c r="VU3" s="85"/>
      <c r="VV3" s="85"/>
      <c r="VW3" s="85"/>
      <c r="VX3" s="85"/>
      <c r="VY3" s="85"/>
      <c r="VZ3" s="85"/>
      <c r="WA3" s="85"/>
      <c r="WB3" s="85"/>
      <c r="WC3" s="85"/>
      <c r="WD3" s="85"/>
      <c r="WE3" s="85"/>
      <c r="WF3" s="85"/>
      <c r="WG3" s="85"/>
      <c r="WH3" s="85"/>
      <c r="WI3" s="85"/>
      <c r="WJ3" s="85"/>
      <c r="WK3" s="85"/>
      <c r="WL3" s="85"/>
      <c r="WM3" s="85"/>
      <c r="WN3" s="85"/>
      <c r="WO3" s="85"/>
      <c r="WP3" s="85"/>
      <c r="WQ3" s="85"/>
      <c r="WR3" s="85"/>
      <c r="WS3" s="85"/>
      <c r="WT3" s="85"/>
      <c r="WU3" s="85"/>
      <c r="WV3" s="85"/>
      <c r="WW3" s="85"/>
      <c r="WX3" s="85"/>
      <c r="WY3" s="85"/>
      <c r="WZ3" s="85"/>
      <c r="XA3" s="85"/>
      <c r="XB3" s="85"/>
      <c r="XC3" s="85"/>
      <c r="XD3" s="85"/>
      <c r="XE3" s="85"/>
      <c r="XF3" s="85"/>
      <c r="XG3" s="85"/>
      <c r="XH3" s="85"/>
      <c r="XI3" s="85"/>
      <c r="XJ3" s="85"/>
      <c r="XK3" s="85"/>
      <c r="XL3" s="85"/>
      <c r="XM3" s="85"/>
      <c r="XN3" s="85"/>
      <c r="XO3" s="85"/>
      <c r="XP3" s="85"/>
      <c r="XQ3" s="85"/>
      <c r="XR3" s="85"/>
      <c r="XS3" s="85"/>
      <c r="XT3" s="85"/>
      <c r="XU3" s="85"/>
      <c r="XV3" s="85"/>
      <c r="XW3" s="85"/>
    </row>
    <row r="4" spans="1:647" s="30" customFormat="1" ht="14.25" customHeight="1">
      <c r="A4" s="88"/>
      <c r="B4" s="89"/>
      <c r="C4" s="92"/>
      <c r="D4" s="92"/>
      <c r="E4" s="94"/>
      <c r="F4" s="92"/>
      <c r="G4" s="92"/>
      <c r="H4" s="92"/>
      <c r="I4" s="92"/>
      <c r="J4" s="95"/>
      <c r="K4" s="163"/>
      <c r="L4" s="163"/>
      <c r="M4" s="95"/>
      <c r="N4" s="95"/>
      <c r="O4" s="95"/>
      <c r="P4" s="95"/>
      <c r="Q4" s="95"/>
      <c r="R4" s="92"/>
      <c r="S4" s="101"/>
      <c r="T4" s="95"/>
      <c r="U4" s="95"/>
      <c r="V4" s="95"/>
      <c r="W4" s="95"/>
      <c r="X4" s="92"/>
      <c r="Y4" s="160"/>
      <c r="Z4" s="160"/>
      <c r="AA4" s="160"/>
      <c r="AB4" s="85"/>
      <c r="AC4" s="83" t="s">
        <v>138</v>
      </c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85"/>
      <c r="BU4" s="85"/>
      <c r="BV4" s="85"/>
      <c r="BW4" s="85"/>
      <c r="BX4" s="85"/>
      <c r="BY4" s="85"/>
      <c r="BZ4" s="85"/>
      <c r="CA4" s="85"/>
      <c r="CB4" s="85"/>
      <c r="CC4" s="85"/>
      <c r="CD4" s="85"/>
      <c r="CE4" s="85"/>
      <c r="CF4" s="85"/>
      <c r="CG4" s="85"/>
      <c r="CH4" s="85"/>
      <c r="CI4" s="85"/>
      <c r="CJ4" s="85"/>
      <c r="CK4" s="85"/>
      <c r="CL4" s="85"/>
      <c r="CM4" s="85"/>
      <c r="CN4" s="85"/>
      <c r="CO4" s="85"/>
      <c r="CP4" s="85"/>
      <c r="CQ4" s="85"/>
      <c r="CR4" s="85"/>
      <c r="CS4" s="85"/>
      <c r="CT4" s="85"/>
      <c r="CU4" s="85"/>
      <c r="CV4" s="85"/>
      <c r="CW4" s="85"/>
      <c r="CX4" s="85"/>
      <c r="CY4" s="85"/>
      <c r="CZ4" s="85"/>
      <c r="DA4" s="85"/>
      <c r="DB4" s="85"/>
      <c r="DC4" s="85"/>
      <c r="DD4" s="85"/>
      <c r="DE4" s="85"/>
      <c r="DF4" s="85"/>
      <c r="DG4" s="85"/>
      <c r="DH4" s="85"/>
      <c r="DI4" s="85"/>
      <c r="DJ4" s="85"/>
      <c r="DK4" s="85"/>
      <c r="DL4" s="85"/>
      <c r="DM4" s="85"/>
      <c r="DN4" s="85"/>
      <c r="DO4" s="85"/>
      <c r="DP4" s="85"/>
      <c r="DQ4" s="85"/>
      <c r="DR4" s="85"/>
      <c r="DS4" s="85"/>
      <c r="DT4" s="85"/>
      <c r="DU4" s="85"/>
      <c r="DV4" s="85"/>
      <c r="DW4" s="85"/>
      <c r="DX4" s="85"/>
      <c r="DY4" s="85"/>
      <c r="DZ4" s="85"/>
      <c r="EA4" s="85"/>
      <c r="EB4" s="85"/>
      <c r="EC4" s="85"/>
      <c r="ED4" s="85"/>
      <c r="EE4" s="85"/>
      <c r="EF4" s="85"/>
      <c r="EG4" s="85"/>
      <c r="EH4" s="85"/>
      <c r="EI4" s="85"/>
      <c r="EJ4" s="85"/>
      <c r="EK4" s="85"/>
      <c r="EL4" s="85"/>
      <c r="EM4" s="85"/>
      <c r="EN4" s="85"/>
      <c r="EO4" s="85"/>
      <c r="EP4" s="85"/>
      <c r="EQ4" s="85"/>
      <c r="ER4" s="85"/>
      <c r="ES4" s="85"/>
      <c r="ET4" s="85"/>
      <c r="EU4" s="85"/>
      <c r="EV4" s="85"/>
      <c r="EW4" s="85"/>
      <c r="EX4" s="85"/>
      <c r="EY4" s="85"/>
      <c r="EZ4" s="85"/>
      <c r="FA4" s="85"/>
      <c r="FB4" s="85"/>
      <c r="FC4" s="85"/>
      <c r="FD4" s="85"/>
      <c r="FE4" s="85"/>
      <c r="FF4" s="85"/>
      <c r="FG4" s="85"/>
      <c r="FH4" s="85"/>
      <c r="FI4" s="85"/>
      <c r="FJ4" s="85"/>
      <c r="FK4" s="85"/>
      <c r="FL4" s="85"/>
      <c r="FM4" s="85"/>
      <c r="FN4" s="85"/>
      <c r="FO4" s="85"/>
      <c r="FP4" s="85"/>
      <c r="FQ4" s="85"/>
      <c r="FR4" s="85"/>
      <c r="FS4" s="85"/>
      <c r="FT4" s="85"/>
      <c r="FU4" s="85"/>
      <c r="FV4" s="85"/>
      <c r="FW4" s="85"/>
      <c r="FX4" s="85"/>
      <c r="FY4" s="85"/>
      <c r="FZ4" s="85"/>
      <c r="GA4" s="85"/>
      <c r="GB4" s="85"/>
      <c r="GC4" s="85"/>
      <c r="GD4" s="85"/>
      <c r="GE4" s="85"/>
      <c r="GF4" s="85"/>
      <c r="GG4" s="85"/>
      <c r="GH4" s="85"/>
      <c r="GI4" s="85"/>
      <c r="GJ4" s="85"/>
      <c r="GK4" s="85"/>
      <c r="GL4" s="85"/>
      <c r="GM4" s="85"/>
      <c r="GN4" s="85"/>
      <c r="GO4" s="85"/>
      <c r="GP4" s="85"/>
      <c r="GQ4" s="85"/>
      <c r="GR4" s="85"/>
      <c r="GS4" s="85"/>
      <c r="GT4" s="85"/>
      <c r="GU4" s="85"/>
      <c r="GV4" s="85"/>
      <c r="GW4" s="85"/>
      <c r="GX4" s="85"/>
      <c r="GY4" s="85"/>
      <c r="GZ4" s="85"/>
      <c r="HA4" s="85"/>
      <c r="HB4" s="85"/>
      <c r="HC4" s="85"/>
      <c r="HD4" s="85"/>
      <c r="HE4" s="85"/>
      <c r="HF4" s="85"/>
      <c r="HG4" s="85"/>
      <c r="HH4" s="85"/>
      <c r="HI4" s="85"/>
      <c r="HJ4" s="85"/>
      <c r="HK4" s="85"/>
      <c r="HL4" s="85"/>
      <c r="HM4" s="85"/>
      <c r="HN4" s="85"/>
      <c r="HO4" s="85"/>
      <c r="HP4" s="85"/>
      <c r="HQ4" s="85"/>
      <c r="HR4" s="85"/>
      <c r="HS4" s="85"/>
      <c r="HT4" s="85"/>
      <c r="HU4" s="85"/>
      <c r="HV4" s="85"/>
      <c r="HW4" s="85"/>
      <c r="HX4" s="85"/>
      <c r="HY4" s="85"/>
      <c r="HZ4" s="85"/>
      <c r="IA4" s="85"/>
      <c r="IB4" s="85"/>
      <c r="IC4" s="85"/>
      <c r="ID4" s="85"/>
      <c r="IE4" s="85"/>
      <c r="IF4" s="85"/>
      <c r="IG4" s="85"/>
      <c r="IH4" s="85"/>
      <c r="II4" s="85"/>
      <c r="IJ4" s="85"/>
      <c r="IK4" s="85"/>
      <c r="IL4" s="85"/>
      <c r="IM4" s="85"/>
      <c r="IN4" s="85"/>
      <c r="IO4" s="85"/>
      <c r="IP4" s="85"/>
      <c r="IQ4" s="85"/>
      <c r="IR4" s="85"/>
      <c r="IS4" s="85"/>
      <c r="IT4" s="85"/>
      <c r="IU4" s="85"/>
      <c r="IV4" s="85"/>
      <c r="IW4" s="85"/>
      <c r="IX4" s="85"/>
      <c r="IY4" s="85"/>
      <c r="IZ4" s="85"/>
      <c r="JA4" s="85"/>
      <c r="JB4" s="85"/>
      <c r="JC4" s="85"/>
      <c r="JD4" s="85"/>
      <c r="JE4" s="85"/>
      <c r="JF4" s="85"/>
      <c r="JG4" s="85"/>
      <c r="JH4" s="85"/>
      <c r="JI4" s="85"/>
      <c r="JJ4" s="85"/>
      <c r="JK4" s="85"/>
      <c r="JL4" s="85"/>
      <c r="JM4" s="85"/>
      <c r="JN4" s="85"/>
      <c r="JO4" s="85"/>
      <c r="JP4" s="85"/>
      <c r="JQ4" s="85"/>
      <c r="JR4" s="85"/>
      <c r="JS4" s="85"/>
      <c r="JT4" s="85"/>
      <c r="JU4" s="85"/>
      <c r="JV4" s="85"/>
      <c r="JW4" s="85"/>
      <c r="JX4" s="85"/>
      <c r="JY4" s="85"/>
      <c r="JZ4" s="85"/>
      <c r="KA4" s="85"/>
      <c r="KB4" s="85"/>
      <c r="KC4" s="85"/>
      <c r="KD4" s="85"/>
      <c r="KE4" s="85"/>
      <c r="KF4" s="85"/>
      <c r="KG4" s="85"/>
      <c r="KH4" s="85"/>
      <c r="KI4" s="85"/>
      <c r="KJ4" s="85"/>
      <c r="KK4" s="85"/>
      <c r="KL4" s="85"/>
      <c r="KM4" s="85"/>
      <c r="KN4" s="85"/>
      <c r="KO4" s="85"/>
      <c r="KP4" s="85"/>
      <c r="KQ4" s="85"/>
      <c r="KR4" s="85"/>
      <c r="KS4" s="85"/>
      <c r="KT4" s="85"/>
      <c r="KU4" s="85"/>
      <c r="KV4" s="85"/>
      <c r="KW4" s="85"/>
      <c r="KX4" s="85"/>
      <c r="KY4" s="85"/>
      <c r="KZ4" s="85"/>
      <c r="LA4" s="85"/>
      <c r="LB4" s="85"/>
      <c r="LC4" s="85"/>
      <c r="LD4" s="85"/>
      <c r="LE4" s="85"/>
      <c r="LF4" s="85"/>
      <c r="LG4" s="85"/>
      <c r="LH4" s="85"/>
      <c r="LI4" s="85"/>
      <c r="LJ4" s="85"/>
      <c r="LK4" s="85"/>
      <c r="LL4" s="85"/>
      <c r="LM4" s="85"/>
      <c r="LN4" s="85"/>
      <c r="LO4" s="85"/>
      <c r="LP4" s="85"/>
      <c r="LQ4" s="85"/>
      <c r="LR4" s="85"/>
      <c r="LS4" s="85"/>
      <c r="LT4" s="85"/>
      <c r="LU4" s="85"/>
      <c r="LV4" s="85"/>
      <c r="LW4" s="85"/>
      <c r="LX4" s="85"/>
      <c r="LY4" s="85"/>
      <c r="LZ4" s="85"/>
      <c r="MA4" s="85"/>
      <c r="MB4" s="85"/>
      <c r="MC4" s="85"/>
      <c r="MD4" s="85"/>
      <c r="ME4" s="85"/>
      <c r="MF4" s="85"/>
      <c r="MG4" s="85"/>
      <c r="MH4" s="85"/>
      <c r="MI4" s="85"/>
      <c r="MJ4" s="85"/>
      <c r="MK4" s="85"/>
      <c r="ML4" s="85"/>
      <c r="MM4" s="85"/>
      <c r="MN4" s="85"/>
      <c r="MO4" s="85"/>
      <c r="MP4" s="85"/>
      <c r="MQ4" s="85"/>
      <c r="MR4" s="85"/>
      <c r="MS4" s="85"/>
      <c r="MT4" s="85"/>
      <c r="MU4" s="85"/>
      <c r="MV4" s="85"/>
      <c r="MW4" s="85"/>
      <c r="MX4" s="85"/>
      <c r="MY4" s="85"/>
      <c r="MZ4" s="85"/>
      <c r="NA4" s="85"/>
      <c r="NB4" s="85"/>
      <c r="NC4" s="85"/>
      <c r="ND4" s="85"/>
      <c r="NE4" s="85"/>
      <c r="NF4" s="85"/>
      <c r="NG4" s="85"/>
      <c r="NH4" s="85"/>
      <c r="NI4" s="85"/>
      <c r="NJ4" s="85"/>
      <c r="NK4" s="85"/>
      <c r="NL4" s="85"/>
      <c r="NM4" s="85"/>
      <c r="NN4" s="85"/>
      <c r="NO4" s="85"/>
      <c r="NP4" s="85"/>
      <c r="NQ4" s="85"/>
      <c r="NR4" s="85"/>
      <c r="NS4" s="85"/>
      <c r="NT4" s="85"/>
      <c r="NU4" s="85"/>
      <c r="NV4" s="85"/>
      <c r="NW4" s="85"/>
      <c r="NX4" s="85"/>
      <c r="NY4" s="85"/>
      <c r="NZ4" s="85"/>
      <c r="OA4" s="85"/>
      <c r="OB4" s="85"/>
      <c r="OC4" s="85"/>
      <c r="OD4" s="85"/>
      <c r="OE4" s="85"/>
      <c r="OF4" s="85"/>
      <c r="OG4" s="85"/>
      <c r="OH4" s="85"/>
      <c r="OI4" s="85"/>
      <c r="OJ4" s="85"/>
      <c r="OK4" s="85"/>
      <c r="OL4" s="85"/>
      <c r="OM4" s="85"/>
      <c r="ON4" s="85"/>
      <c r="OO4" s="85"/>
      <c r="OP4" s="85"/>
      <c r="OQ4" s="85"/>
      <c r="OR4" s="85"/>
      <c r="OS4" s="85"/>
      <c r="OT4" s="85"/>
      <c r="OU4" s="85"/>
      <c r="OV4" s="85"/>
      <c r="OW4" s="85"/>
      <c r="OX4" s="85"/>
      <c r="OY4" s="85"/>
      <c r="OZ4" s="85"/>
      <c r="PA4" s="85"/>
      <c r="PB4" s="85"/>
      <c r="PC4" s="85"/>
      <c r="PD4" s="85"/>
      <c r="PE4" s="85"/>
      <c r="PF4" s="85"/>
      <c r="PG4" s="85"/>
      <c r="PH4" s="85"/>
      <c r="PI4" s="85"/>
      <c r="PJ4" s="85"/>
      <c r="PK4" s="85"/>
      <c r="PL4" s="85"/>
      <c r="PM4" s="85"/>
      <c r="PN4" s="85"/>
      <c r="PO4" s="85"/>
      <c r="PP4" s="85"/>
      <c r="PQ4" s="85"/>
      <c r="PR4" s="85"/>
      <c r="PS4" s="85"/>
      <c r="PT4" s="85"/>
      <c r="PU4" s="85"/>
      <c r="PV4" s="85"/>
      <c r="PW4" s="85"/>
      <c r="PX4" s="85"/>
      <c r="PY4" s="85"/>
      <c r="PZ4" s="85"/>
      <c r="QA4" s="85"/>
      <c r="QB4" s="85"/>
      <c r="QC4" s="85"/>
      <c r="QD4" s="85"/>
      <c r="QE4" s="85"/>
      <c r="QF4" s="85"/>
      <c r="QG4" s="85"/>
      <c r="QH4" s="85"/>
      <c r="QI4" s="85"/>
      <c r="QJ4" s="85"/>
      <c r="QK4" s="85"/>
      <c r="QL4" s="85"/>
      <c r="QM4" s="85"/>
      <c r="QN4" s="85"/>
      <c r="QO4" s="85"/>
      <c r="QP4" s="85"/>
      <c r="QQ4" s="85"/>
      <c r="QR4" s="85"/>
      <c r="QS4" s="85"/>
      <c r="QT4" s="85"/>
      <c r="QU4" s="85"/>
      <c r="QV4" s="85"/>
      <c r="QW4" s="85"/>
      <c r="QX4" s="85"/>
      <c r="QY4" s="85"/>
      <c r="QZ4" s="85"/>
      <c r="RA4" s="85"/>
      <c r="RB4" s="85"/>
      <c r="RC4" s="85"/>
      <c r="RD4" s="85"/>
      <c r="RE4" s="85"/>
      <c r="RF4" s="85"/>
      <c r="RG4" s="85"/>
      <c r="RH4" s="85"/>
      <c r="RI4" s="85"/>
      <c r="RJ4" s="85"/>
      <c r="RK4" s="85"/>
      <c r="RL4" s="85"/>
      <c r="RM4" s="85"/>
      <c r="RN4" s="85"/>
      <c r="RO4" s="85"/>
      <c r="RP4" s="85"/>
      <c r="RQ4" s="85"/>
      <c r="RR4" s="85"/>
      <c r="RS4" s="85"/>
      <c r="RT4" s="85"/>
      <c r="RU4" s="85"/>
      <c r="RV4" s="85"/>
      <c r="RW4" s="85"/>
      <c r="RX4" s="85"/>
      <c r="RY4" s="85"/>
      <c r="RZ4" s="85"/>
      <c r="SA4" s="85"/>
      <c r="SB4" s="85"/>
      <c r="SC4" s="85"/>
      <c r="SD4" s="85"/>
      <c r="SE4" s="85"/>
      <c r="SF4" s="85"/>
      <c r="SG4" s="85"/>
      <c r="SH4" s="85"/>
      <c r="SI4" s="85"/>
      <c r="SJ4" s="85"/>
      <c r="SK4" s="85"/>
      <c r="SL4" s="85"/>
      <c r="SM4" s="85"/>
      <c r="SN4" s="85"/>
      <c r="SO4" s="85"/>
      <c r="SP4" s="85"/>
      <c r="SQ4" s="85"/>
      <c r="SR4" s="85"/>
      <c r="SS4" s="85"/>
      <c r="ST4" s="85"/>
      <c r="SU4" s="85"/>
      <c r="SV4" s="85"/>
      <c r="SW4" s="85"/>
      <c r="SX4" s="85"/>
      <c r="SY4" s="85"/>
      <c r="SZ4" s="85"/>
      <c r="TA4" s="85"/>
      <c r="TB4" s="85"/>
      <c r="TC4" s="85"/>
      <c r="TD4" s="85"/>
      <c r="TE4" s="85"/>
      <c r="TF4" s="85"/>
      <c r="TG4" s="85"/>
      <c r="TH4" s="85"/>
      <c r="TI4" s="85"/>
      <c r="TJ4" s="85"/>
      <c r="TK4" s="85"/>
      <c r="TL4" s="85"/>
      <c r="TM4" s="85"/>
      <c r="TN4" s="85"/>
      <c r="TO4" s="85"/>
      <c r="TP4" s="85"/>
      <c r="TQ4" s="85"/>
      <c r="TR4" s="85"/>
      <c r="TS4" s="85"/>
      <c r="TT4" s="85"/>
      <c r="TU4" s="85"/>
      <c r="TV4" s="85"/>
      <c r="TW4" s="85"/>
      <c r="TX4" s="85"/>
      <c r="TY4" s="85"/>
      <c r="TZ4" s="85"/>
      <c r="UA4" s="85"/>
      <c r="UB4" s="85"/>
      <c r="UC4" s="85"/>
      <c r="UD4" s="85"/>
      <c r="UE4" s="85"/>
      <c r="UF4" s="85"/>
      <c r="UG4" s="85"/>
      <c r="UH4" s="85"/>
      <c r="UI4" s="85"/>
      <c r="UJ4" s="85"/>
      <c r="UK4" s="85"/>
      <c r="UL4" s="85"/>
      <c r="UM4" s="85"/>
      <c r="UN4" s="85"/>
      <c r="UO4" s="85"/>
      <c r="UP4" s="85"/>
      <c r="UQ4" s="85"/>
      <c r="UR4" s="85"/>
      <c r="US4" s="85"/>
      <c r="UT4" s="85"/>
      <c r="UU4" s="85"/>
      <c r="UV4" s="85"/>
      <c r="UW4" s="85"/>
      <c r="UX4" s="85"/>
      <c r="UY4" s="85"/>
      <c r="UZ4" s="85"/>
      <c r="VA4" s="85"/>
      <c r="VB4" s="85"/>
      <c r="VC4" s="85"/>
      <c r="VD4" s="85"/>
      <c r="VE4" s="85"/>
      <c r="VF4" s="85"/>
      <c r="VG4" s="85"/>
      <c r="VH4" s="85"/>
      <c r="VI4" s="85"/>
      <c r="VJ4" s="85"/>
      <c r="VK4" s="85"/>
      <c r="VL4" s="85"/>
      <c r="VM4" s="85"/>
      <c r="VN4" s="85"/>
      <c r="VO4" s="85"/>
      <c r="VP4" s="85"/>
      <c r="VQ4" s="85"/>
      <c r="VR4" s="85"/>
      <c r="VS4" s="85"/>
      <c r="VT4" s="85"/>
      <c r="VU4" s="85"/>
      <c r="VV4" s="85"/>
      <c r="VW4" s="85"/>
      <c r="VX4" s="85"/>
      <c r="VY4" s="85"/>
      <c r="VZ4" s="85"/>
      <c r="WA4" s="85"/>
      <c r="WB4" s="85"/>
      <c r="WC4" s="85"/>
      <c r="WD4" s="85"/>
      <c r="WE4" s="85"/>
      <c r="WF4" s="85"/>
      <c r="WG4" s="85"/>
      <c r="WH4" s="85"/>
      <c r="WI4" s="85"/>
      <c r="WJ4" s="85"/>
      <c r="WK4" s="85"/>
      <c r="WL4" s="85"/>
      <c r="WM4" s="85"/>
      <c r="WN4" s="85"/>
      <c r="WO4" s="85"/>
      <c r="WP4" s="85"/>
      <c r="WQ4" s="85"/>
      <c r="WR4" s="85"/>
      <c r="WS4" s="85"/>
      <c r="WT4" s="85"/>
      <c r="WU4" s="85"/>
      <c r="WV4" s="85"/>
      <c r="WW4" s="85"/>
      <c r="WX4" s="85"/>
      <c r="WY4" s="85"/>
      <c r="WZ4" s="85"/>
      <c r="XA4" s="85"/>
      <c r="XB4" s="85"/>
      <c r="XC4" s="85"/>
      <c r="XD4" s="85"/>
      <c r="XE4" s="85"/>
      <c r="XF4" s="85"/>
      <c r="XG4" s="85"/>
      <c r="XH4" s="85"/>
      <c r="XI4" s="85"/>
      <c r="XJ4" s="85"/>
      <c r="XK4" s="85"/>
      <c r="XL4" s="85"/>
      <c r="XM4" s="85"/>
      <c r="XN4" s="85"/>
      <c r="XO4" s="85"/>
      <c r="XP4" s="85"/>
      <c r="XQ4" s="85"/>
      <c r="XR4" s="85"/>
      <c r="XS4" s="85"/>
      <c r="XT4" s="85"/>
      <c r="XU4" s="85"/>
      <c r="XV4" s="85"/>
      <c r="XW4" s="85"/>
    </row>
    <row r="5" spans="1:647" s="30" customFormat="1" ht="14.25" customHeight="1">
      <c r="A5" s="88"/>
      <c r="B5" s="89"/>
      <c r="C5" s="92"/>
      <c r="D5" s="92"/>
      <c r="E5" s="94"/>
      <c r="F5" s="92"/>
      <c r="G5" s="92"/>
      <c r="H5" s="92"/>
      <c r="I5" s="92"/>
      <c r="J5" s="95"/>
      <c r="K5" s="163"/>
      <c r="L5" s="163"/>
      <c r="M5" s="159"/>
      <c r="N5" s="159"/>
      <c r="O5" s="159"/>
      <c r="P5" s="159"/>
      <c r="Q5" s="95"/>
      <c r="R5" s="91"/>
      <c r="S5" s="101"/>
      <c r="T5" s="92"/>
      <c r="U5" s="95"/>
      <c r="V5" s="92"/>
      <c r="W5" s="92"/>
      <c r="X5" s="92"/>
      <c r="Y5" s="160"/>
      <c r="Z5" s="160"/>
      <c r="AA5" s="160"/>
      <c r="AB5" s="85"/>
      <c r="AC5" s="83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85"/>
      <c r="BU5" s="85"/>
      <c r="BV5" s="85"/>
      <c r="BW5" s="85"/>
      <c r="BX5" s="85"/>
      <c r="BY5" s="85"/>
      <c r="BZ5" s="85"/>
      <c r="CA5" s="85"/>
      <c r="CB5" s="85"/>
      <c r="CC5" s="85"/>
      <c r="CD5" s="85"/>
      <c r="CE5" s="85"/>
      <c r="CF5" s="85"/>
      <c r="CG5" s="85"/>
      <c r="CH5" s="85"/>
      <c r="CI5" s="85"/>
      <c r="CJ5" s="85"/>
      <c r="CK5" s="85"/>
      <c r="CL5" s="85"/>
      <c r="CM5" s="85"/>
      <c r="CN5" s="85"/>
      <c r="CO5" s="85"/>
      <c r="CP5" s="85"/>
      <c r="CQ5" s="85"/>
      <c r="CR5" s="85"/>
      <c r="CS5" s="85"/>
      <c r="CT5" s="85"/>
      <c r="CU5" s="85"/>
      <c r="CV5" s="85"/>
      <c r="CW5" s="85"/>
      <c r="CX5" s="85"/>
      <c r="CY5" s="85"/>
      <c r="CZ5" s="85"/>
      <c r="DA5" s="85"/>
      <c r="DB5" s="85"/>
      <c r="DC5" s="85"/>
      <c r="DD5" s="85"/>
      <c r="DE5" s="85"/>
      <c r="DF5" s="85"/>
      <c r="DG5" s="85"/>
      <c r="DH5" s="85"/>
      <c r="DI5" s="85"/>
      <c r="DJ5" s="85"/>
      <c r="DK5" s="85"/>
      <c r="DL5" s="85"/>
      <c r="DM5" s="85"/>
      <c r="DN5" s="85"/>
      <c r="DO5" s="85"/>
      <c r="DP5" s="85"/>
      <c r="DQ5" s="85"/>
      <c r="DR5" s="85"/>
      <c r="DS5" s="85"/>
      <c r="DT5" s="85"/>
      <c r="DU5" s="85"/>
      <c r="DV5" s="85"/>
      <c r="DW5" s="85"/>
      <c r="DX5" s="85"/>
      <c r="DY5" s="85"/>
      <c r="DZ5" s="85"/>
      <c r="EA5" s="85"/>
      <c r="EB5" s="85"/>
      <c r="EC5" s="85"/>
      <c r="ED5" s="85"/>
      <c r="EE5" s="85"/>
      <c r="EF5" s="85"/>
      <c r="EG5" s="85"/>
      <c r="EH5" s="85"/>
      <c r="EI5" s="85"/>
      <c r="EJ5" s="85"/>
      <c r="EK5" s="85"/>
      <c r="EL5" s="85"/>
      <c r="EM5" s="85"/>
      <c r="EN5" s="85"/>
      <c r="EO5" s="85"/>
      <c r="EP5" s="85"/>
      <c r="EQ5" s="85"/>
      <c r="ER5" s="85"/>
      <c r="ES5" s="85"/>
      <c r="ET5" s="85"/>
      <c r="EU5" s="85"/>
      <c r="EV5" s="85"/>
      <c r="EW5" s="85"/>
      <c r="EX5" s="85"/>
      <c r="EY5" s="85"/>
      <c r="EZ5" s="85"/>
      <c r="FA5" s="85"/>
      <c r="FB5" s="85"/>
      <c r="FC5" s="85"/>
      <c r="FD5" s="85"/>
      <c r="FE5" s="85"/>
      <c r="FF5" s="85"/>
      <c r="FG5" s="85"/>
      <c r="FH5" s="85"/>
      <c r="FI5" s="85"/>
      <c r="FJ5" s="85"/>
      <c r="FK5" s="85"/>
      <c r="FL5" s="85"/>
      <c r="FM5" s="85"/>
      <c r="FN5" s="85"/>
      <c r="FO5" s="85"/>
      <c r="FP5" s="85"/>
      <c r="FQ5" s="85"/>
      <c r="FR5" s="85"/>
      <c r="FS5" s="85"/>
      <c r="FT5" s="85"/>
      <c r="FU5" s="85"/>
      <c r="FV5" s="85"/>
      <c r="FW5" s="85"/>
      <c r="FX5" s="85"/>
      <c r="FY5" s="85"/>
      <c r="FZ5" s="85"/>
      <c r="GA5" s="85"/>
      <c r="GB5" s="85"/>
      <c r="GC5" s="85"/>
      <c r="GD5" s="85"/>
      <c r="GE5" s="85"/>
      <c r="GF5" s="85"/>
      <c r="GG5" s="85"/>
      <c r="GH5" s="85"/>
      <c r="GI5" s="85"/>
      <c r="GJ5" s="85"/>
      <c r="GK5" s="85"/>
      <c r="GL5" s="85"/>
      <c r="GM5" s="85"/>
      <c r="GN5" s="85"/>
      <c r="GO5" s="85"/>
      <c r="GP5" s="85"/>
      <c r="GQ5" s="85"/>
      <c r="GR5" s="85"/>
      <c r="GS5" s="85"/>
      <c r="GT5" s="85"/>
      <c r="GU5" s="85"/>
      <c r="GV5" s="85"/>
      <c r="GW5" s="85"/>
      <c r="GX5" s="85"/>
      <c r="GY5" s="85"/>
      <c r="GZ5" s="85"/>
      <c r="HA5" s="85"/>
      <c r="HB5" s="85"/>
      <c r="HC5" s="85"/>
      <c r="HD5" s="85"/>
      <c r="HE5" s="85"/>
      <c r="HF5" s="85"/>
      <c r="HG5" s="85"/>
      <c r="HH5" s="85"/>
      <c r="HI5" s="85"/>
      <c r="HJ5" s="85"/>
      <c r="HK5" s="85"/>
      <c r="HL5" s="85"/>
      <c r="HM5" s="85"/>
      <c r="HN5" s="85"/>
      <c r="HO5" s="85"/>
      <c r="HP5" s="85"/>
      <c r="HQ5" s="85"/>
      <c r="HR5" s="85"/>
      <c r="HS5" s="85"/>
      <c r="HT5" s="85"/>
      <c r="HU5" s="85"/>
      <c r="HV5" s="85"/>
      <c r="HW5" s="85"/>
      <c r="HX5" s="85"/>
      <c r="HY5" s="85"/>
      <c r="HZ5" s="85"/>
      <c r="IA5" s="85"/>
      <c r="IB5" s="85"/>
      <c r="IC5" s="85"/>
      <c r="ID5" s="85"/>
      <c r="IE5" s="85"/>
      <c r="IF5" s="85"/>
      <c r="IG5" s="85"/>
      <c r="IH5" s="85"/>
      <c r="II5" s="85"/>
      <c r="IJ5" s="85"/>
      <c r="IK5" s="85"/>
      <c r="IL5" s="85"/>
      <c r="IM5" s="85"/>
      <c r="IN5" s="85"/>
      <c r="IO5" s="85"/>
      <c r="IP5" s="85"/>
      <c r="IQ5" s="85"/>
      <c r="IR5" s="85"/>
      <c r="IS5" s="85"/>
      <c r="IT5" s="85"/>
      <c r="IU5" s="85"/>
      <c r="IV5" s="85"/>
      <c r="IW5" s="85"/>
      <c r="IX5" s="85"/>
      <c r="IY5" s="85"/>
      <c r="IZ5" s="85"/>
      <c r="JA5" s="85"/>
      <c r="JB5" s="85"/>
      <c r="JC5" s="85"/>
      <c r="JD5" s="85"/>
      <c r="JE5" s="85"/>
      <c r="JF5" s="85"/>
      <c r="JG5" s="85"/>
      <c r="JH5" s="85"/>
      <c r="JI5" s="85"/>
      <c r="JJ5" s="85"/>
      <c r="JK5" s="85"/>
      <c r="JL5" s="85"/>
      <c r="JM5" s="85"/>
      <c r="JN5" s="85"/>
      <c r="JO5" s="85"/>
      <c r="JP5" s="85"/>
      <c r="JQ5" s="85"/>
      <c r="JR5" s="85"/>
      <c r="JS5" s="85"/>
      <c r="JT5" s="85"/>
      <c r="JU5" s="85"/>
      <c r="JV5" s="85"/>
      <c r="JW5" s="85"/>
      <c r="JX5" s="85"/>
      <c r="JY5" s="85"/>
      <c r="JZ5" s="85"/>
      <c r="KA5" s="85"/>
      <c r="KB5" s="85"/>
      <c r="KC5" s="85"/>
      <c r="KD5" s="85"/>
      <c r="KE5" s="85"/>
      <c r="KF5" s="85"/>
      <c r="KG5" s="85"/>
      <c r="KH5" s="85"/>
      <c r="KI5" s="85"/>
      <c r="KJ5" s="85"/>
      <c r="KK5" s="85"/>
      <c r="KL5" s="85"/>
      <c r="KM5" s="85"/>
      <c r="KN5" s="85"/>
      <c r="KO5" s="85"/>
      <c r="KP5" s="85"/>
      <c r="KQ5" s="85"/>
      <c r="KR5" s="85"/>
      <c r="KS5" s="85"/>
      <c r="KT5" s="85"/>
      <c r="KU5" s="85"/>
      <c r="KV5" s="85"/>
      <c r="KW5" s="85"/>
      <c r="KX5" s="85"/>
      <c r="KY5" s="85"/>
      <c r="KZ5" s="85"/>
      <c r="LA5" s="85"/>
      <c r="LB5" s="85"/>
      <c r="LC5" s="85"/>
      <c r="LD5" s="85"/>
      <c r="LE5" s="85"/>
      <c r="LF5" s="85"/>
      <c r="LG5" s="85"/>
      <c r="LH5" s="85"/>
      <c r="LI5" s="85"/>
      <c r="LJ5" s="85"/>
      <c r="LK5" s="85"/>
      <c r="LL5" s="85"/>
      <c r="LM5" s="85"/>
      <c r="LN5" s="85"/>
      <c r="LO5" s="85"/>
      <c r="LP5" s="85"/>
      <c r="LQ5" s="85"/>
      <c r="LR5" s="85"/>
      <c r="LS5" s="85"/>
      <c r="LT5" s="85"/>
      <c r="LU5" s="85"/>
      <c r="LV5" s="85"/>
      <c r="LW5" s="85"/>
      <c r="LX5" s="85"/>
      <c r="LY5" s="85"/>
      <c r="LZ5" s="85"/>
      <c r="MA5" s="85"/>
      <c r="MB5" s="85"/>
      <c r="MC5" s="85"/>
      <c r="MD5" s="85"/>
      <c r="ME5" s="85"/>
      <c r="MF5" s="85"/>
      <c r="MG5" s="85"/>
      <c r="MH5" s="85"/>
      <c r="MI5" s="85"/>
      <c r="MJ5" s="85"/>
      <c r="MK5" s="85"/>
      <c r="ML5" s="85"/>
      <c r="MM5" s="85"/>
      <c r="MN5" s="85"/>
      <c r="MO5" s="85"/>
      <c r="MP5" s="85"/>
      <c r="MQ5" s="85"/>
      <c r="MR5" s="85"/>
      <c r="MS5" s="85"/>
      <c r="MT5" s="85"/>
      <c r="MU5" s="85"/>
      <c r="MV5" s="85"/>
      <c r="MW5" s="85"/>
      <c r="MX5" s="85"/>
      <c r="MY5" s="85"/>
      <c r="MZ5" s="85"/>
      <c r="NA5" s="85"/>
      <c r="NB5" s="85"/>
      <c r="NC5" s="85"/>
      <c r="ND5" s="85"/>
      <c r="NE5" s="85"/>
      <c r="NF5" s="85"/>
      <c r="NG5" s="85"/>
      <c r="NH5" s="85"/>
      <c r="NI5" s="85"/>
      <c r="NJ5" s="85"/>
      <c r="NK5" s="85"/>
      <c r="NL5" s="85"/>
      <c r="NM5" s="85"/>
      <c r="NN5" s="85"/>
      <c r="NO5" s="85"/>
      <c r="NP5" s="85"/>
      <c r="NQ5" s="85"/>
      <c r="NR5" s="85"/>
      <c r="NS5" s="85"/>
      <c r="NT5" s="85"/>
      <c r="NU5" s="85"/>
      <c r="NV5" s="85"/>
      <c r="NW5" s="85"/>
      <c r="NX5" s="85"/>
      <c r="NY5" s="85"/>
      <c r="NZ5" s="85"/>
      <c r="OA5" s="85"/>
      <c r="OB5" s="85"/>
      <c r="OC5" s="85"/>
      <c r="OD5" s="85"/>
      <c r="OE5" s="85"/>
      <c r="OF5" s="85"/>
      <c r="OG5" s="85"/>
      <c r="OH5" s="85"/>
      <c r="OI5" s="85"/>
      <c r="OJ5" s="85"/>
      <c r="OK5" s="85"/>
      <c r="OL5" s="85"/>
      <c r="OM5" s="85"/>
      <c r="ON5" s="85"/>
      <c r="OO5" s="85"/>
      <c r="OP5" s="85"/>
      <c r="OQ5" s="85"/>
      <c r="OR5" s="85"/>
      <c r="OS5" s="85"/>
      <c r="OT5" s="85"/>
      <c r="OU5" s="85"/>
      <c r="OV5" s="85"/>
      <c r="OW5" s="85"/>
      <c r="OX5" s="85"/>
      <c r="OY5" s="85"/>
      <c r="OZ5" s="85"/>
      <c r="PA5" s="85"/>
      <c r="PB5" s="85"/>
      <c r="PC5" s="85"/>
      <c r="PD5" s="85"/>
      <c r="PE5" s="85"/>
      <c r="PF5" s="85"/>
      <c r="PG5" s="85"/>
      <c r="PH5" s="85"/>
      <c r="PI5" s="85"/>
      <c r="PJ5" s="85"/>
      <c r="PK5" s="85"/>
      <c r="PL5" s="85"/>
      <c r="PM5" s="85"/>
      <c r="PN5" s="85"/>
      <c r="PO5" s="85"/>
      <c r="PP5" s="85"/>
      <c r="PQ5" s="85"/>
      <c r="PR5" s="85"/>
      <c r="PS5" s="85"/>
      <c r="PT5" s="85"/>
      <c r="PU5" s="85"/>
      <c r="PV5" s="85"/>
      <c r="PW5" s="85"/>
      <c r="PX5" s="85"/>
      <c r="PY5" s="85"/>
      <c r="PZ5" s="85"/>
      <c r="QA5" s="85"/>
      <c r="QB5" s="85"/>
      <c r="QC5" s="85"/>
      <c r="QD5" s="85"/>
      <c r="QE5" s="85"/>
      <c r="QF5" s="85"/>
      <c r="QG5" s="85"/>
      <c r="QH5" s="85"/>
      <c r="QI5" s="85"/>
      <c r="QJ5" s="85"/>
      <c r="QK5" s="85"/>
      <c r="QL5" s="85"/>
      <c r="QM5" s="85"/>
      <c r="QN5" s="85"/>
      <c r="QO5" s="85"/>
      <c r="QP5" s="85"/>
      <c r="QQ5" s="85"/>
      <c r="QR5" s="85"/>
      <c r="QS5" s="85"/>
      <c r="QT5" s="85"/>
      <c r="QU5" s="85"/>
      <c r="QV5" s="85"/>
      <c r="QW5" s="85"/>
      <c r="QX5" s="85"/>
      <c r="QY5" s="85"/>
      <c r="QZ5" s="85"/>
      <c r="RA5" s="85"/>
      <c r="RB5" s="85"/>
      <c r="RC5" s="85"/>
      <c r="RD5" s="85"/>
      <c r="RE5" s="85"/>
      <c r="RF5" s="85"/>
      <c r="RG5" s="85"/>
      <c r="RH5" s="85"/>
      <c r="RI5" s="85"/>
      <c r="RJ5" s="85"/>
      <c r="RK5" s="85"/>
      <c r="RL5" s="85"/>
      <c r="RM5" s="85"/>
      <c r="RN5" s="85"/>
      <c r="RO5" s="85"/>
      <c r="RP5" s="85"/>
      <c r="RQ5" s="85"/>
      <c r="RR5" s="85"/>
      <c r="RS5" s="85"/>
      <c r="RT5" s="85"/>
      <c r="RU5" s="85"/>
      <c r="RV5" s="85"/>
      <c r="RW5" s="85"/>
      <c r="RX5" s="85"/>
      <c r="RY5" s="85"/>
      <c r="RZ5" s="85"/>
      <c r="SA5" s="85"/>
      <c r="SB5" s="85"/>
      <c r="SC5" s="85"/>
      <c r="SD5" s="85"/>
      <c r="SE5" s="85"/>
      <c r="SF5" s="85"/>
      <c r="SG5" s="85"/>
      <c r="SH5" s="85"/>
      <c r="SI5" s="85"/>
      <c r="SJ5" s="85"/>
      <c r="SK5" s="85"/>
      <c r="SL5" s="85"/>
      <c r="SM5" s="85"/>
      <c r="SN5" s="85"/>
      <c r="SO5" s="85"/>
      <c r="SP5" s="85"/>
      <c r="SQ5" s="85"/>
      <c r="SR5" s="85"/>
      <c r="SS5" s="85"/>
      <c r="ST5" s="85"/>
      <c r="SU5" s="85"/>
      <c r="SV5" s="85"/>
      <c r="SW5" s="85"/>
      <c r="SX5" s="85"/>
      <c r="SY5" s="85"/>
      <c r="SZ5" s="85"/>
      <c r="TA5" s="85"/>
      <c r="TB5" s="85"/>
      <c r="TC5" s="85"/>
      <c r="TD5" s="85"/>
      <c r="TE5" s="85"/>
      <c r="TF5" s="85"/>
      <c r="TG5" s="85"/>
      <c r="TH5" s="85"/>
      <c r="TI5" s="85"/>
      <c r="TJ5" s="85"/>
      <c r="TK5" s="85"/>
      <c r="TL5" s="85"/>
      <c r="TM5" s="85"/>
      <c r="TN5" s="85"/>
      <c r="TO5" s="85"/>
      <c r="TP5" s="85"/>
      <c r="TQ5" s="85"/>
      <c r="TR5" s="85"/>
      <c r="TS5" s="85"/>
      <c r="TT5" s="85"/>
      <c r="TU5" s="85"/>
      <c r="TV5" s="85"/>
      <c r="TW5" s="85"/>
      <c r="TX5" s="85"/>
      <c r="TY5" s="85"/>
      <c r="TZ5" s="85"/>
      <c r="UA5" s="85"/>
      <c r="UB5" s="85"/>
      <c r="UC5" s="85"/>
      <c r="UD5" s="85"/>
      <c r="UE5" s="85"/>
      <c r="UF5" s="85"/>
      <c r="UG5" s="85"/>
      <c r="UH5" s="85"/>
      <c r="UI5" s="85"/>
      <c r="UJ5" s="85"/>
      <c r="UK5" s="85"/>
      <c r="UL5" s="85"/>
      <c r="UM5" s="85"/>
      <c r="UN5" s="85"/>
      <c r="UO5" s="85"/>
      <c r="UP5" s="85"/>
      <c r="UQ5" s="85"/>
      <c r="UR5" s="85"/>
      <c r="US5" s="85"/>
      <c r="UT5" s="85"/>
      <c r="UU5" s="85"/>
      <c r="UV5" s="85"/>
      <c r="UW5" s="85"/>
      <c r="UX5" s="85"/>
      <c r="UY5" s="85"/>
      <c r="UZ5" s="85"/>
      <c r="VA5" s="85"/>
      <c r="VB5" s="85"/>
      <c r="VC5" s="85"/>
      <c r="VD5" s="85"/>
      <c r="VE5" s="85"/>
      <c r="VF5" s="85"/>
      <c r="VG5" s="85"/>
      <c r="VH5" s="85"/>
      <c r="VI5" s="85"/>
      <c r="VJ5" s="85"/>
      <c r="VK5" s="85"/>
      <c r="VL5" s="85"/>
      <c r="VM5" s="85"/>
      <c r="VN5" s="85"/>
      <c r="VO5" s="85"/>
      <c r="VP5" s="85"/>
      <c r="VQ5" s="85"/>
      <c r="VR5" s="85"/>
      <c r="VS5" s="85"/>
      <c r="VT5" s="85"/>
      <c r="VU5" s="85"/>
      <c r="VV5" s="85"/>
      <c r="VW5" s="85"/>
      <c r="VX5" s="85"/>
      <c r="VY5" s="85"/>
      <c r="VZ5" s="85"/>
      <c r="WA5" s="85"/>
      <c r="WB5" s="85"/>
      <c r="WC5" s="85"/>
      <c r="WD5" s="85"/>
      <c r="WE5" s="85"/>
      <c r="WF5" s="85"/>
      <c r="WG5" s="85"/>
      <c r="WH5" s="85"/>
      <c r="WI5" s="85"/>
      <c r="WJ5" s="85"/>
      <c r="WK5" s="85"/>
      <c r="WL5" s="85"/>
      <c r="WM5" s="85"/>
      <c r="WN5" s="85"/>
      <c r="WO5" s="85"/>
      <c r="WP5" s="85"/>
      <c r="WQ5" s="85"/>
      <c r="WR5" s="85"/>
      <c r="WS5" s="85"/>
      <c r="WT5" s="85"/>
      <c r="WU5" s="85"/>
      <c r="WV5" s="85"/>
      <c r="WW5" s="85"/>
      <c r="WX5" s="85"/>
      <c r="WY5" s="85"/>
      <c r="WZ5" s="85"/>
      <c r="XA5" s="85"/>
      <c r="XB5" s="85"/>
      <c r="XC5" s="85"/>
      <c r="XD5" s="85"/>
      <c r="XE5" s="85"/>
      <c r="XF5" s="85"/>
      <c r="XG5" s="85"/>
      <c r="XH5" s="85"/>
      <c r="XI5" s="85"/>
      <c r="XJ5" s="85"/>
      <c r="XK5" s="85"/>
      <c r="XL5" s="85"/>
      <c r="XM5" s="85"/>
      <c r="XN5" s="85"/>
      <c r="XO5" s="85"/>
      <c r="XP5" s="85"/>
      <c r="XQ5" s="85"/>
      <c r="XR5" s="85"/>
      <c r="XS5" s="85"/>
      <c r="XT5" s="85"/>
      <c r="XU5" s="85"/>
      <c r="XV5" s="85"/>
      <c r="XW5" s="85"/>
    </row>
    <row r="6" spans="1:647" s="30" customFormat="1" ht="14.25" customHeight="1">
      <c r="A6" s="88"/>
      <c r="B6" s="89"/>
      <c r="C6" s="92"/>
      <c r="D6" s="92"/>
      <c r="E6" s="94"/>
      <c r="F6" s="92"/>
      <c r="G6" s="92"/>
      <c r="H6" s="92"/>
      <c r="I6" s="92"/>
      <c r="J6" s="95"/>
      <c r="K6" s="163"/>
      <c r="L6" s="163"/>
      <c r="M6" s="159"/>
      <c r="N6" s="159"/>
      <c r="O6" s="159"/>
      <c r="P6" s="159"/>
      <c r="Q6" s="95"/>
      <c r="R6" s="91"/>
      <c r="S6" s="101"/>
      <c r="T6" s="92"/>
      <c r="U6" s="95"/>
      <c r="V6" s="92"/>
      <c r="W6" s="92"/>
      <c r="X6" s="92"/>
      <c r="Y6" s="160"/>
      <c r="Z6" s="160"/>
      <c r="AA6" s="160"/>
      <c r="AB6" s="85"/>
      <c r="AC6" s="83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85"/>
      <c r="BU6" s="85"/>
      <c r="BV6" s="85"/>
      <c r="BW6" s="85"/>
      <c r="BX6" s="85"/>
      <c r="BY6" s="85"/>
      <c r="BZ6" s="85"/>
      <c r="CA6" s="85"/>
      <c r="CB6" s="85"/>
      <c r="CC6" s="85"/>
      <c r="CD6" s="85"/>
      <c r="CE6" s="85"/>
      <c r="CF6" s="85"/>
      <c r="CG6" s="85"/>
      <c r="CH6" s="85"/>
      <c r="CI6" s="85"/>
      <c r="CJ6" s="85"/>
      <c r="CK6" s="85"/>
      <c r="CL6" s="85"/>
      <c r="CM6" s="85"/>
      <c r="CN6" s="85"/>
      <c r="CO6" s="85"/>
      <c r="CP6" s="85"/>
      <c r="CQ6" s="85"/>
      <c r="CR6" s="85"/>
      <c r="CS6" s="85"/>
      <c r="CT6" s="85"/>
      <c r="CU6" s="85"/>
      <c r="CV6" s="85"/>
      <c r="CW6" s="85"/>
      <c r="CX6" s="85"/>
      <c r="CY6" s="85"/>
      <c r="CZ6" s="85"/>
      <c r="DA6" s="85"/>
      <c r="DB6" s="85"/>
      <c r="DC6" s="85"/>
      <c r="DD6" s="85"/>
      <c r="DE6" s="85"/>
      <c r="DF6" s="85"/>
      <c r="DG6" s="85"/>
      <c r="DH6" s="85"/>
      <c r="DI6" s="85"/>
      <c r="DJ6" s="85"/>
      <c r="DK6" s="85"/>
      <c r="DL6" s="85"/>
      <c r="DM6" s="85"/>
      <c r="DN6" s="85"/>
      <c r="DO6" s="85"/>
      <c r="DP6" s="85"/>
      <c r="DQ6" s="85"/>
      <c r="DR6" s="85"/>
      <c r="DS6" s="85"/>
      <c r="DT6" s="85"/>
      <c r="DU6" s="85"/>
      <c r="DV6" s="85"/>
      <c r="DW6" s="85"/>
      <c r="DX6" s="85"/>
      <c r="DY6" s="85"/>
      <c r="DZ6" s="85"/>
      <c r="EA6" s="85"/>
      <c r="EB6" s="85"/>
      <c r="EC6" s="85"/>
      <c r="ED6" s="85"/>
      <c r="EE6" s="85"/>
      <c r="EF6" s="85"/>
      <c r="EG6" s="85"/>
      <c r="EH6" s="85"/>
      <c r="EI6" s="85"/>
      <c r="EJ6" s="85"/>
      <c r="EK6" s="85"/>
      <c r="EL6" s="85"/>
      <c r="EM6" s="85"/>
      <c r="EN6" s="85"/>
      <c r="EO6" s="85"/>
      <c r="EP6" s="85"/>
      <c r="EQ6" s="85"/>
      <c r="ER6" s="85"/>
      <c r="ES6" s="85"/>
      <c r="ET6" s="85"/>
      <c r="EU6" s="85"/>
      <c r="EV6" s="85"/>
      <c r="EW6" s="85"/>
      <c r="EX6" s="85"/>
      <c r="EY6" s="85"/>
      <c r="EZ6" s="85"/>
      <c r="FA6" s="85"/>
      <c r="FB6" s="85"/>
      <c r="FC6" s="85"/>
      <c r="FD6" s="85"/>
      <c r="FE6" s="85"/>
      <c r="FF6" s="85"/>
      <c r="FG6" s="85"/>
      <c r="FH6" s="85"/>
      <c r="FI6" s="85"/>
      <c r="FJ6" s="85"/>
      <c r="FK6" s="85"/>
      <c r="FL6" s="85"/>
      <c r="FM6" s="85"/>
      <c r="FN6" s="85"/>
      <c r="FO6" s="85"/>
      <c r="FP6" s="85"/>
      <c r="FQ6" s="85"/>
      <c r="FR6" s="85"/>
      <c r="FS6" s="85"/>
      <c r="FT6" s="85"/>
      <c r="FU6" s="85"/>
      <c r="FV6" s="85"/>
      <c r="FW6" s="85"/>
      <c r="FX6" s="85"/>
      <c r="FY6" s="85"/>
      <c r="FZ6" s="85"/>
      <c r="GA6" s="85"/>
      <c r="GB6" s="85"/>
      <c r="GC6" s="85"/>
      <c r="GD6" s="85"/>
      <c r="GE6" s="85"/>
      <c r="GF6" s="85"/>
      <c r="GG6" s="85"/>
      <c r="GH6" s="85"/>
      <c r="GI6" s="85"/>
      <c r="GJ6" s="85"/>
      <c r="GK6" s="85"/>
      <c r="GL6" s="85"/>
      <c r="GM6" s="85"/>
      <c r="GN6" s="85"/>
      <c r="GO6" s="85"/>
      <c r="GP6" s="85"/>
      <c r="GQ6" s="85"/>
      <c r="GR6" s="85"/>
      <c r="GS6" s="85"/>
      <c r="GT6" s="85"/>
      <c r="GU6" s="85"/>
      <c r="GV6" s="85"/>
      <c r="GW6" s="85"/>
      <c r="GX6" s="85"/>
      <c r="GY6" s="85"/>
      <c r="GZ6" s="85"/>
      <c r="HA6" s="85"/>
      <c r="HB6" s="85"/>
      <c r="HC6" s="85"/>
      <c r="HD6" s="85"/>
      <c r="HE6" s="85"/>
      <c r="HF6" s="85"/>
      <c r="HG6" s="85"/>
      <c r="HH6" s="85"/>
      <c r="HI6" s="85"/>
      <c r="HJ6" s="85"/>
      <c r="HK6" s="85"/>
      <c r="HL6" s="85"/>
      <c r="HM6" s="85"/>
      <c r="HN6" s="85"/>
      <c r="HO6" s="85"/>
      <c r="HP6" s="85"/>
      <c r="HQ6" s="85"/>
      <c r="HR6" s="85"/>
      <c r="HS6" s="85"/>
      <c r="HT6" s="85"/>
      <c r="HU6" s="85"/>
      <c r="HV6" s="85"/>
      <c r="HW6" s="85"/>
      <c r="HX6" s="85"/>
      <c r="HY6" s="85"/>
      <c r="HZ6" s="85"/>
      <c r="IA6" s="85"/>
      <c r="IB6" s="85"/>
      <c r="IC6" s="85"/>
      <c r="ID6" s="85"/>
      <c r="IE6" s="85"/>
      <c r="IF6" s="85"/>
      <c r="IG6" s="85"/>
      <c r="IH6" s="85"/>
      <c r="II6" s="85"/>
      <c r="IJ6" s="85"/>
      <c r="IK6" s="85"/>
      <c r="IL6" s="85"/>
      <c r="IM6" s="85"/>
      <c r="IN6" s="85"/>
      <c r="IO6" s="85"/>
      <c r="IP6" s="85"/>
      <c r="IQ6" s="85"/>
      <c r="IR6" s="85"/>
      <c r="IS6" s="85"/>
      <c r="IT6" s="85"/>
      <c r="IU6" s="85"/>
      <c r="IV6" s="85"/>
      <c r="IW6" s="85"/>
      <c r="IX6" s="85"/>
      <c r="IY6" s="85"/>
      <c r="IZ6" s="85"/>
      <c r="JA6" s="85"/>
      <c r="JB6" s="85"/>
      <c r="JC6" s="85"/>
      <c r="JD6" s="85"/>
      <c r="JE6" s="85"/>
      <c r="JF6" s="85"/>
      <c r="JG6" s="85"/>
      <c r="JH6" s="85"/>
      <c r="JI6" s="85"/>
      <c r="JJ6" s="85"/>
      <c r="JK6" s="85"/>
      <c r="JL6" s="85"/>
      <c r="JM6" s="85"/>
      <c r="JN6" s="85"/>
      <c r="JO6" s="85"/>
      <c r="JP6" s="85"/>
      <c r="JQ6" s="85"/>
      <c r="JR6" s="85"/>
      <c r="JS6" s="85"/>
      <c r="JT6" s="85"/>
      <c r="JU6" s="85"/>
      <c r="JV6" s="85"/>
      <c r="JW6" s="85"/>
      <c r="JX6" s="85"/>
      <c r="JY6" s="85"/>
      <c r="JZ6" s="85"/>
      <c r="KA6" s="85"/>
      <c r="KB6" s="85"/>
      <c r="KC6" s="85"/>
      <c r="KD6" s="85"/>
      <c r="KE6" s="85"/>
      <c r="KF6" s="85"/>
      <c r="KG6" s="85"/>
      <c r="KH6" s="85"/>
      <c r="KI6" s="85"/>
      <c r="KJ6" s="85"/>
      <c r="KK6" s="85"/>
      <c r="KL6" s="85"/>
      <c r="KM6" s="85"/>
      <c r="KN6" s="85"/>
      <c r="KO6" s="85"/>
      <c r="KP6" s="85"/>
      <c r="KQ6" s="85"/>
      <c r="KR6" s="85"/>
      <c r="KS6" s="85"/>
      <c r="KT6" s="85"/>
      <c r="KU6" s="85"/>
      <c r="KV6" s="85"/>
      <c r="KW6" s="85"/>
      <c r="KX6" s="85"/>
      <c r="KY6" s="85"/>
      <c r="KZ6" s="85"/>
      <c r="LA6" s="85"/>
      <c r="LB6" s="85"/>
      <c r="LC6" s="85"/>
      <c r="LD6" s="85"/>
      <c r="LE6" s="85"/>
      <c r="LF6" s="85"/>
      <c r="LG6" s="85"/>
      <c r="LH6" s="85"/>
      <c r="LI6" s="85"/>
      <c r="LJ6" s="85"/>
      <c r="LK6" s="85"/>
      <c r="LL6" s="85"/>
      <c r="LM6" s="85"/>
      <c r="LN6" s="85"/>
      <c r="LO6" s="85"/>
      <c r="LP6" s="85"/>
      <c r="LQ6" s="85"/>
      <c r="LR6" s="85"/>
      <c r="LS6" s="85"/>
      <c r="LT6" s="85"/>
      <c r="LU6" s="85"/>
      <c r="LV6" s="85"/>
      <c r="LW6" s="85"/>
      <c r="LX6" s="85"/>
      <c r="LY6" s="85"/>
      <c r="LZ6" s="85"/>
      <c r="MA6" s="85"/>
      <c r="MB6" s="85"/>
      <c r="MC6" s="85"/>
      <c r="MD6" s="85"/>
      <c r="ME6" s="85"/>
      <c r="MF6" s="85"/>
      <c r="MG6" s="85"/>
      <c r="MH6" s="85"/>
      <c r="MI6" s="85"/>
      <c r="MJ6" s="85"/>
      <c r="MK6" s="85"/>
      <c r="ML6" s="85"/>
      <c r="MM6" s="85"/>
      <c r="MN6" s="85"/>
      <c r="MO6" s="85"/>
      <c r="MP6" s="85"/>
      <c r="MQ6" s="85"/>
      <c r="MR6" s="85"/>
      <c r="MS6" s="85"/>
      <c r="MT6" s="85"/>
      <c r="MU6" s="85"/>
      <c r="MV6" s="85"/>
      <c r="MW6" s="85"/>
      <c r="MX6" s="85"/>
      <c r="MY6" s="85"/>
      <c r="MZ6" s="85"/>
      <c r="NA6" s="85"/>
      <c r="NB6" s="85"/>
      <c r="NC6" s="85"/>
      <c r="ND6" s="85"/>
      <c r="NE6" s="85"/>
      <c r="NF6" s="85"/>
      <c r="NG6" s="85"/>
      <c r="NH6" s="85"/>
      <c r="NI6" s="85"/>
      <c r="NJ6" s="85"/>
      <c r="NK6" s="85"/>
      <c r="NL6" s="85"/>
      <c r="NM6" s="85"/>
      <c r="NN6" s="85"/>
      <c r="NO6" s="85"/>
      <c r="NP6" s="85"/>
      <c r="NQ6" s="85"/>
      <c r="NR6" s="85"/>
      <c r="NS6" s="85"/>
      <c r="NT6" s="85"/>
      <c r="NU6" s="85"/>
      <c r="NV6" s="85"/>
      <c r="NW6" s="85"/>
      <c r="NX6" s="85"/>
      <c r="NY6" s="85"/>
      <c r="NZ6" s="85"/>
      <c r="OA6" s="85"/>
      <c r="OB6" s="85"/>
      <c r="OC6" s="85"/>
      <c r="OD6" s="85"/>
      <c r="OE6" s="85"/>
      <c r="OF6" s="85"/>
      <c r="OG6" s="85"/>
      <c r="OH6" s="85"/>
      <c r="OI6" s="85"/>
      <c r="OJ6" s="85"/>
      <c r="OK6" s="85"/>
      <c r="OL6" s="85"/>
      <c r="OM6" s="85"/>
      <c r="ON6" s="85"/>
      <c r="OO6" s="85"/>
      <c r="OP6" s="85"/>
      <c r="OQ6" s="85"/>
      <c r="OR6" s="85"/>
      <c r="OS6" s="85"/>
      <c r="OT6" s="85"/>
      <c r="OU6" s="85"/>
      <c r="OV6" s="85"/>
      <c r="OW6" s="85"/>
      <c r="OX6" s="85"/>
      <c r="OY6" s="85"/>
      <c r="OZ6" s="85"/>
      <c r="PA6" s="85"/>
      <c r="PB6" s="85"/>
      <c r="PC6" s="85"/>
      <c r="PD6" s="85"/>
      <c r="PE6" s="85"/>
      <c r="PF6" s="85"/>
      <c r="PG6" s="85"/>
      <c r="PH6" s="85"/>
      <c r="PI6" s="85"/>
      <c r="PJ6" s="85"/>
      <c r="PK6" s="85"/>
      <c r="PL6" s="85"/>
      <c r="PM6" s="85"/>
      <c r="PN6" s="85"/>
      <c r="PO6" s="85"/>
      <c r="PP6" s="85"/>
      <c r="PQ6" s="85"/>
      <c r="PR6" s="85"/>
      <c r="PS6" s="85"/>
      <c r="PT6" s="85"/>
      <c r="PU6" s="85"/>
      <c r="PV6" s="85"/>
      <c r="PW6" s="85"/>
      <c r="PX6" s="85"/>
      <c r="PY6" s="85"/>
      <c r="PZ6" s="85"/>
      <c r="QA6" s="85"/>
      <c r="QB6" s="85"/>
      <c r="QC6" s="85"/>
      <c r="QD6" s="85"/>
      <c r="QE6" s="85"/>
      <c r="QF6" s="85"/>
      <c r="QG6" s="85"/>
      <c r="QH6" s="85"/>
      <c r="QI6" s="85"/>
      <c r="QJ6" s="85"/>
      <c r="QK6" s="85"/>
      <c r="QL6" s="85"/>
      <c r="QM6" s="85"/>
      <c r="QN6" s="85"/>
      <c r="QO6" s="85"/>
      <c r="QP6" s="85"/>
      <c r="QQ6" s="85"/>
      <c r="QR6" s="85"/>
      <c r="QS6" s="85"/>
      <c r="QT6" s="85"/>
      <c r="QU6" s="85"/>
      <c r="QV6" s="85"/>
      <c r="QW6" s="85"/>
      <c r="QX6" s="85"/>
      <c r="QY6" s="85"/>
      <c r="QZ6" s="85"/>
      <c r="RA6" s="85"/>
      <c r="RB6" s="85"/>
      <c r="RC6" s="85"/>
      <c r="RD6" s="85"/>
      <c r="RE6" s="85"/>
      <c r="RF6" s="85"/>
      <c r="RG6" s="85"/>
      <c r="RH6" s="85"/>
      <c r="RI6" s="85"/>
      <c r="RJ6" s="85"/>
      <c r="RK6" s="85"/>
      <c r="RL6" s="85"/>
      <c r="RM6" s="85"/>
      <c r="RN6" s="85"/>
      <c r="RO6" s="85"/>
      <c r="RP6" s="85"/>
      <c r="RQ6" s="85"/>
      <c r="RR6" s="85"/>
      <c r="RS6" s="85"/>
      <c r="RT6" s="85"/>
      <c r="RU6" s="85"/>
      <c r="RV6" s="85"/>
      <c r="RW6" s="85"/>
      <c r="RX6" s="85"/>
      <c r="RY6" s="85"/>
      <c r="RZ6" s="85"/>
      <c r="SA6" s="85"/>
      <c r="SB6" s="85"/>
      <c r="SC6" s="85"/>
      <c r="SD6" s="85"/>
      <c r="SE6" s="85"/>
      <c r="SF6" s="85"/>
      <c r="SG6" s="85"/>
      <c r="SH6" s="85"/>
      <c r="SI6" s="85"/>
      <c r="SJ6" s="85"/>
      <c r="SK6" s="85"/>
      <c r="SL6" s="85"/>
      <c r="SM6" s="85"/>
      <c r="SN6" s="85"/>
      <c r="SO6" s="85"/>
      <c r="SP6" s="85"/>
      <c r="SQ6" s="85"/>
      <c r="SR6" s="85"/>
      <c r="SS6" s="85"/>
      <c r="ST6" s="85"/>
      <c r="SU6" s="85"/>
      <c r="SV6" s="85"/>
      <c r="SW6" s="85"/>
      <c r="SX6" s="85"/>
      <c r="SY6" s="85"/>
      <c r="SZ6" s="85"/>
      <c r="TA6" s="85"/>
      <c r="TB6" s="85"/>
      <c r="TC6" s="85"/>
      <c r="TD6" s="85"/>
      <c r="TE6" s="85"/>
      <c r="TF6" s="85"/>
      <c r="TG6" s="85"/>
      <c r="TH6" s="85"/>
      <c r="TI6" s="85"/>
      <c r="TJ6" s="85"/>
      <c r="TK6" s="85"/>
      <c r="TL6" s="85"/>
      <c r="TM6" s="85"/>
      <c r="TN6" s="85"/>
      <c r="TO6" s="85"/>
      <c r="TP6" s="85"/>
      <c r="TQ6" s="85"/>
      <c r="TR6" s="85"/>
      <c r="TS6" s="85"/>
      <c r="TT6" s="85"/>
      <c r="TU6" s="85"/>
      <c r="TV6" s="85"/>
      <c r="TW6" s="85"/>
      <c r="TX6" s="85"/>
      <c r="TY6" s="85"/>
      <c r="TZ6" s="85"/>
      <c r="UA6" s="85"/>
      <c r="UB6" s="85"/>
      <c r="UC6" s="85"/>
      <c r="UD6" s="85"/>
      <c r="UE6" s="85"/>
      <c r="UF6" s="85"/>
      <c r="UG6" s="85"/>
      <c r="UH6" s="85"/>
      <c r="UI6" s="85"/>
      <c r="UJ6" s="85"/>
      <c r="UK6" s="85"/>
      <c r="UL6" s="85"/>
      <c r="UM6" s="85"/>
      <c r="UN6" s="85"/>
      <c r="UO6" s="85"/>
      <c r="UP6" s="85"/>
      <c r="UQ6" s="85"/>
      <c r="UR6" s="85"/>
      <c r="US6" s="85"/>
      <c r="UT6" s="85"/>
      <c r="UU6" s="85"/>
      <c r="UV6" s="85"/>
      <c r="UW6" s="85"/>
      <c r="UX6" s="85"/>
      <c r="UY6" s="85"/>
      <c r="UZ6" s="85"/>
      <c r="VA6" s="85"/>
      <c r="VB6" s="85"/>
      <c r="VC6" s="85"/>
      <c r="VD6" s="85"/>
      <c r="VE6" s="85"/>
      <c r="VF6" s="85"/>
      <c r="VG6" s="85"/>
      <c r="VH6" s="85"/>
      <c r="VI6" s="85"/>
      <c r="VJ6" s="85"/>
      <c r="VK6" s="85"/>
      <c r="VL6" s="85"/>
      <c r="VM6" s="85"/>
      <c r="VN6" s="85"/>
      <c r="VO6" s="85"/>
      <c r="VP6" s="85"/>
      <c r="VQ6" s="85"/>
      <c r="VR6" s="85"/>
      <c r="VS6" s="85"/>
      <c r="VT6" s="85"/>
      <c r="VU6" s="85"/>
      <c r="VV6" s="85"/>
      <c r="VW6" s="85"/>
      <c r="VX6" s="85"/>
      <c r="VY6" s="85"/>
      <c r="VZ6" s="85"/>
      <c r="WA6" s="85"/>
      <c r="WB6" s="85"/>
      <c r="WC6" s="85"/>
      <c r="WD6" s="85"/>
      <c r="WE6" s="85"/>
      <c r="WF6" s="85"/>
      <c r="WG6" s="85"/>
      <c r="WH6" s="85"/>
      <c r="WI6" s="85"/>
      <c r="WJ6" s="85"/>
      <c r="WK6" s="85"/>
      <c r="WL6" s="85"/>
      <c r="WM6" s="85"/>
      <c r="WN6" s="85"/>
      <c r="WO6" s="85"/>
      <c r="WP6" s="85"/>
      <c r="WQ6" s="85"/>
      <c r="WR6" s="85"/>
      <c r="WS6" s="85"/>
      <c r="WT6" s="85"/>
      <c r="WU6" s="85"/>
      <c r="WV6" s="85"/>
      <c r="WW6" s="85"/>
      <c r="WX6" s="85"/>
      <c r="WY6" s="85"/>
      <c r="WZ6" s="85"/>
      <c r="XA6" s="85"/>
      <c r="XB6" s="85"/>
      <c r="XC6" s="85"/>
      <c r="XD6" s="85"/>
      <c r="XE6" s="85"/>
      <c r="XF6" s="85"/>
      <c r="XG6" s="85"/>
      <c r="XH6" s="85"/>
      <c r="XI6" s="85"/>
      <c r="XJ6" s="85"/>
      <c r="XK6" s="85"/>
      <c r="XL6" s="85"/>
      <c r="XM6" s="85"/>
      <c r="XN6" s="85"/>
      <c r="XO6" s="85"/>
      <c r="XP6" s="85"/>
      <c r="XQ6" s="85"/>
      <c r="XR6" s="85"/>
      <c r="XS6" s="85"/>
      <c r="XT6" s="85"/>
      <c r="XU6" s="85"/>
      <c r="XV6" s="85"/>
      <c r="XW6" s="85"/>
    </row>
    <row r="7" spans="1:647" s="30" customFormat="1" ht="14.25" customHeight="1">
      <c r="A7" s="88"/>
      <c r="B7" s="89"/>
      <c r="C7" s="92"/>
      <c r="D7" s="92"/>
      <c r="E7" s="94"/>
      <c r="F7" s="92"/>
      <c r="G7" s="92"/>
      <c r="H7" s="92"/>
      <c r="I7" s="92"/>
      <c r="J7" s="95"/>
      <c r="K7" s="163"/>
      <c r="L7" s="163"/>
      <c r="M7" s="159"/>
      <c r="N7" s="159"/>
      <c r="O7" s="159"/>
      <c r="P7" s="159"/>
      <c r="Q7" s="95"/>
      <c r="R7" s="91"/>
      <c r="S7" s="101"/>
      <c r="T7" s="92"/>
      <c r="U7" s="95"/>
      <c r="V7" s="92"/>
      <c r="W7" s="92"/>
      <c r="X7" s="92"/>
      <c r="Y7" s="160"/>
      <c r="Z7" s="160"/>
      <c r="AA7" s="160"/>
      <c r="AB7" s="85"/>
      <c r="AC7" s="83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85"/>
      <c r="BU7" s="85"/>
      <c r="BV7" s="85"/>
      <c r="BW7" s="85"/>
      <c r="BX7" s="85"/>
      <c r="BY7" s="85"/>
      <c r="BZ7" s="85"/>
      <c r="CA7" s="85"/>
      <c r="CB7" s="85"/>
      <c r="CC7" s="85"/>
      <c r="CD7" s="85"/>
      <c r="CE7" s="85"/>
      <c r="CF7" s="85"/>
      <c r="CG7" s="85"/>
      <c r="CH7" s="85"/>
      <c r="CI7" s="85"/>
      <c r="CJ7" s="85"/>
      <c r="CK7" s="85"/>
      <c r="CL7" s="85"/>
      <c r="CM7" s="85"/>
      <c r="CN7" s="85"/>
      <c r="CO7" s="85"/>
      <c r="CP7" s="85"/>
      <c r="CQ7" s="85"/>
      <c r="CR7" s="85"/>
      <c r="CS7" s="85"/>
      <c r="CT7" s="85"/>
      <c r="CU7" s="85"/>
      <c r="CV7" s="85"/>
      <c r="CW7" s="85"/>
      <c r="CX7" s="85"/>
      <c r="CY7" s="85"/>
      <c r="CZ7" s="85"/>
      <c r="DA7" s="85"/>
      <c r="DB7" s="85"/>
      <c r="DC7" s="85"/>
      <c r="DD7" s="85"/>
      <c r="DE7" s="85"/>
      <c r="DF7" s="85"/>
      <c r="DG7" s="85"/>
      <c r="DH7" s="85"/>
      <c r="DI7" s="85"/>
      <c r="DJ7" s="85"/>
      <c r="DK7" s="85"/>
      <c r="DL7" s="85"/>
      <c r="DM7" s="85"/>
      <c r="DN7" s="85"/>
      <c r="DO7" s="85"/>
      <c r="DP7" s="85"/>
      <c r="DQ7" s="85"/>
      <c r="DR7" s="85"/>
      <c r="DS7" s="85"/>
      <c r="DT7" s="85"/>
      <c r="DU7" s="85"/>
      <c r="DV7" s="85"/>
      <c r="DW7" s="85"/>
      <c r="DX7" s="85"/>
      <c r="DY7" s="85"/>
      <c r="DZ7" s="85"/>
      <c r="EA7" s="85"/>
      <c r="EB7" s="85"/>
      <c r="EC7" s="85"/>
      <c r="ED7" s="85"/>
      <c r="EE7" s="85"/>
      <c r="EF7" s="85"/>
      <c r="EG7" s="85"/>
      <c r="EH7" s="85"/>
      <c r="EI7" s="85"/>
      <c r="EJ7" s="85"/>
      <c r="EK7" s="85"/>
      <c r="EL7" s="85"/>
      <c r="EM7" s="85"/>
      <c r="EN7" s="85"/>
      <c r="EO7" s="85"/>
      <c r="EP7" s="85"/>
      <c r="EQ7" s="85"/>
      <c r="ER7" s="85"/>
      <c r="ES7" s="85"/>
      <c r="ET7" s="85"/>
      <c r="EU7" s="85"/>
      <c r="EV7" s="85"/>
      <c r="EW7" s="85"/>
      <c r="EX7" s="85"/>
      <c r="EY7" s="85"/>
      <c r="EZ7" s="85"/>
      <c r="FA7" s="85"/>
      <c r="FB7" s="85"/>
      <c r="FC7" s="85"/>
      <c r="FD7" s="85"/>
      <c r="FE7" s="85"/>
      <c r="FF7" s="85"/>
      <c r="FG7" s="85"/>
      <c r="FH7" s="85"/>
      <c r="FI7" s="85"/>
      <c r="FJ7" s="85"/>
      <c r="FK7" s="85"/>
      <c r="FL7" s="85"/>
      <c r="FM7" s="85"/>
      <c r="FN7" s="85"/>
      <c r="FO7" s="85"/>
      <c r="FP7" s="85"/>
      <c r="FQ7" s="85"/>
      <c r="FR7" s="85"/>
      <c r="FS7" s="85"/>
      <c r="FT7" s="85"/>
      <c r="FU7" s="85"/>
      <c r="FV7" s="85"/>
      <c r="FW7" s="85"/>
      <c r="FX7" s="85"/>
      <c r="FY7" s="85"/>
      <c r="FZ7" s="85"/>
      <c r="GA7" s="85"/>
      <c r="GB7" s="85"/>
      <c r="GC7" s="85"/>
      <c r="GD7" s="85"/>
      <c r="GE7" s="85"/>
      <c r="GF7" s="85"/>
      <c r="GG7" s="85"/>
      <c r="GH7" s="85"/>
      <c r="GI7" s="85"/>
      <c r="GJ7" s="85"/>
      <c r="GK7" s="85"/>
      <c r="GL7" s="85"/>
      <c r="GM7" s="85"/>
      <c r="GN7" s="85"/>
      <c r="GO7" s="85"/>
      <c r="GP7" s="85"/>
      <c r="GQ7" s="85"/>
      <c r="GR7" s="85"/>
      <c r="GS7" s="85"/>
      <c r="GT7" s="85"/>
      <c r="GU7" s="85"/>
      <c r="GV7" s="85"/>
      <c r="GW7" s="85"/>
      <c r="GX7" s="85"/>
      <c r="GY7" s="85"/>
      <c r="GZ7" s="85"/>
      <c r="HA7" s="85"/>
      <c r="HB7" s="85"/>
      <c r="HC7" s="85"/>
      <c r="HD7" s="85"/>
      <c r="HE7" s="85"/>
      <c r="HF7" s="85"/>
      <c r="HG7" s="85"/>
      <c r="HH7" s="85"/>
      <c r="HI7" s="85"/>
      <c r="HJ7" s="85"/>
      <c r="HK7" s="85"/>
      <c r="HL7" s="85"/>
      <c r="HM7" s="85"/>
      <c r="HN7" s="85"/>
      <c r="HO7" s="85"/>
      <c r="HP7" s="85"/>
      <c r="HQ7" s="85"/>
      <c r="HR7" s="85"/>
      <c r="HS7" s="85"/>
      <c r="HT7" s="85"/>
      <c r="HU7" s="85"/>
      <c r="HV7" s="85"/>
      <c r="HW7" s="85"/>
      <c r="HX7" s="85"/>
      <c r="HY7" s="85"/>
      <c r="HZ7" s="85"/>
      <c r="IA7" s="85"/>
      <c r="IB7" s="85"/>
      <c r="IC7" s="85"/>
      <c r="ID7" s="85"/>
      <c r="IE7" s="85"/>
      <c r="IF7" s="85"/>
      <c r="IG7" s="85"/>
      <c r="IH7" s="85"/>
      <c r="II7" s="85"/>
      <c r="IJ7" s="85"/>
      <c r="IK7" s="85"/>
      <c r="IL7" s="85"/>
      <c r="IM7" s="85"/>
      <c r="IN7" s="85"/>
      <c r="IO7" s="85"/>
      <c r="IP7" s="85"/>
      <c r="IQ7" s="85"/>
      <c r="IR7" s="85"/>
      <c r="IS7" s="85"/>
      <c r="IT7" s="85"/>
      <c r="IU7" s="85"/>
      <c r="IV7" s="85"/>
      <c r="IW7" s="85"/>
      <c r="IX7" s="85"/>
      <c r="IY7" s="85"/>
      <c r="IZ7" s="85"/>
      <c r="JA7" s="85"/>
      <c r="JB7" s="85"/>
      <c r="JC7" s="85"/>
      <c r="JD7" s="85"/>
      <c r="JE7" s="85"/>
      <c r="JF7" s="85"/>
      <c r="JG7" s="85"/>
      <c r="JH7" s="85"/>
      <c r="JI7" s="85"/>
      <c r="JJ7" s="85"/>
      <c r="JK7" s="85"/>
      <c r="JL7" s="85"/>
      <c r="JM7" s="85"/>
      <c r="JN7" s="85"/>
      <c r="JO7" s="85"/>
      <c r="JP7" s="85"/>
      <c r="JQ7" s="85"/>
      <c r="JR7" s="85"/>
      <c r="JS7" s="85"/>
      <c r="JT7" s="85"/>
      <c r="JU7" s="85"/>
      <c r="JV7" s="85"/>
      <c r="JW7" s="85"/>
      <c r="JX7" s="85"/>
      <c r="JY7" s="85"/>
      <c r="JZ7" s="85"/>
      <c r="KA7" s="85"/>
      <c r="KB7" s="85"/>
      <c r="KC7" s="85"/>
      <c r="KD7" s="85"/>
      <c r="KE7" s="85"/>
      <c r="KF7" s="85"/>
      <c r="KG7" s="85"/>
      <c r="KH7" s="85"/>
      <c r="KI7" s="85"/>
      <c r="KJ7" s="85"/>
      <c r="KK7" s="85"/>
      <c r="KL7" s="85"/>
      <c r="KM7" s="85"/>
      <c r="KN7" s="85"/>
      <c r="KO7" s="85"/>
      <c r="KP7" s="85"/>
      <c r="KQ7" s="85"/>
      <c r="KR7" s="85"/>
      <c r="KS7" s="85"/>
      <c r="KT7" s="85"/>
      <c r="KU7" s="85"/>
      <c r="KV7" s="85"/>
      <c r="KW7" s="85"/>
      <c r="KX7" s="85"/>
      <c r="KY7" s="85"/>
      <c r="KZ7" s="85"/>
      <c r="LA7" s="85"/>
      <c r="LB7" s="85"/>
      <c r="LC7" s="85"/>
      <c r="LD7" s="85"/>
      <c r="LE7" s="85"/>
      <c r="LF7" s="85"/>
      <c r="LG7" s="85"/>
      <c r="LH7" s="85"/>
      <c r="LI7" s="85"/>
      <c r="LJ7" s="85"/>
      <c r="LK7" s="85"/>
      <c r="LL7" s="85"/>
      <c r="LM7" s="85"/>
      <c r="LN7" s="85"/>
      <c r="LO7" s="85"/>
      <c r="LP7" s="85"/>
      <c r="LQ7" s="85"/>
      <c r="LR7" s="85"/>
      <c r="LS7" s="85"/>
      <c r="LT7" s="85"/>
      <c r="LU7" s="85"/>
      <c r="LV7" s="85"/>
      <c r="LW7" s="85"/>
      <c r="LX7" s="85"/>
      <c r="LY7" s="85"/>
      <c r="LZ7" s="85"/>
      <c r="MA7" s="85"/>
      <c r="MB7" s="85"/>
      <c r="MC7" s="85"/>
      <c r="MD7" s="85"/>
      <c r="ME7" s="85"/>
      <c r="MF7" s="85"/>
      <c r="MG7" s="85"/>
      <c r="MH7" s="85"/>
      <c r="MI7" s="85"/>
      <c r="MJ7" s="85"/>
      <c r="MK7" s="85"/>
      <c r="ML7" s="85"/>
      <c r="MM7" s="85"/>
      <c r="MN7" s="85"/>
      <c r="MO7" s="85"/>
      <c r="MP7" s="85"/>
      <c r="MQ7" s="85"/>
      <c r="MR7" s="85"/>
      <c r="MS7" s="85"/>
      <c r="MT7" s="85"/>
      <c r="MU7" s="85"/>
      <c r="MV7" s="85"/>
      <c r="MW7" s="85"/>
      <c r="MX7" s="85"/>
      <c r="MY7" s="85"/>
      <c r="MZ7" s="85"/>
      <c r="NA7" s="85"/>
      <c r="NB7" s="85"/>
      <c r="NC7" s="85"/>
      <c r="ND7" s="85"/>
      <c r="NE7" s="85"/>
      <c r="NF7" s="85"/>
      <c r="NG7" s="85"/>
      <c r="NH7" s="85"/>
      <c r="NI7" s="85"/>
      <c r="NJ7" s="85"/>
      <c r="NK7" s="85"/>
      <c r="NL7" s="85"/>
      <c r="NM7" s="85"/>
      <c r="NN7" s="85"/>
      <c r="NO7" s="85"/>
      <c r="NP7" s="85"/>
      <c r="NQ7" s="85"/>
      <c r="NR7" s="85"/>
      <c r="NS7" s="85"/>
      <c r="NT7" s="85"/>
      <c r="NU7" s="85"/>
      <c r="NV7" s="85"/>
      <c r="NW7" s="85"/>
      <c r="NX7" s="85"/>
      <c r="NY7" s="85"/>
      <c r="NZ7" s="85"/>
      <c r="OA7" s="85"/>
      <c r="OB7" s="85"/>
      <c r="OC7" s="85"/>
      <c r="OD7" s="85"/>
      <c r="OE7" s="85"/>
      <c r="OF7" s="85"/>
      <c r="OG7" s="85"/>
      <c r="OH7" s="85"/>
      <c r="OI7" s="85"/>
      <c r="OJ7" s="85"/>
      <c r="OK7" s="85"/>
      <c r="OL7" s="85"/>
      <c r="OM7" s="85"/>
      <c r="ON7" s="85"/>
      <c r="OO7" s="85"/>
      <c r="OP7" s="85"/>
      <c r="OQ7" s="85"/>
      <c r="OR7" s="85"/>
      <c r="OS7" s="85"/>
      <c r="OT7" s="85"/>
      <c r="OU7" s="85"/>
      <c r="OV7" s="85"/>
      <c r="OW7" s="85"/>
      <c r="OX7" s="85"/>
      <c r="OY7" s="85"/>
      <c r="OZ7" s="85"/>
      <c r="PA7" s="85"/>
      <c r="PB7" s="85"/>
      <c r="PC7" s="85"/>
      <c r="PD7" s="85"/>
      <c r="PE7" s="85"/>
      <c r="PF7" s="85"/>
      <c r="PG7" s="85"/>
      <c r="PH7" s="85"/>
      <c r="PI7" s="85"/>
      <c r="PJ7" s="85"/>
      <c r="PK7" s="85"/>
      <c r="PL7" s="85"/>
      <c r="PM7" s="85"/>
      <c r="PN7" s="85"/>
      <c r="PO7" s="85"/>
      <c r="PP7" s="85"/>
      <c r="PQ7" s="85"/>
      <c r="PR7" s="85"/>
      <c r="PS7" s="85"/>
      <c r="PT7" s="85"/>
      <c r="PU7" s="85"/>
      <c r="PV7" s="85"/>
      <c r="PW7" s="85"/>
      <c r="PX7" s="85"/>
      <c r="PY7" s="85"/>
      <c r="PZ7" s="85"/>
      <c r="QA7" s="85"/>
      <c r="QB7" s="85"/>
      <c r="QC7" s="85"/>
      <c r="QD7" s="85"/>
      <c r="QE7" s="85"/>
      <c r="QF7" s="85"/>
      <c r="QG7" s="85"/>
      <c r="QH7" s="85"/>
      <c r="QI7" s="85"/>
      <c r="QJ7" s="85"/>
      <c r="QK7" s="85"/>
      <c r="QL7" s="85"/>
      <c r="QM7" s="85"/>
      <c r="QN7" s="85"/>
      <c r="QO7" s="85"/>
      <c r="QP7" s="85"/>
      <c r="QQ7" s="85"/>
      <c r="QR7" s="85"/>
      <c r="QS7" s="85"/>
      <c r="QT7" s="85"/>
      <c r="QU7" s="85"/>
      <c r="QV7" s="85"/>
      <c r="QW7" s="85"/>
      <c r="QX7" s="85"/>
      <c r="QY7" s="85"/>
      <c r="QZ7" s="85"/>
      <c r="RA7" s="85"/>
      <c r="RB7" s="85"/>
      <c r="RC7" s="85"/>
      <c r="RD7" s="85"/>
      <c r="RE7" s="85"/>
      <c r="RF7" s="85"/>
      <c r="RG7" s="85"/>
      <c r="RH7" s="85"/>
      <c r="RI7" s="85"/>
      <c r="RJ7" s="85"/>
      <c r="RK7" s="85"/>
      <c r="RL7" s="85"/>
      <c r="RM7" s="85"/>
      <c r="RN7" s="85"/>
      <c r="RO7" s="85"/>
      <c r="RP7" s="85"/>
      <c r="RQ7" s="85"/>
      <c r="RR7" s="85"/>
      <c r="RS7" s="85"/>
      <c r="RT7" s="85"/>
      <c r="RU7" s="85"/>
      <c r="RV7" s="85"/>
      <c r="RW7" s="85"/>
      <c r="RX7" s="85"/>
      <c r="RY7" s="85"/>
      <c r="RZ7" s="85"/>
      <c r="SA7" s="85"/>
      <c r="SB7" s="85"/>
      <c r="SC7" s="85"/>
      <c r="SD7" s="85"/>
      <c r="SE7" s="85"/>
      <c r="SF7" s="85"/>
      <c r="SG7" s="85"/>
      <c r="SH7" s="85"/>
      <c r="SI7" s="85"/>
      <c r="SJ7" s="85"/>
      <c r="SK7" s="85"/>
      <c r="SL7" s="85"/>
      <c r="SM7" s="85"/>
      <c r="SN7" s="85"/>
      <c r="SO7" s="85"/>
      <c r="SP7" s="85"/>
      <c r="SQ7" s="85"/>
      <c r="SR7" s="85"/>
      <c r="SS7" s="85"/>
      <c r="ST7" s="85"/>
      <c r="SU7" s="85"/>
      <c r="SV7" s="85"/>
      <c r="SW7" s="85"/>
      <c r="SX7" s="85"/>
      <c r="SY7" s="85"/>
      <c r="SZ7" s="85"/>
      <c r="TA7" s="85"/>
      <c r="TB7" s="85"/>
      <c r="TC7" s="85"/>
      <c r="TD7" s="85"/>
      <c r="TE7" s="85"/>
      <c r="TF7" s="85"/>
      <c r="TG7" s="85"/>
      <c r="TH7" s="85"/>
      <c r="TI7" s="85"/>
      <c r="TJ7" s="85"/>
      <c r="TK7" s="85"/>
      <c r="TL7" s="85"/>
      <c r="TM7" s="85"/>
      <c r="TN7" s="85"/>
      <c r="TO7" s="85"/>
      <c r="TP7" s="85"/>
      <c r="TQ7" s="85"/>
      <c r="TR7" s="85"/>
      <c r="TS7" s="85"/>
      <c r="TT7" s="85"/>
      <c r="TU7" s="85"/>
      <c r="TV7" s="85"/>
      <c r="TW7" s="85"/>
      <c r="TX7" s="85"/>
      <c r="TY7" s="85"/>
      <c r="TZ7" s="85"/>
      <c r="UA7" s="85"/>
      <c r="UB7" s="85"/>
      <c r="UC7" s="85"/>
      <c r="UD7" s="85"/>
      <c r="UE7" s="85"/>
      <c r="UF7" s="85"/>
      <c r="UG7" s="85"/>
      <c r="UH7" s="85"/>
      <c r="UI7" s="85"/>
      <c r="UJ7" s="85"/>
      <c r="UK7" s="85"/>
      <c r="UL7" s="85"/>
      <c r="UM7" s="85"/>
      <c r="UN7" s="85"/>
      <c r="UO7" s="85"/>
      <c r="UP7" s="85"/>
      <c r="UQ7" s="85"/>
      <c r="UR7" s="85"/>
      <c r="US7" s="85"/>
      <c r="UT7" s="85"/>
      <c r="UU7" s="85"/>
      <c r="UV7" s="85"/>
      <c r="UW7" s="85"/>
      <c r="UX7" s="85"/>
      <c r="UY7" s="85"/>
      <c r="UZ7" s="85"/>
      <c r="VA7" s="85"/>
      <c r="VB7" s="85"/>
      <c r="VC7" s="85"/>
      <c r="VD7" s="85"/>
      <c r="VE7" s="85"/>
      <c r="VF7" s="85"/>
      <c r="VG7" s="85"/>
      <c r="VH7" s="85"/>
      <c r="VI7" s="85"/>
      <c r="VJ7" s="85"/>
      <c r="VK7" s="85"/>
      <c r="VL7" s="85"/>
      <c r="VM7" s="85"/>
      <c r="VN7" s="85"/>
      <c r="VO7" s="85"/>
      <c r="VP7" s="85"/>
      <c r="VQ7" s="85"/>
      <c r="VR7" s="85"/>
      <c r="VS7" s="85"/>
      <c r="VT7" s="85"/>
      <c r="VU7" s="85"/>
      <c r="VV7" s="85"/>
      <c r="VW7" s="85"/>
      <c r="VX7" s="85"/>
      <c r="VY7" s="85"/>
      <c r="VZ7" s="85"/>
      <c r="WA7" s="85"/>
      <c r="WB7" s="85"/>
      <c r="WC7" s="85"/>
      <c r="WD7" s="85"/>
      <c r="WE7" s="85"/>
      <c r="WF7" s="85"/>
      <c r="WG7" s="85"/>
      <c r="WH7" s="85"/>
      <c r="WI7" s="85"/>
      <c r="WJ7" s="85"/>
      <c r="WK7" s="85"/>
      <c r="WL7" s="85"/>
      <c r="WM7" s="85"/>
      <c r="WN7" s="85"/>
      <c r="WO7" s="85"/>
      <c r="WP7" s="85"/>
      <c r="WQ7" s="85"/>
      <c r="WR7" s="85"/>
      <c r="WS7" s="85"/>
      <c r="WT7" s="85"/>
      <c r="WU7" s="85"/>
      <c r="WV7" s="85"/>
      <c r="WW7" s="85"/>
      <c r="WX7" s="85"/>
      <c r="WY7" s="85"/>
      <c r="WZ7" s="85"/>
      <c r="XA7" s="85"/>
      <c r="XB7" s="85"/>
      <c r="XC7" s="85"/>
      <c r="XD7" s="85"/>
      <c r="XE7" s="85"/>
      <c r="XF7" s="85"/>
      <c r="XG7" s="85"/>
      <c r="XH7" s="85"/>
      <c r="XI7" s="85"/>
      <c r="XJ7" s="85"/>
      <c r="XK7" s="85"/>
      <c r="XL7" s="85"/>
      <c r="XM7" s="85"/>
      <c r="XN7" s="85"/>
      <c r="XO7" s="85"/>
      <c r="XP7" s="85"/>
      <c r="XQ7" s="85"/>
      <c r="XR7" s="85"/>
      <c r="XS7" s="85"/>
      <c r="XT7" s="85"/>
      <c r="XU7" s="85"/>
      <c r="XV7" s="85"/>
      <c r="XW7" s="85"/>
    </row>
    <row r="8" spans="1:647" s="30" customFormat="1" ht="14.25" customHeight="1">
      <c r="A8" s="88"/>
      <c r="B8" s="89"/>
      <c r="C8" s="92"/>
      <c r="D8" s="92"/>
      <c r="E8" s="94"/>
      <c r="F8" s="92"/>
      <c r="G8" s="92"/>
      <c r="H8" s="92"/>
      <c r="I8" s="273"/>
      <c r="J8" s="279"/>
      <c r="K8" s="282"/>
      <c r="L8" s="346"/>
      <c r="M8" s="159"/>
      <c r="N8" s="159"/>
      <c r="O8" s="159"/>
      <c r="P8" s="159"/>
      <c r="Q8" s="175"/>
      <c r="R8" s="91"/>
      <c r="S8" s="156"/>
      <c r="T8" s="92"/>
      <c r="U8" s="95"/>
      <c r="V8" s="92"/>
      <c r="W8" s="92"/>
      <c r="X8" s="92"/>
      <c r="Y8" s="168"/>
      <c r="Z8" s="168"/>
      <c r="AA8" s="161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85"/>
      <c r="BU8" s="85"/>
      <c r="BV8" s="85"/>
      <c r="BW8" s="85"/>
      <c r="BX8" s="85"/>
      <c r="BY8" s="85"/>
      <c r="BZ8" s="85"/>
      <c r="CA8" s="85"/>
      <c r="CB8" s="85"/>
      <c r="CC8" s="85"/>
      <c r="CD8" s="85"/>
      <c r="CE8" s="85"/>
      <c r="CF8" s="85"/>
      <c r="CG8" s="85"/>
      <c r="CH8" s="85"/>
      <c r="CI8" s="85"/>
      <c r="CJ8" s="85"/>
      <c r="CK8" s="85"/>
      <c r="CL8" s="85"/>
      <c r="CM8" s="85"/>
      <c r="CN8" s="85"/>
      <c r="CO8" s="85"/>
      <c r="CP8" s="85"/>
      <c r="CQ8" s="85"/>
      <c r="CR8" s="85"/>
      <c r="CS8" s="85"/>
      <c r="CT8" s="85"/>
      <c r="CU8" s="85"/>
      <c r="CV8" s="85"/>
      <c r="CW8" s="85"/>
      <c r="CX8" s="85"/>
      <c r="CY8" s="85"/>
      <c r="CZ8" s="85"/>
      <c r="DA8" s="85"/>
      <c r="DB8" s="85"/>
      <c r="DC8" s="85"/>
      <c r="DD8" s="85"/>
      <c r="DE8" s="85"/>
      <c r="DF8" s="85"/>
      <c r="DG8" s="85"/>
      <c r="DH8" s="85"/>
      <c r="DI8" s="85"/>
      <c r="DJ8" s="85"/>
      <c r="DK8" s="85"/>
      <c r="DL8" s="85"/>
      <c r="DM8" s="85"/>
      <c r="DN8" s="85"/>
      <c r="DO8" s="85"/>
      <c r="DP8" s="85"/>
      <c r="DQ8" s="85"/>
      <c r="DR8" s="85"/>
      <c r="DS8" s="85"/>
      <c r="DT8" s="85"/>
      <c r="DU8" s="85"/>
      <c r="DV8" s="85"/>
      <c r="DW8" s="85"/>
      <c r="DX8" s="85"/>
      <c r="DY8" s="85"/>
      <c r="DZ8" s="85"/>
      <c r="EA8" s="85"/>
      <c r="EB8" s="85"/>
      <c r="EC8" s="85"/>
      <c r="ED8" s="85"/>
      <c r="EE8" s="85"/>
      <c r="EF8" s="85"/>
      <c r="EG8" s="85"/>
      <c r="EH8" s="85"/>
      <c r="EI8" s="85"/>
      <c r="EJ8" s="85"/>
      <c r="EK8" s="85"/>
      <c r="EL8" s="85"/>
      <c r="EM8" s="85"/>
      <c r="EN8" s="85"/>
      <c r="EO8" s="85"/>
      <c r="EP8" s="85"/>
      <c r="EQ8" s="85"/>
      <c r="ER8" s="85"/>
      <c r="ES8" s="85"/>
      <c r="ET8" s="85"/>
      <c r="EU8" s="85"/>
      <c r="EV8" s="85"/>
      <c r="EW8" s="85"/>
      <c r="EX8" s="85"/>
      <c r="EY8" s="85"/>
      <c r="EZ8" s="85"/>
      <c r="FA8" s="85"/>
      <c r="FB8" s="85"/>
      <c r="FC8" s="85"/>
      <c r="FD8" s="85"/>
      <c r="FE8" s="85"/>
      <c r="FF8" s="85"/>
      <c r="FG8" s="85"/>
      <c r="FH8" s="85"/>
      <c r="FI8" s="85"/>
      <c r="FJ8" s="85"/>
      <c r="FK8" s="85"/>
      <c r="FL8" s="85"/>
      <c r="FM8" s="85"/>
      <c r="FN8" s="85"/>
      <c r="FO8" s="85"/>
      <c r="FP8" s="85"/>
      <c r="FQ8" s="85"/>
      <c r="FR8" s="85"/>
      <c r="FS8" s="85"/>
      <c r="FT8" s="85"/>
      <c r="FU8" s="85"/>
      <c r="FV8" s="85"/>
      <c r="FW8" s="85"/>
      <c r="FX8" s="85"/>
      <c r="FY8" s="85"/>
      <c r="FZ8" s="85"/>
      <c r="GA8" s="85"/>
      <c r="GB8" s="85"/>
      <c r="GC8" s="85"/>
      <c r="GD8" s="85"/>
      <c r="GE8" s="85"/>
      <c r="GF8" s="85"/>
      <c r="GG8" s="85"/>
      <c r="GH8" s="85"/>
      <c r="GI8" s="85"/>
      <c r="GJ8" s="85"/>
      <c r="GK8" s="85"/>
      <c r="GL8" s="85"/>
      <c r="GM8" s="85"/>
      <c r="GN8" s="85"/>
      <c r="GO8" s="85"/>
      <c r="GP8" s="85"/>
      <c r="GQ8" s="85"/>
      <c r="GR8" s="85"/>
      <c r="GS8" s="85"/>
      <c r="GT8" s="85"/>
      <c r="GU8" s="85"/>
      <c r="GV8" s="85"/>
      <c r="GW8" s="85"/>
      <c r="GX8" s="85"/>
      <c r="GY8" s="85"/>
      <c r="GZ8" s="85"/>
      <c r="HA8" s="85"/>
      <c r="HB8" s="85"/>
      <c r="HC8" s="85"/>
      <c r="HD8" s="85"/>
      <c r="HE8" s="85"/>
      <c r="HF8" s="85"/>
      <c r="HG8" s="85"/>
      <c r="HH8" s="85"/>
      <c r="HI8" s="85"/>
      <c r="HJ8" s="85"/>
      <c r="HK8" s="85"/>
      <c r="HL8" s="85"/>
      <c r="HM8" s="85"/>
      <c r="HN8" s="85"/>
      <c r="HO8" s="85"/>
      <c r="HP8" s="85"/>
      <c r="HQ8" s="85"/>
      <c r="HR8" s="85"/>
      <c r="HS8" s="85"/>
      <c r="HT8" s="85"/>
      <c r="HU8" s="85"/>
      <c r="HV8" s="85"/>
      <c r="HW8" s="85"/>
      <c r="HX8" s="85"/>
      <c r="HY8" s="85"/>
      <c r="HZ8" s="85"/>
      <c r="IA8" s="85"/>
      <c r="IB8" s="85"/>
      <c r="IC8" s="85"/>
      <c r="ID8" s="85"/>
      <c r="IE8" s="85"/>
      <c r="IF8" s="85"/>
      <c r="IG8" s="85"/>
      <c r="IH8" s="85"/>
      <c r="II8" s="85"/>
      <c r="IJ8" s="85"/>
      <c r="IK8" s="85"/>
      <c r="IL8" s="85"/>
      <c r="IM8" s="85"/>
      <c r="IN8" s="85"/>
      <c r="IO8" s="85"/>
      <c r="IP8" s="85"/>
      <c r="IQ8" s="85"/>
      <c r="IR8" s="85"/>
      <c r="IS8" s="85"/>
      <c r="IT8" s="85"/>
      <c r="IU8" s="85"/>
      <c r="IV8" s="85"/>
      <c r="IW8" s="85"/>
      <c r="IX8" s="85"/>
      <c r="IY8" s="85"/>
      <c r="IZ8" s="85"/>
      <c r="JA8" s="85"/>
      <c r="JB8" s="85"/>
      <c r="JC8" s="85"/>
      <c r="JD8" s="85"/>
      <c r="JE8" s="85"/>
      <c r="JF8" s="85"/>
      <c r="JG8" s="85"/>
      <c r="JH8" s="85"/>
      <c r="JI8" s="85"/>
      <c r="JJ8" s="85"/>
      <c r="JK8" s="85"/>
      <c r="JL8" s="85"/>
      <c r="JM8" s="85"/>
      <c r="JN8" s="85"/>
      <c r="JO8" s="85"/>
      <c r="JP8" s="85"/>
      <c r="JQ8" s="85"/>
      <c r="JR8" s="85"/>
      <c r="JS8" s="85"/>
      <c r="JT8" s="85"/>
      <c r="JU8" s="85"/>
      <c r="JV8" s="85"/>
      <c r="JW8" s="85"/>
      <c r="JX8" s="85"/>
      <c r="JY8" s="85"/>
      <c r="JZ8" s="85"/>
      <c r="KA8" s="85"/>
      <c r="KB8" s="85"/>
      <c r="KC8" s="85"/>
      <c r="KD8" s="85"/>
      <c r="KE8" s="85"/>
      <c r="KF8" s="85"/>
      <c r="KG8" s="85"/>
      <c r="KH8" s="85"/>
      <c r="KI8" s="85"/>
      <c r="KJ8" s="85"/>
      <c r="KK8" s="85"/>
      <c r="KL8" s="85"/>
      <c r="KM8" s="85"/>
      <c r="KN8" s="85"/>
      <c r="KO8" s="85"/>
      <c r="KP8" s="85"/>
      <c r="KQ8" s="85"/>
      <c r="KR8" s="85"/>
      <c r="KS8" s="85"/>
      <c r="KT8" s="85"/>
      <c r="KU8" s="85"/>
      <c r="KV8" s="85"/>
      <c r="KW8" s="85"/>
      <c r="KX8" s="85"/>
      <c r="KY8" s="85"/>
      <c r="KZ8" s="85"/>
      <c r="LA8" s="85"/>
      <c r="LB8" s="85"/>
      <c r="LC8" s="85"/>
      <c r="LD8" s="85"/>
      <c r="LE8" s="85"/>
      <c r="LF8" s="85"/>
      <c r="LG8" s="85"/>
      <c r="LH8" s="85"/>
      <c r="LI8" s="85"/>
      <c r="LJ8" s="85"/>
      <c r="LK8" s="85"/>
      <c r="LL8" s="85"/>
      <c r="LM8" s="85"/>
      <c r="LN8" s="85"/>
      <c r="LO8" s="85"/>
      <c r="LP8" s="85"/>
      <c r="LQ8" s="85"/>
      <c r="LR8" s="85"/>
      <c r="LS8" s="85"/>
      <c r="LT8" s="85"/>
      <c r="LU8" s="85"/>
      <c r="LV8" s="85"/>
      <c r="LW8" s="85"/>
      <c r="LX8" s="85"/>
      <c r="LY8" s="85"/>
      <c r="LZ8" s="85"/>
      <c r="MA8" s="85"/>
      <c r="MB8" s="85"/>
      <c r="MC8" s="85"/>
      <c r="MD8" s="85"/>
      <c r="ME8" s="85"/>
      <c r="MF8" s="85"/>
      <c r="MG8" s="85"/>
      <c r="MH8" s="85"/>
      <c r="MI8" s="85"/>
      <c r="MJ8" s="85"/>
      <c r="MK8" s="85"/>
      <c r="ML8" s="85"/>
      <c r="MM8" s="85"/>
      <c r="MN8" s="85"/>
      <c r="MO8" s="85"/>
      <c r="MP8" s="85"/>
      <c r="MQ8" s="85"/>
      <c r="MR8" s="85"/>
      <c r="MS8" s="85"/>
      <c r="MT8" s="85"/>
      <c r="MU8" s="85"/>
      <c r="MV8" s="85"/>
      <c r="MW8" s="85"/>
      <c r="MX8" s="85"/>
      <c r="MY8" s="85"/>
      <c r="MZ8" s="85"/>
      <c r="NA8" s="85"/>
      <c r="NB8" s="85"/>
      <c r="NC8" s="85"/>
      <c r="ND8" s="85"/>
      <c r="NE8" s="85"/>
      <c r="NF8" s="85"/>
      <c r="NG8" s="85"/>
      <c r="NH8" s="85"/>
      <c r="NI8" s="85"/>
      <c r="NJ8" s="85"/>
      <c r="NK8" s="85"/>
      <c r="NL8" s="85"/>
      <c r="NM8" s="85"/>
      <c r="NN8" s="85"/>
      <c r="NO8" s="85"/>
      <c r="NP8" s="85"/>
      <c r="NQ8" s="85"/>
      <c r="NR8" s="85"/>
      <c r="NS8" s="85"/>
      <c r="NT8" s="85"/>
      <c r="NU8" s="85"/>
      <c r="NV8" s="85"/>
      <c r="NW8" s="85"/>
      <c r="NX8" s="85"/>
      <c r="NY8" s="85"/>
      <c r="NZ8" s="85"/>
      <c r="OA8" s="85"/>
      <c r="OB8" s="85"/>
      <c r="OC8" s="85"/>
      <c r="OD8" s="85"/>
      <c r="OE8" s="85"/>
      <c r="OF8" s="85"/>
      <c r="OG8" s="85"/>
      <c r="OH8" s="85"/>
      <c r="OI8" s="85"/>
      <c r="OJ8" s="85"/>
      <c r="OK8" s="85"/>
      <c r="OL8" s="85"/>
      <c r="OM8" s="85"/>
      <c r="ON8" s="85"/>
      <c r="OO8" s="85"/>
      <c r="OP8" s="85"/>
      <c r="OQ8" s="85"/>
      <c r="OR8" s="85"/>
      <c r="OS8" s="85"/>
      <c r="OT8" s="85"/>
      <c r="OU8" s="85"/>
      <c r="OV8" s="85"/>
      <c r="OW8" s="85"/>
      <c r="OX8" s="85"/>
      <c r="OY8" s="85"/>
      <c r="OZ8" s="85"/>
      <c r="PA8" s="85"/>
      <c r="PB8" s="85"/>
      <c r="PC8" s="85"/>
      <c r="PD8" s="85"/>
      <c r="PE8" s="85"/>
      <c r="PF8" s="85"/>
      <c r="PG8" s="85"/>
      <c r="PH8" s="85"/>
      <c r="PI8" s="85"/>
      <c r="PJ8" s="85"/>
      <c r="PK8" s="85"/>
      <c r="PL8" s="85"/>
      <c r="PM8" s="85"/>
      <c r="PN8" s="85"/>
      <c r="PO8" s="85"/>
      <c r="PP8" s="85"/>
      <c r="PQ8" s="85"/>
      <c r="PR8" s="85"/>
      <c r="PS8" s="85"/>
      <c r="PT8" s="85"/>
      <c r="PU8" s="85"/>
      <c r="PV8" s="85"/>
      <c r="PW8" s="85"/>
      <c r="PX8" s="85"/>
      <c r="PY8" s="85"/>
      <c r="PZ8" s="85"/>
      <c r="QA8" s="85"/>
      <c r="QB8" s="85"/>
      <c r="QC8" s="85"/>
      <c r="QD8" s="85"/>
      <c r="QE8" s="85"/>
      <c r="QF8" s="85"/>
      <c r="QG8" s="85"/>
      <c r="QH8" s="85"/>
      <c r="QI8" s="85"/>
      <c r="QJ8" s="85"/>
      <c r="QK8" s="85"/>
      <c r="QL8" s="85"/>
      <c r="QM8" s="85"/>
      <c r="QN8" s="85"/>
      <c r="QO8" s="85"/>
      <c r="QP8" s="85"/>
      <c r="QQ8" s="85"/>
      <c r="QR8" s="85"/>
      <c r="QS8" s="85"/>
      <c r="QT8" s="85"/>
      <c r="QU8" s="85"/>
      <c r="QV8" s="85"/>
      <c r="QW8" s="85"/>
      <c r="QX8" s="85"/>
      <c r="QY8" s="85"/>
      <c r="QZ8" s="85"/>
      <c r="RA8" s="85"/>
      <c r="RB8" s="85"/>
      <c r="RC8" s="85"/>
      <c r="RD8" s="85"/>
      <c r="RE8" s="85"/>
      <c r="RF8" s="85"/>
      <c r="RG8" s="85"/>
      <c r="RH8" s="85"/>
      <c r="RI8" s="85"/>
      <c r="RJ8" s="85"/>
      <c r="RK8" s="85"/>
      <c r="RL8" s="85"/>
      <c r="RM8" s="85"/>
      <c r="RN8" s="85"/>
      <c r="RO8" s="85"/>
      <c r="RP8" s="85"/>
      <c r="RQ8" s="85"/>
      <c r="RR8" s="85"/>
      <c r="RS8" s="85"/>
      <c r="RT8" s="85"/>
      <c r="RU8" s="85"/>
      <c r="RV8" s="85"/>
      <c r="RW8" s="85"/>
      <c r="RX8" s="85"/>
      <c r="RY8" s="85"/>
      <c r="RZ8" s="85"/>
      <c r="SA8" s="85"/>
      <c r="SB8" s="85"/>
      <c r="SC8" s="85"/>
      <c r="SD8" s="85"/>
      <c r="SE8" s="85"/>
      <c r="SF8" s="85"/>
      <c r="SG8" s="85"/>
      <c r="SH8" s="85"/>
      <c r="SI8" s="85"/>
      <c r="SJ8" s="85"/>
      <c r="SK8" s="85"/>
      <c r="SL8" s="85"/>
      <c r="SM8" s="85"/>
      <c r="SN8" s="85"/>
      <c r="SO8" s="85"/>
      <c r="SP8" s="85"/>
      <c r="SQ8" s="85"/>
      <c r="SR8" s="85"/>
      <c r="SS8" s="85"/>
      <c r="ST8" s="85"/>
      <c r="SU8" s="85"/>
      <c r="SV8" s="85"/>
      <c r="SW8" s="85"/>
      <c r="SX8" s="85"/>
      <c r="SY8" s="85"/>
      <c r="SZ8" s="85"/>
      <c r="TA8" s="85"/>
      <c r="TB8" s="85"/>
      <c r="TC8" s="85"/>
      <c r="TD8" s="85"/>
      <c r="TE8" s="85"/>
      <c r="TF8" s="85"/>
      <c r="TG8" s="85"/>
      <c r="TH8" s="85"/>
      <c r="TI8" s="85"/>
      <c r="TJ8" s="85"/>
      <c r="TK8" s="85"/>
      <c r="TL8" s="85"/>
      <c r="TM8" s="85"/>
      <c r="TN8" s="85"/>
      <c r="TO8" s="85"/>
      <c r="TP8" s="85"/>
      <c r="TQ8" s="85"/>
      <c r="TR8" s="85"/>
      <c r="TS8" s="85"/>
      <c r="TT8" s="85"/>
      <c r="TU8" s="85"/>
      <c r="TV8" s="85"/>
      <c r="TW8" s="85"/>
      <c r="TX8" s="85"/>
      <c r="TY8" s="85"/>
      <c r="TZ8" s="85"/>
      <c r="UA8" s="85"/>
      <c r="UB8" s="85"/>
      <c r="UC8" s="85"/>
      <c r="UD8" s="85"/>
      <c r="UE8" s="85"/>
      <c r="UF8" s="85"/>
      <c r="UG8" s="85"/>
      <c r="UH8" s="85"/>
      <c r="UI8" s="85"/>
      <c r="UJ8" s="85"/>
      <c r="UK8" s="85"/>
      <c r="UL8" s="85"/>
      <c r="UM8" s="85"/>
      <c r="UN8" s="85"/>
      <c r="UO8" s="85"/>
      <c r="UP8" s="85"/>
      <c r="UQ8" s="85"/>
      <c r="UR8" s="85"/>
      <c r="US8" s="85"/>
      <c r="UT8" s="85"/>
      <c r="UU8" s="85"/>
      <c r="UV8" s="85"/>
      <c r="UW8" s="85"/>
      <c r="UX8" s="85"/>
      <c r="UY8" s="85"/>
      <c r="UZ8" s="85"/>
      <c r="VA8" s="85"/>
      <c r="VB8" s="85"/>
      <c r="VC8" s="85"/>
      <c r="VD8" s="85"/>
      <c r="VE8" s="85"/>
      <c r="VF8" s="85"/>
      <c r="VG8" s="85"/>
      <c r="VH8" s="85"/>
      <c r="VI8" s="85"/>
      <c r="VJ8" s="85"/>
      <c r="VK8" s="85"/>
      <c r="VL8" s="85"/>
      <c r="VM8" s="85"/>
      <c r="VN8" s="85"/>
      <c r="VO8" s="85"/>
      <c r="VP8" s="85"/>
      <c r="VQ8" s="85"/>
      <c r="VR8" s="85"/>
      <c r="VS8" s="85"/>
      <c r="VT8" s="85"/>
      <c r="VU8" s="85"/>
      <c r="VV8" s="85"/>
      <c r="VW8" s="85"/>
      <c r="VX8" s="85"/>
      <c r="VY8" s="85"/>
      <c r="VZ8" s="85"/>
      <c r="WA8" s="85"/>
      <c r="WB8" s="85"/>
      <c r="WC8" s="85"/>
      <c r="WD8" s="85"/>
      <c r="WE8" s="85"/>
      <c r="WF8" s="85"/>
      <c r="WG8" s="85"/>
      <c r="WH8" s="85"/>
      <c r="WI8" s="85"/>
      <c r="WJ8" s="85"/>
      <c r="WK8" s="85"/>
      <c r="WL8" s="85"/>
      <c r="WM8" s="85"/>
      <c r="WN8" s="85"/>
      <c r="WO8" s="85"/>
      <c r="WP8" s="85"/>
      <c r="WQ8" s="85"/>
      <c r="WR8" s="85"/>
      <c r="WS8" s="85"/>
      <c r="WT8" s="85"/>
      <c r="WU8" s="85"/>
      <c r="WV8" s="85"/>
      <c r="WW8" s="85"/>
      <c r="WX8" s="85"/>
      <c r="WY8" s="85"/>
      <c r="WZ8" s="85"/>
      <c r="XA8" s="85"/>
      <c r="XB8" s="85"/>
      <c r="XC8" s="85"/>
      <c r="XD8" s="85"/>
      <c r="XE8" s="85"/>
      <c r="XF8" s="85"/>
      <c r="XG8" s="85"/>
      <c r="XH8" s="85"/>
      <c r="XI8" s="85"/>
      <c r="XJ8" s="85"/>
      <c r="XK8" s="85"/>
      <c r="XL8" s="85"/>
      <c r="XM8" s="85"/>
      <c r="XN8" s="85"/>
      <c r="XO8" s="85"/>
      <c r="XP8" s="85"/>
      <c r="XQ8" s="85"/>
      <c r="XR8" s="85"/>
      <c r="XS8" s="85"/>
      <c r="XT8" s="85"/>
      <c r="XU8" s="85"/>
      <c r="XV8" s="85"/>
      <c r="XW8" s="85"/>
    </row>
    <row r="9" spans="1:647" s="30" customFormat="1" ht="14.25" customHeight="1">
      <c r="A9" s="88"/>
      <c r="B9" s="89"/>
      <c r="C9" s="92"/>
      <c r="D9" s="92"/>
      <c r="E9" s="94"/>
      <c r="F9" s="92"/>
      <c r="G9" s="92"/>
      <c r="H9" s="92"/>
      <c r="I9" s="273"/>
      <c r="J9" s="279"/>
      <c r="K9" s="282"/>
      <c r="L9" s="346"/>
      <c r="M9" s="159"/>
      <c r="N9" s="159"/>
      <c r="O9" s="159"/>
      <c r="P9" s="159"/>
      <c r="Q9" s="175"/>
      <c r="R9" s="91"/>
      <c r="S9" s="156"/>
      <c r="T9" s="92"/>
      <c r="U9" s="95"/>
      <c r="V9" s="92"/>
      <c r="W9" s="92"/>
      <c r="X9" s="92"/>
      <c r="Y9" s="168"/>
      <c r="Z9" s="168"/>
      <c r="AA9" s="161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85"/>
      <c r="BU9" s="85"/>
      <c r="BV9" s="85"/>
      <c r="BW9" s="85"/>
      <c r="BX9" s="85"/>
      <c r="BY9" s="85"/>
      <c r="BZ9" s="85"/>
      <c r="CA9" s="85"/>
      <c r="CB9" s="85"/>
      <c r="CC9" s="85"/>
      <c r="CD9" s="85"/>
      <c r="CE9" s="85"/>
      <c r="CF9" s="85"/>
      <c r="CG9" s="85"/>
      <c r="CH9" s="85"/>
      <c r="CI9" s="85"/>
      <c r="CJ9" s="85"/>
      <c r="CK9" s="85"/>
      <c r="CL9" s="85"/>
      <c r="CM9" s="85"/>
      <c r="CN9" s="85"/>
      <c r="CO9" s="85"/>
      <c r="CP9" s="85"/>
      <c r="CQ9" s="85"/>
      <c r="CR9" s="85"/>
      <c r="CS9" s="85"/>
      <c r="CT9" s="85"/>
      <c r="CU9" s="85"/>
      <c r="CV9" s="85"/>
      <c r="CW9" s="85"/>
      <c r="CX9" s="85"/>
      <c r="CY9" s="85"/>
      <c r="CZ9" s="85"/>
      <c r="DA9" s="85"/>
      <c r="DB9" s="85"/>
      <c r="DC9" s="85"/>
      <c r="DD9" s="85"/>
      <c r="DE9" s="85"/>
      <c r="DF9" s="85"/>
      <c r="DG9" s="85"/>
      <c r="DH9" s="85"/>
      <c r="DI9" s="85"/>
      <c r="DJ9" s="85"/>
      <c r="DK9" s="85"/>
      <c r="DL9" s="85"/>
      <c r="DM9" s="85"/>
      <c r="DN9" s="85"/>
      <c r="DO9" s="85"/>
      <c r="DP9" s="85"/>
      <c r="DQ9" s="85"/>
      <c r="DR9" s="85"/>
      <c r="DS9" s="85"/>
      <c r="DT9" s="85"/>
      <c r="DU9" s="85"/>
      <c r="DV9" s="85"/>
      <c r="DW9" s="85"/>
      <c r="DX9" s="85"/>
      <c r="DY9" s="85"/>
      <c r="DZ9" s="85"/>
      <c r="EA9" s="85"/>
      <c r="EB9" s="85"/>
      <c r="EC9" s="85"/>
      <c r="ED9" s="85"/>
      <c r="EE9" s="85"/>
      <c r="EF9" s="85"/>
      <c r="EG9" s="85"/>
      <c r="EH9" s="85"/>
      <c r="EI9" s="85"/>
      <c r="EJ9" s="85"/>
      <c r="EK9" s="85"/>
      <c r="EL9" s="85"/>
      <c r="EM9" s="85"/>
      <c r="EN9" s="85"/>
      <c r="EO9" s="85"/>
      <c r="EP9" s="85"/>
      <c r="EQ9" s="85"/>
      <c r="ER9" s="85"/>
      <c r="ES9" s="85"/>
      <c r="ET9" s="85"/>
      <c r="EU9" s="85"/>
      <c r="EV9" s="85"/>
      <c r="EW9" s="85"/>
      <c r="EX9" s="85"/>
      <c r="EY9" s="85"/>
      <c r="EZ9" s="85"/>
      <c r="FA9" s="85"/>
      <c r="FB9" s="85"/>
      <c r="FC9" s="85"/>
      <c r="FD9" s="85"/>
      <c r="FE9" s="85"/>
      <c r="FF9" s="85"/>
      <c r="FG9" s="85"/>
      <c r="FH9" s="85"/>
      <c r="FI9" s="85"/>
      <c r="FJ9" s="85"/>
      <c r="FK9" s="85"/>
      <c r="FL9" s="85"/>
      <c r="FM9" s="85"/>
      <c r="FN9" s="85"/>
      <c r="FO9" s="85"/>
      <c r="FP9" s="85"/>
      <c r="FQ9" s="85"/>
      <c r="FR9" s="85"/>
      <c r="FS9" s="85"/>
      <c r="FT9" s="85"/>
      <c r="FU9" s="85"/>
      <c r="FV9" s="85"/>
      <c r="FW9" s="85"/>
      <c r="FX9" s="85"/>
      <c r="FY9" s="85"/>
      <c r="FZ9" s="85"/>
      <c r="GA9" s="85"/>
      <c r="GB9" s="85"/>
      <c r="GC9" s="85"/>
      <c r="GD9" s="85"/>
      <c r="GE9" s="85"/>
      <c r="GF9" s="85"/>
      <c r="GG9" s="85"/>
      <c r="GH9" s="85"/>
      <c r="GI9" s="85"/>
      <c r="GJ9" s="85"/>
      <c r="GK9" s="85"/>
      <c r="GL9" s="85"/>
      <c r="GM9" s="85"/>
      <c r="GN9" s="85"/>
      <c r="GO9" s="85"/>
      <c r="GP9" s="85"/>
      <c r="GQ9" s="85"/>
      <c r="GR9" s="85"/>
      <c r="GS9" s="85"/>
      <c r="GT9" s="85"/>
      <c r="GU9" s="85"/>
      <c r="GV9" s="85"/>
      <c r="GW9" s="85"/>
      <c r="GX9" s="85"/>
      <c r="GY9" s="85"/>
      <c r="GZ9" s="85"/>
      <c r="HA9" s="85"/>
      <c r="HB9" s="85"/>
      <c r="HC9" s="85"/>
      <c r="HD9" s="85"/>
      <c r="HE9" s="85"/>
      <c r="HF9" s="85"/>
      <c r="HG9" s="85"/>
      <c r="HH9" s="85"/>
      <c r="HI9" s="85"/>
      <c r="HJ9" s="85"/>
      <c r="HK9" s="85"/>
      <c r="HL9" s="85"/>
      <c r="HM9" s="85"/>
      <c r="HN9" s="85"/>
      <c r="HO9" s="85"/>
      <c r="HP9" s="85"/>
      <c r="HQ9" s="85"/>
      <c r="HR9" s="85"/>
      <c r="HS9" s="85"/>
      <c r="HT9" s="85"/>
      <c r="HU9" s="85"/>
      <c r="HV9" s="85"/>
      <c r="HW9" s="85"/>
      <c r="HX9" s="85"/>
      <c r="HY9" s="85"/>
      <c r="HZ9" s="85"/>
      <c r="IA9" s="85"/>
      <c r="IB9" s="85"/>
      <c r="IC9" s="85"/>
      <c r="ID9" s="85"/>
      <c r="IE9" s="85"/>
      <c r="IF9" s="85"/>
      <c r="IG9" s="85"/>
      <c r="IH9" s="85"/>
      <c r="II9" s="85"/>
      <c r="IJ9" s="85"/>
      <c r="IK9" s="85"/>
      <c r="IL9" s="85"/>
      <c r="IM9" s="85"/>
      <c r="IN9" s="85"/>
      <c r="IO9" s="85"/>
      <c r="IP9" s="85"/>
      <c r="IQ9" s="85"/>
      <c r="IR9" s="85"/>
      <c r="IS9" s="85"/>
      <c r="IT9" s="85"/>
      <c r="IU9" s="85"/>
      <c r="IV9" s="85"/>
      <c r="IW9" s="85"/>
      <c r="IX9" s="85"/>
      <c r="IY9" s="85"/>
      <c r="IZ9" s="85"/>
      <c r="JA9" s="85"/>
      <c r="JB9" s="85"/>
      <c r="JC9" s="85"/>
      <c r="JD9" s="85"/>
      <c r="JE9" s="85"/>
      <c r="JF9" s="85"/>
      <c r="JG9" s="85"/>
      <c r="JH9" s="85"/>
      <c r="JI9" s="85"/>
      <c r="JJ9" s="85"/>
      <c r="JK9" s="85"/>
      <c r="JL9" s="85"/>
      <c r="JM9" s="85"/>
      <c r="JN9" s="85"/>
      <c r="JO9" s="85"/>
      <c r="JP9" s="85"/>
      <c r="JQ9" s="85"/>
      <c r="JR9" s="85"/>
      <c r="JS9" s="85"/>
      <c r="JT9" s="85"/>
      <c r="JU9" s="85"/>
      <c r="JV9" s="85"/>
      <c r="JW9" s="85"/>
      <c r="JX9" s="85"/>
      <c r="JY9" s="85"/>
      <c r="JZ9" s="85"/>
      <c r="KA9" s="85"/>
      <c r="KB9" s="85"/>
      <c r="KC9" s="85"/>
      <c r="KD9" s="85"/>
      <c r="KE9" s="85"/>
      <c r="KF9" s="85"/>
      <c r="KG9" s="85"/>
      <c r="KH9" s="85"/>
      <c r="KI9" s="85"/>
      <c r="KJ9" s="85"/>
      <c r="KK9" s="85"/>
      <c r="KL9" s="85"/>
      <c r="KM9" s="85"/>
      <c r="KN9" s="85"/>
      <c r="KO9" s="85"/>
      <c r="KP9" s="85"/>
      <c r="KQ9" s="85"/>
      <c r="KR9" s="85"/>
      <c r="KS9" s="85"/>
      <c r="KT9" s="85"/>
      <c r="KU9" s="85"/>
      <c r="KV9" s="85"/>
      <c r="KW9" s="85"/>
      <c r="KX9" s="85"/>
      <c r="KY9" s="85"/>
      <c r="KZ9" s="85"/>
      <c r="LA9" s="85"/>
      <c r="LB9" s="85"/>
      <c r="LC9" s="85"/>
      <c r="LD9" s="85"/>
      <c r="LE9" s="85"/>
      <c r="LF9" s="85"/>
      <c r="LG9" s="85"/>
      <c r="LH9" s="85"/>
      <c r="LI9" s="85"/>
      <c r="LJ9" s="85"/>
      <c r="LK9" s="85"/>
      <c r="LL9" s="85"/>
      <c r="LM9" s="85"/>
      <c r="LN9" s="85"/>
      <c r="LO9" s="85"/>
      <c r="LP9" s="85"/>
      <c r="LQ9" s="85"/>
      <c r="LR9" s="85"/>
      <c r="LS9" s="85"/>
      <c r="LT9" s="85"/>
      <c r="LU9" s="85"/>
      <c r="LV9" s="85"/>
      <c r="LW9" s="85"/>
      <c r="LX9" s="85"/>
      <c r="LY9" s="85"/>
      <c r="LZ9" s="85"/>
      <c r="MA9" s="85"/>
      <c r="MB9" s="85"/>
      <c r="MC9" s="85"/>
      <c r="MD9" s="85"/>
      <c r="ME9" s="85"/>
      <c r="MF9" s="85"/>
      <c r="MG9" s="85"/>
      <c r="MH9" s="85"/>
      <c r="MI9" s="85"/>
      <c r="MJ9" s="85"/>
      <c r="MK9" s="85"/>
      <c r="ML9" s="85"/>
      <c r="MM9" s="85"/>
      <c r="MN9" s="85"/>
      <c r="MO9" s="85"/>
      <c r="MP9" s="85"/>
      <c r="MQ9" s="85"/>
      <c r="MR9" s="85"/>
      <c r="MS9" s="85"/>
      <c r="MT9" s="85"/>
      <c r="MU9" s="85"/>
      <c r="MV9" s="85"/>
      <c r="MW9" s="85"/>
      <c r="MX9" s="85"/>
      <c r="MY9" s="85"/>
      <c r="MZ9" s="85"/>
      <c r="NA9" s="85"/>
      <c r="NB9" s="85"/>
      <c r="NC9" s="85"/>
      <c r="ND9" s="85"/>
      <c r="NE9" s="85"/>
      <c r="NF9" s="85"/>
      <c r="NG9" s="85"/>
      <c r="NH9" s="85"/>
      <c r="NI9" s="85"/>
      <c r="NJ9" s="85"/>
      <c r="NK9" s="85"/>
      <c r="NL9" s="85"/>
      <c r="NM9" s="85"/>
      <c r="NN9" s="85"/>
      <c r="NO9" s="85"/>
      <c r="NP9" s="85"/>
      <c r="NQ9" s="85"/>
      <c r="NR9" s="85"/>
      <c r="NS9" s="85"/>
      <c r="NT9" s="85"/>
      <c r="NU9" s="85"/>
      <c r="NV9" s="85"/>
      <c r="NW9" s="85"/>
      <c r="NX9" s="85"/>
      <c r="NY9" s="85"/>
      <c r="NZ9" s="85"/>
      <c r="OA9" s="85"/>
      <c r="OB9" s="85"/>
      <c r="OC9" s="85"/>
      <c r="OD9" s="85"/>
      <c r="OE9" s="85"/>
      <c r="OF9" s="85"/>
      <c r="OG9" s="85"/>
      <c r="OH9" s="85"/>
      <c r="OI9" s="85"/>
      <c r="OJ9" s="85"/>
      <c r="OK9" s="85"/>
      <c r="OL9" s="85"/>
      <c r="OM9" s="85"/>
      <c r="ON9" s="85"/>
      <c r="OO9" s="85"/>
      <c r="OP9" s="85"/>
      <c r="OQ9" s="85"/>
      <c r="OR9" s="85"/>
      <c r="OS9" s="85"/>
      <c r="OT9" s="85"/>
      <c r="OU9" s="85"/>
      <c r="OV9" s="85"/>
      <c r="OW9" s="85"/>
      <c r="OX9" s="85"/>
      <c r="OY9" s="85"/>
      <c r="OZ9" s="85"/>
      <c r="PA9" s="85"/>
      <c r="PB9" s="85"/>
      <c r="PC9" s="85"/>
      <c r="PD9" s="85"/>
      <c r="PE9" s="85"/>
      <c r="PF9" s="85"/>
      <c r="PG9" s="85"/>
      <c r="PH9" s="85"/>
      <c r="PI9" s="85"/>
      <c r="PJ9" s="85"/>
      <c r="PK9" s="85"/>
      <c r="PL9" s="85"/>
      <c r="PM9" s="85"/>
      <c r="PN9" s="85"/>
      <c r="PO9" s="85"/>
      <c r="PP9" s="85"/>
      <c r="PQ9" s="85"/>
      <c r="PR9" s="85"/>
      <c r="PS9" s="85"/>
      <c r="PT9" s="85"/>
      <c r="PU9" s="85"/>
      <c r="PV9" s="85"/>
      <c r="PW9" s="85"/>
      <c r="PX9" s="85"/>
      <c r="PY9" s="85"/>
      <c r="PZ9" s="85"/>
      <c r="QA9" s="85"/>
      <c r="QB9" s="85"/>
      <c r="QC9" s="85"/>
      <c r="QD9" s="85"/>
      <c r="QE9" s="85"/>
      <c r="QF9" s="85"/>
      <c r="QG9" s="85"/>
      <c r="QH9" s="85"/>
      <c r="QI9" s="85"/>
      <c r="QJ9" s="85"/>
      <c r="QK9" s="85"/>
      <c r="QL9" s="85"/>
      <c r="QM9" s="85"/>
      <c r="QN9" s="85"/>
      <c r="QO9" s="85"/>
      <c r="QP9" s="85"/>
      <c r="QQ9" s="85"/>
      <c r="QR9" s="85"/>
      <c r="QS9" s="85"/>
      <c r="QT9" s="85"/>
      <c r="QU9" s="85"/>
      <c r="QV9" s="85"/>
      <c r="QW9" s="85"/>
      <c r="QX9" s="85"/>
      <c r="QY9" s="85"/>
      <c r="QZ9" s="85"/>
      <c r="RA9" s="85"/>
      <c r="RB9" s="85"/>
      <c r="RC9" s="85"/>
      <c r="RD9" s="85"/>
      <c r="RE9" s="85"/>
      <c r="RF9" s="85"/>
      <c r="RG9" s="85"/>
      <c r="RH9" s="85"/>
      <c r="RI9" s="85"/>
      <c r="RJ9" s="85"/>
      <c r="RK9" s="85"/>
      <c r="RL9" s="85"/>
      <c r="RM9" s="85"/>
      <c r="RN9" s="85"/>
      <c r="RO9" s="85"/>
      <c r="RP9" s="85"/>
      <c r="RQ9" s="85"/>
      <c r="RR9" s="85"/>
      <c r="RS9" s="85"/>
      <c r="RT9" s="85"/>
      <c r="RU9" s="85"/>
      <c r="RV9" s="85"/>
      <c r="RW9" s="85"/>
      <c r="RX9" s="85"/>
      <c r="RY9" s="85"/>
      <c r="RZ9" s="85"/>
      <c r="SA9" s="85"/>
      <c r="SB9" s="85"/>
      <c r="SC9" s="85"/>
      <c r="SD9" s="85"/>
      <c r="SE9" s="85"/>
      <c r="SF9" s="85"/>
      <c r="SG9" s="85"/>
      <c r="SH9" s="85"/>
      <c r="SI9" s="85"/>
      <c r="SJ9" s="85"/>
      <c r="SK9" s="85"/>
      <c r="SL9" s="85"/>
      <c r="SM9" s="85"/>
      <c r="SN9" s="85"/>
      <c r="SO9" s="85"/>
      <c r="SP9" s="85"/>
      <c r="SQ9" s="85"/>
      <c r="SR9" s="85"/>
      <c r="SS9" s="85"/>
      <c r="ST9" s="85"/>
      <c r="SU9" s="85"/>
      <c r="SV9" s="85"/>
      <c r="SW9" s="85"/>
      <c r="SX9" s="85"/>
      <c r="SY9" s="85"/>
      <c r="SZ9" s="85"/>
      <c r="TA9" s="85"/>
      <c r="TB9" s="85"/>
      <c r="TC9" s="85"/>
      <c r="TD9" s="85"/>
      <c r="TE9" s="85"/>
      <c r="TF9" s="85"/>
      <c r="TG9" s="85"/>
      <c r="TH9" s="85"/>
      <c r="TI9" s="85"/>
      <c r="TJ9" s="85"/>
      <c r="TK9" s="85"/>
      <c r="TL9" s="85"/>
      <c r="TM9" s="85"/>
      <c r="TN9" s="85"/>
      <c r="TO9" s="85"/>
      <c r="TP9" s="85"/>
      <c r="TQ9" s="85"/>
      <c r="TR9" s="85"/>
      <c r="TS9" s="85"/>
      <c r="TT9" s="85"/>
      <c r="TU9" s="85"/>
      <c r="TV9" s="85"/>
      <c r="TW9" s="85"/>
      <c r="TX9" s="85"/>
      <c r="TY9" s="85"/>
      <c r="TZ9" s="85"/>
      <c r="UA9" s="85"/>
      <c r="UB9" s="85"/>
      <c r="UC9" s="85"/>
      <c r="UD9" s="85"/>
      <c r="UE9" s="85"/>
      <c r="UF9" s="85"/>
      <c r="UG9" s="85"/>
      <c r="UH9" s="85"/>
      <c r="UI9" s="85"/>
      <c r="UJ9" s="85"/>
      <c r="UK9" s="85"/>
      <c r="UL9" s="85"/>
      <c r="UM9" s="85"/>
      <c r="UN9" s="85"/>
      <c r="UO9" s="85"/>
      <c r="UP9" s="85"/>
      <c r="UQ9" s="85"/>
      <c r="UR9" s="85"/>
      <c r="US9" s="85"/>
      <c r="UT9" s="85"/>
      <c r="UU9" s="85"/>
      <c r="UV9" s="85"/>
      <c r="UW9" s="85"/>
      <c r="UX9" s="85"/>
      <c r="UY9" s="85"/>
      <c r="UZ9" s="85"/>
      <c r="VA9" s="85"/>
      <c r="VB9" s="85"/>
      <c r="VC9" s="85"/>
      <c r="VD9" s="85"/>
      <c r="VE9" s="85"/>
      <c r="VF9" s="85"/>
      <c r="VG9" s="85"/>
      <c r="VH9" s="85"/>
      <c r="VI9" s="85"/>
      <c r="VJ9" s="85"/>
      <c r="VK9" s="85"/>
      <c r="VL9" s="85"/>
      <c r="VM9" s="85"/>
      <c r="VN9" s="85"/>
      <c r="VO9" s="85"/>
      <c r="VP9" s="85"/>
      <c r="VQ9" s="85"/>
      <c r="VR9" s="85"/>
      <c r="VS9" s="85"/>
      <c r="VT9" s="85"/>
      <c r="VU9" s="85"/>
      <c r="VV9" s="85"/>
      <c r="VW9" s="85"/>
      <c r="VX9" s="85"/>
      <c r="VY9" s="85"/>
      <c r="VZ9" s="85"/>
      <c r="WA9" s="85"/>
      <c r="WB9" s="85"/>
      <c r="WC9" s="85"/>
      <c r="WD9" s="85"/>
      <c r="WE9" s="85"/>
      <c r="WF9" s="85"/>
      <c r="WG9" s="85"/>
      <c r="WH9" s="85"/>
      <c r="WI9" s="85"/>
      <c r="WJ9" s="85"/>
      <c r="WK9" s="85"/>
      <c r="WL9" s="85"/>
      <c r="WM9" s="85"/>
      <c r="WN9" s="85"/>
      <c r="WO9" s="85"/>
      <c r="WP9" s="85"/>
      <c r="WQ9" s="85"/>
      <c r="WR9" s="85"/>
      <c r="WS9" s="85"/>
      <c r="WT9" s="85"/>
      <c r="WU9" s="85"/>
      <c r="WV9" s="85"/>
      <c r="WW9" s="85"/>
      <c r="WX9" s="85"/>
      <c r="WY9" s="85"/>
      <c r="WZ9" s="85"/>
      <c r="XA9" s="85"/>
      <c r="XB9" s="85"/>
      <c r="XC9" s="85"/>
      <c r="XD9" s="85"/>
      <c r="XE9" s="85"/>
      <c r="XF9" s="85"/>
      <c r="XG9" s="85"/>
      <c r="XH9" s="85"/>
      <c r="XI9" s="85"/>
      <c r="XJ9" s="85"/>
      <c r="XK9" s="85"/>
      <c r="XL9" s="85"/>
      <c r="XM9" s="85"/>
      <c r="XN9" s="85"/>
      <c r="XO9" s="85"/>
      <c r="XP9" s="85"/>
      <c r="XQ9" s="85"/>
      <c r="XR9" s="85"/>
      <c r="XS9" s="85"/>
      <c r="XT9" s="85"/>
      <c r="XU9" s="85"/>
      <c r="XV9" s="85"/>
      <c r="XW9" s="85"/>
    </row>
    <row r="10" spans="1:647" s="30" customFormat="1" ht="14.25" customHeight="1">
      <c r="A10" s="88"/>
      <c r="B10" s="89"/>
      <c r="C10" s="92"/>
      <c r="D10" s="92"/>
      <c r="E10" s="94"/>
      <c r="F10" s="92"/>
      <c r="G10" s="92"/>
      <c r="H10" s="92"/>
      <c r="I10" s="273"/>
      <c r="J10" s="279"/>
      <c r="K10" s="282"/>
      <c r="L10" s="346"/>
      <c r="M10" s="159"/>
      <c r="N10" s="159"/>
      <c r="O10" s="159"/>
      <c r="P10" s="159"/>
      <c r="Q10" s="175"/>
      <c r="R10" s="91"/>
      <c r="S10" s="156"/>
      <c r="T10" s="92"/>
      <c r="U10" s="95"/>
      <c r="V10" s="92"/>
      <c r="W10" s="92"/>
      <c r="X10" s="92"/>
      <c r="Y10" s="168"/>
      <c r="Z10" s="168"/>
      <c r="AA10" s="161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5"/>
      <c r="CC10" s="85"/>
      <c r="CD10" s="85"/>
      <c r="CE10" s="85"/>
      <c r="CF10" s="85"/>
      <c r="CG10" s="85"/>
      <c r="CH10" s="85"/>
      <c r="CI10" s="85"/>
      <c r="CJ10" s="85"/>
      <c r="CK10" s="85"/>
      <c r="CL10" s="85"/>
      <c r="CM10" s="85"/>
      <c r="CN10" s="85"/>
      <c r="CO10" s="85"/>
      <c r="CP10" s="85"/>
      <c r="CQ10" s="85"/>
      <c r="CR10" s="85"/>
      <c r="CS10" s="85"/>
      <c r="CT10" s="85"/>
      <c r="CU10" s="85"/>
      <c r="CV10" s="85"/>
      <c r="CW10" s="85"/>
      <c r="CX10" s="85"/>
      <c r="CY10" s="85"/>
      <c r="CZ10" s="85"/>
      <c r="DA10" s="85"/>
      <c r="DB10" s="85"/>
      <c r="DC10" s="85"/>
      <c r="DD10" s="85"/>
      <c r="DE10" s="85"/>
      <c r="DF10" s="85"/>
      <c r="DG10" s="85"/>
      <c r="DH10" s="85"/>
      <c r="DI10" s="85"/>
      <c r="DJ10" s="85"/>
      <c r="DK10" s="85"/>
      <c r="DL10" s="85"/>
      <c r="DM10" s="85"/>
      <c r="DN10" s="85"/>
      <c r="DO10" s="85"/>
      <c r="DP10" s="85"/>
      <c r="DQ10" s="85"/>
      <c r="DR10" s="85"/>
      <c r="DS10" s="85"/>
      <c r="DT10" s="85"/>
      <c r="DU10" s="85"/>
      <c r="DV10" s="85"/>
      <c r="DW10" s="85"/>
      <c r="DX10" s="85"/>
      <c r="DY10" s="85"/>
      <c r="DZ10" s="85"/>
      <c r="EA10" s="85"/>
      <c r="EB10" s="85"/>
      <c r="EC10" s="85"/>
      <c r="ED10" s="85"/>
      <c r="EE10" s="85"/>
      <c r="EF10" s="85"/>
      <c r="EG10" s="85"/>
      <c r="EH10" s="85"/>
      <c r="EI10" s="85"/>
      <c r="EJ10" s="85"/>
      <c r="EK10" s="85"/>
      <c r="EL10" s="85"/>
      <c r="EM10" s="85"/>
      <c r="EN10" s="85"/>
      <c r="EO10" s="85"/>
      <c r="EP10" s="85"/>
      <c r="EQ10" s="85"/>
      <c r="ER10" s="85"/>
      <c r="ES10" s="85"/>
      <c r="ET10" s="85"/>
      <c r="EU10" s="85"/>
      <c r="EV10" s="85"/>
      <c r="EW10" s="85"/>
      <c r="EX10" s="85"/>
      <c r="EY10" s="85"/>
      <c r="EZ10" s="85"/>
      <c r="FA10" s="85"/>
      <c r="FB10" s="85"/>
      <c r="FC10" s="85"/>
      <c r="FD10" s="85"/>
      <c r="FE10" s="85"/>
      <c r="FF10" s="85"/>
      <c r="FG10" s="85"/>
      <c r="FH10" s="85"/>
      <c r="FI10" s="85"/>
      <c r="FJ10" s="85"/>
      <c r="FK10" s="85"/>
      <c r="FL10" s="85"/>
      <c r="FM10" s="85"/>
      <c r="FN10" s="85"/>
      <c r="FO10" s="85"/>
      <c r="FP10" s="85"/>
      <c r="FQ10" s="85"/>
      <c r="FR10" s="85"/>
      <c r="FS10" s="85"/>
      <c r="FT10" s="85"/>
      <c r="FU10" s="85"/>
      <c r="FV10" s="85"/>
      <c r="FW10" s="85"/>
      <c r="FX10" s="85"/>
      <c r="FY10" s="85"/>
      <c r="FZ10" s="85"/>
      <c r="GA10" s="85"/>
      <c r="GB10" s="85"/>
      <c r="GC10" s="85"/>
      <c r="GD10" s="85"/>
      <c r="GE10" s="85"/>
      <c r="GF10" s="85"/>
      <c r="GG10" s="85"/>
      <c r="GH10" s="85"/>
      <c r="GI10" s="85"/>
      <c r="GJ10" s="85"/>
      <c r="GK10" s="85"/>
      <c r="GL10" s="85"/>
      <c r="GM10" s="85"/>
      <c r="GN10" s="85"/>
      <c r="GO10" s="85"/>
      <c r="GP10" s="85"/>
      <c r="GQ10" s="85"/>
      <c r="GR10" s="85"/>
      <c r="GS10" s="85"/>
      <c r="GT10" s="85"/>
      <c r="GU10" s="85"/>
      <c r="GV10" s="85"/>
      <c r="GW10" s="85"/>
      <c r="GX10" s="85"/>
      <c r="GY10" s="85"/>
      <c r="GZ10" s="85"/>
      <c r="HA10" s="85"/>
      <c r="HB10" s="85"/>
      <c r="HC10" s="85"/>
      <c r="HD10" s="85"/>
      <c r="HE10" s="85"/>
      <c r="HF10" s="85"/>
      <c r="HG10" s="85"/>
      <c r="HH10" s="85"/>
      <c r="HI10" s="85"/>
      <c r="HJ10" s="85"/>
      <c r="HK10" s="85"/>
      <c r="HL10" s="85"/>
      <c r="HM10" s="85"/>
      <c r="HN10" s="85"/>
      <c r="HO10" s="85"/>
      <c r="HP10" s="85"/>
      <c r="HQ10" s="85"/>
      <c r="HR10" s="85"/>
      <c r="HS10" s="85"/>
      <c r="HT10" s="85"/>
      <c r="HU10" s="85"/>
      <c r="HV10" s="85"/>
      <c r="HW10" s="85"/>
      <c r="HX10" s="85"/>
      <c r="HY10" s="85"/>
      <c r="HZ10" s="85"/>
      <c r="IA10" s="85"/>
      <c r="IB10" s="85"/>
      <c r="IC10" s="85"/>
      <c r="ID10" s="85"/>
      <c r="IE10" s="85"/>
      <c r="IF10" s="85"/>
      <c r="IG10" s="85"/>
      <c r="IH10" s="85"/>
      <c r="II10" s="85"/>
      <c r="IJ10" s="85"/>
      <c r="IK10" s="85"/>
      <c r="IL10" s="85"/>
      <c r="IM10" s="85"/>
      <c r="IN10" s="85"/>
      <c r="IO10" s="85"/>
      <c r="IP10" s="85"/>
      <c r="IQ10" s="85"/>
      <c r="IR10" s="85"/>
      <c r="IS10" s="85"/>
      <c r="IT10" s="85"/>
      <c r="IU10" s="85"/>
      <c r="IV10" s="85"/>
      <c r="IW10" s="85"/>
      <c r="IX10" s="85"/>
      <c r="IY10" s="85"/>
      <c r="IZ10" s="85"/>
      <c r="JA10" s="85"/>
      <c r="JB10" s="85"/>
      <c r="JC10" s="85"/>
      <c r="JD10" s="85"/>
      <c r="JE10" s="85"/>
      <c r="JF10" s="85"/>
      <c r="JG10" s="85"/>
      <c r="JH10" s="85"/>
      <c r="JI10" s="85"/>
      <c r="JJ10" s="85"/>
      <c r="JK10" s="85"/>
      <c r="JL10" s="85"/>
      <c r="JM10" s="85"/>
      <c r="JN10" s="85"/>
      <c r="JO10" s="85"/>
      <c r="JP10" s="85"/>
      <c r="JQ10" s="85"/>
      <c r="JR10" s="85"/>
      <c r="JS10" s="85"/>
      <c r="JT10" s="85"/>
      <c r="JU10" s="85"/>
      <c r="JV10" s="85"/>
      <c r="JW10" s="85"/>
      <c r="JX10" s="85"/>
      <c r="JY10" s="85"/>
      <c r="JZ10" s="85"/>
      <c r="KA10" s="85"/>
      <c r="KB10" s="85"/>
      <c r="KC10" s="85"/>
      <c r="KD10" s="85"/>
      <c r="KE10" s="85"/>
      <c r="KF10" s="85"/>
      <c r="KG10" s="85"/>
      <c r="KH10" s="85"/>
      <c r="KI10" s="85"/>
      <c r="KJ10" s="85"/>
      <c r="KK10" s="85"/>
      <c r="KL10" s="85"/>
      <c r="KM10" s="85"/>
      <c r="KN10" s="85"/>
      <c r="KO10" s="85"/>
      <c r="KP10" s="85"/>
      <c r="KQ10" s="85"/>
      <c r="KR10" s="85"/>
      <c r="KS10" s="85"/>
      <c r="KT10" s="85"/>
      <c r="KU10" s="85"/>
      <c r="KV10" s="85"/>
      <c r="KW10" s="85"/>
      <c r="KX10" s="85"/>
      <c r="KY10" s="85"/>
      <c r="KZ10" s="85"/>
      <c r="LA10" s="85"/>
      <c r="LB10" s="85"/>
      <c r="LC10" s="85"/>
      <c r="LD10" s="85"/>
      <c r="LE10" s="85"/>
      <c r="LF10" s="85"/>
      <c r="LG10" s="85"/>
      <c r="LH10" s="85"/>
      <c r="LI10" s="85"/>
      <c r="LJ10" s="85"/>
      <c r="LK10" s="85"/>
      <c r="LL10" s="85"/>
      <c r="LM10" s="85"/>
      <c r="LN10" s="85"/>
      <c r="LO10" s="85"/>
      <c r="LP10" s="85"/>
      <c r="LQ10" s="85"/>
      <c r="LR10" s="85"/>
      <c r="LS10" s="85"/>
      <c r="LT10" s="85"/>
      <c r="LU10" s="85"/>
      <c r="LV10" s="85"/>
      <c r="LW10" s="85"/>
      <c r="LX10" s="85"/>
      <c r="LY10" s="85"/>
      <c r="LZ10" s="85"/>
      <c r="MA10" s="85"/>
      <c r="MB10" s="85"/>
      <c r="MC10" s="85"/>
      <c r="MD10" s="85"/>
      <c r="ME10" s="85"/>
      <c r="MF10" s="85"/>
      <c r="MG10" s="85"/>
      <c r="MH10" s="85"/>
      <c r="MI10" s="85"/>
      <c r="MJ10" s="85"/>
      <c r="MK10" s="85"/>
      <c r="ML10" s="85"/>
      <c r="MM10" s="85"/>
      <c r="MN10" s="85"/>
      <c r="MO10" s="85"/>
      <c r="MP10" s="85"/>
      <c r="MQ10" s="85"/>
      <c r="MR10" s="85"/>
      <c r="MS10" s="85"/>
      <c r="MT10" s="85"/>
      <c r="MU10" s="85"/>
      <c r="MV10" s="85"/>
      <c r="MW10" s="85"/>
      <c r="MX10" s="85"/>
      <c r="MY10" s="85"/>
      <c r="MZ10" s="85"/>
      <c r="NA10" s="85"/>
      <c r="NB10" s="85"/>
      <c r="NC10" s="85"/>
      <c r="ND10" s="85"/>
      <c r="NE10" s="85"/>
      <c r="NF10" s="85"/>
      <c r="NG10" s="85"/>
      <c r="NH10" s="85"/>
      <c r="NI10" s="85"/>
      <c r="NJ10" s="85"/>
      <c r="NK10" s="85"/>
      <c r="NL10" s="85"/>
      <c r="NM10" s="85"/>
      <c r="NN10" s="85"/>
      <c r="NO10" s="85"/>
      <c r="NP10" s="85"/>
      <c r="NQ10" s="85"/>
      <c r="NR10" s="85"/>
      <c r="NS10" s="85"/>
      <c r="NT10" s="85"/>
      <c r="NU10" s="85"/>
      <c r="NV10" s="85"/>
      <c r="NW10" s="85"/>
      <c r="NX10" s="85"/>
      <c r="NY10" s="85"/>
      <c r="NZ10" s="85"/>
      <c r="OA10" s="85"/>
      <c r="OB10" s="85"/>
      <c r="OC10" s="85"/>
      <c r="OD10" s="85"/>
      <c r="OE10" s="85"/>
      <c r="OF10" s="85"/>
      <c r="OG10" s="85"/>
      <c r="OH10" s="85"/>
      <c r="OI10" s="85"/>
      <c r="OJ10" s="85"/>
      <c r="OK10" s="85"/>
      <c r="OL10" s="85"/>
      <c r="OM10" s="85"/>
      <c r="ON10" s="85"/>
      <c r="OO10" s="85"/>
      <c r="OP10" s="85"/>
      <c r="OQ10" s="85"/>
      <c r="OR10" s="85"/>
      <c r="OS10" s="85"/>
      <c r="OT10" s="85"/>
      <c r="OU10" s="85"/>
      <c r="OV10" s="85"/>
      <c r="OW10" s="85"/>
      <c r="OX10" s="85"/>
      <c r="OY10" s="85"/>
      <c r="OZ10" s="85"/>
      <c r="PA10" s="85"/>
      <c r="PB10" s="85"/>
      <c r="PC10" s="85"/>
      <c r="PD10" s="85"/>
      <c r="PE10" s="85"/>
      <c r="PF10" s="85"/>
      <c r="PG10" s="85"/>
      <c r="PH10" s="85"/>
      <c r="PI10" s="85"/>
      <c r="PJ10" s="85"/>
      <c r="PK10" s="85"/>
      <c r="PL10" s="85"/>
      <c r="PM10" s="85"/>
      <c r="PN10" s="85"/>
      <c r="PO10" s="85"/>
      <c r="PP10" s="85"/>
      <c r="PQ10" s="85"/>
      <c r="PR10" s="85"/>
      <c r="PS10" s="85"/>
      <c r="PT10" s="85"/>
      <c r="PU10" s="85"/>
      <c r="PV10" s="85"/>
      <c r="PW10" s="85"/>
      <c r="PX10" s="85"/>
      <c r="PY10" s="85"/>
      <c r="PZ10" s="85"/>
      <c r="QA10" s="85"/>
      <c r="QB10" s="85"/>
      <c r="QC10" s="85"/>
      <c r="QD10" s="85"/>
      <c r="QE10" s="85"/>
      <c r="QF10" s="85"/>
      <c r="QG10" s="85"/>
      <c r="QH10" s="85"/>
      <c r="QI10" s="85"/>
      <c r="QJ10" s="85"/>
      <c r="QK10" s="85"/>
      <c r="QL10" s="85"/>
      <c r="QM10" s="85"/>
      <c r="QN10" s="85"/>
      <c r="QO10" s="85"/>
      <c r="QP10" s="85"/>
      <c r="QQ10" s="85"/>
      <c r="QR10" s="85"/>
      <c r="QS10" s="85"/>
      <c r="QT10" s="85"/>
      <c r="QU10" s="85"/>
      <c r="QV10" s="85"/>
      <c r="QW10" s="85"/>
      <c r="QX10" s="85"/>
      <c r="QY10" s="85"/>
      <c r="QZ10" s="85"/>
      <c r="RA10" s="85"/>
      <c r="RB10" s="85"/>
      <c r="RC10" s="85"/>
      <c r="RD10" s="85"/>
      <c r="RE10" s="85"/>
      <c r="RF10" s="85"/>
      <c r="RG10" s="85"/>
      <c r="RH10" s="85"/>
      <c r="RI10" s="85"/>
      <c r="RJ10" s="85"/>
      <c r="RK10" s="85"/>
      <c r="RL10" s="85"/>
      <c r="RM10" s="85"/>
      <c r="RN10" s="85"/>
      <c r="RO10" s="85"/>
      <c r="RP10" s="85"/>
      <c r="RQ10" s="85"/>
      <c r="RR10" s="85"/>
      <c r="RS10" s="85"/>
      <c r="RT10" s="85"/>
      <c r="RU10" s="85"/>
      <c r="RV10" s="85"/>
      <c r="RW10" s="85"/>
      <c r="RX10" s="85"/>
      <c r="RY10" s="85"/>
      <c r="RZ10" s="85"/>
      <c r="SA10" s="85"/>
      <c r="SB10" s="85"/>
      <c r="SC10" s="85"/>
      <c r="SD10" s="85"/>
      <c r="SE10" s="85"/>
      <c r="SF10" s="85"/>
      <c r="SG10" s="85"/>
      <c r="SH10" s="85"/>
      <c r="SI10" s="85"/>
      <c r="SJ10" s="85"/>
      <c r="SK10" s="85"/>
      <c r="SL10" s="85"/>
      <c r="SM10" s="85"/>
      <c r="SN10" s="85"/>
      <c r="SO10" s="85"/>
      <c r="SP10" s="85"/>
      <c r="SQ10" s="85"/>
      <c r="SR10" s="85"/>
      <c r="SS10" s="85"/>
      <c r="ST10" s="85"/>
      <c r="SU10" s="85"/>
      <c r="SV10" s="85"/>
      <c r="SW10" s="85"/>
      <c r="SX10" s="85"/>
      <c r="SY10" s="85"/>
      <c r="SZ10" s="85"/>
      <c r="TA10" s="85"/>
      <c r="TB10" s="85"/>
      <c r="TC10" s="85"/>
      <c r="TD10" s="85"/>
      <c r="TE10" s="85"/>
      <c r="TF10" s="85"/>
      <c r="TG10" s="85"/>
      <c r="TH10" s="85"/>
      <c r="TI10" s="85"/>
      <c r="TJ10" s="85"/>
      <c r="TK10" s="85"/>
      <c r="TL10" s="85"/>
      <c r="TM10" s="85"/>
      <c r="TN10" s="85"/>
      <c r="TO10" s="85"/>
      <c r="TP10" s="85"/>
      <c r="TQ10" s="85"/>
      <c r="TR10" s="85"/>
      <c r="TS10" s="85"/>
      <c r="TT10" s="85"/>
      <c r="TU10" s="85"/>
      <c r="TV10" s="85"/>
      <c r="TW10" s="85"/>
      <c r="TX10" s="85"/>
      <c r="TY10" s="85"/>
      <c r="TZ10" s="85"/>
      <c r="UA10" s="85"/>
      <c r="UB10" s="85"/>
      <c r="UC10" s="85"/>
      <c r="UD10" s="85"/>
      <c r="UE10" s="85"/>
      <c r="UF10" s="85"/>
      <c r="UG10" s="85"/>
      <c r="UH10" s="85"/>
      <c r="UI10" s="85"/>
      <c r="UJ10" s="85"/>
      <c r="UK10" s="85"/>
      <c r="UL10" s="85"/>
      <c r="UM10" s="85"/>
      <c r="UN10" s="85"/>
      <c r="UO10" s="85"/>
      <c r="UP10" s="85"/>
      <c r="UQ10" s="85"/>
      <c r="UR10" s="85"/>
      <c r="US10" s="85"/>
      <c r="UT10" s="85"/>
      <c r="UU10" s="85"/>
      <c r="UV10" s="85"/>
      <c r="UW10" s="85"/>
      <c r="UX10" s="85"/>
      <c r="UY10" s="85"/>
      <c r="UZ10" s="85"/>
      <c r="VA10" s="85"/>
      <c r="VB10" s="85"/>
      <c r="VC10" s="85"/>
      <c r="VD10" s="85"/>
      <c r="VE10" s="85"/>
      <c r="VF10" s="85"/>
      <c r="VG10" s="85"/>
      <c r="VH10" s="85"/>
      <c r="VI10" s="85"/>
      <c r="VJ10" s="85"/>
      <c r="VK10" s="85"/>
      <c r="VL10" s="85"/>
      <c r="VM10" s="85"/>
      <c r="VN10" s="85"/>
      <c r="VO10" s="85"/>
      <c r="VP10" s="85"/>
      <c r="VQ10" s="85"/>
      <c r="VR10" s="85"/>
      <c r="VS10" s="85"/>
      <c r="VT10" s="85"/>
      <c r="VU10" s="85"/>
      <c r="VV10" s="85"/>
      <c r="VW10" s="85"/>
      <c r="VX10" s="85"/>
      <c r="VY10" s="85"/>
      <c r="VZ10" s="85"/>
      <c r="WA10" s="85"/>
      <c r="WB10" s="85"/>
      <c r="WC10" s="85"/>
      <c r="WD10" s="85"/>
      <c r="WE10" s="85"/>
      <c r="WF10" s="85"/>
      <c r="WG10" s="85"/>
      <c r="WH10" s="85"/>
      <c r="WI10" s="85"/>
      <c r="WJ10" s="85"/>
      <c r="WK10" s="85"/>
      <c r="WL10" s="85"/>
      <c r="WM10" s="85"/>
      <c r="WN10" s="85"/>
      <c r="WO10" s="85"/>
      <c r="WP10" s="85"/>
      <c r="WQ10" s="85"/>
      <c r="WR10" s="85"/>
      <c r="WS10" s="85"/>
      <c r="WT10" s="85"/>
      <c r="WU10" s="85"/>
      <c r="WV10" s="85"/>
      <c r="WW10" s="85"/>
      <c r="WX10" s="85"/>
      <c r="WY10" s="85"/>
      <c r="WZ10" s="85"/>
      <c r="XA10" s="85"/>
      <c r="XB10" s="85"/>
      <c r="XC10" s="85"/>
      <c r="XD10" s="85"/>
      <c r="XE10" s="85"/>
      <c r="XF10" s="85"/>
      <c r="XG10" s="85"/>
      <c r="XH10" s="85"/>
      <c r="XI10" s="85"/>
      <c r="XJ10" s="85"/>
      <c r="XK10" s="85"/>
      <c r="XL10" s="85"/>
      <c r="XM10" s="85"/>
      <c r="XN10" s="85"/>
      <c r="XO10" s="85"/>
      <c r="XP10" s="85"/>
      <c r="XQ10" s="85"/>
      <c r="XR10" s="85"/>
      <c r="XS10" s="85"/>
      <c r="XT10" s="85"/>
      <c r="XU10" s="85"/>
      <c r="XV10" s="85"/>
      <c r="XW10" s="85"/>
    </row>
    <row r="11" spans="1:647" s="30" customFormat="1" ht="14.25" customHeight="1">
      <c r="A11" s="88"/>
      <c r="B11" s="89"/>
      <c r="C11" s="92"/>
      <c r="D11" s="92"/>
      <c r="E11" s="94"/>
      <c r="F11" s="92"/>
      <c r="G11" s="92"/>
      <c r="H11" s="92"/>
      <c r="I11" s="273"/>
      <c r="J11" s="279"/>
      <c r="K11" s="282"/>
      <c r="L11" s="347"/>
      <c r="M11" s="159"/>
      <c r="N11" s="159"/>
      <c r="O11" s="159"/>
      <c r="P11" s="159"/>
      <c r="Q11" s="175"/>
      <c r="R11" s="91"/>
      <c r="S11" s="156"/>
      <c r="T11" s="92"/>
      <c r="U11" s="95"/>
      <c r="V11" s="92"/>
      <c r="W11" s="92"/>
      <c r="X11" s="92"/>
      <c r="Y11" s="168"/>
      <c r="Z11" s="168"/>
      <c r="AA11" s="161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5"/>
      <c r="BY11" s="85"/>
      <c r="BZ11" s="85"/>
      <c r="CA11" s="85"/>
      <c r="CB11" s="85"/>
      <c r="CC11" s="85"/>
      <c r="CD11" s="85"/>
      <c r="CE11" s="85"/>
      <c r="CF11" s="85"/>
      <c r="CG11" s="85"/>
      <c r="CH11" s="85"/>
      <c r="CI11" s="85"/>
      <c r="CJ11" s="85"/>
      <c r="CK11" s="85"/>
      <c r="CL11" s="85"/>
      <c r="CM11" s="85"/>
      <c r="CN11" s="85"/>
      <c r="CO11" s="85"/>
      <c r="CP11" s="85"/>
      <c r="CQ11" s="85"/>
      <c r="CR11" s="85"/>
      <c r="CS11" s="85"/>
      <c r="CT11" s="85"/>
      <c r="CU11" s="85"/>
      <c r="CV11" s="85"/>
      <c r="CW11" s="85"/>
      <c r="CX11" s="85"/>
      <c r="CY11" s="85"/>
      <c r="CZ11" s="85"/>
      <c r="DA11" s="85"/>
      <c r="DB11" s="85"/>
      <c r="DC11" s="85"/>
      <c r="DD11" s="85"/>
      <c r="DE11" s="85"/>
      <c r="DF11" s="85"/>
      <c r="DG11" s="85"/>
      <c r="DH11" s="85"/>
      <c r="DI11" s="85"/>
      <c r="DJ11" s="85"/>
      <c r="DK11" s="85"/>
      <c r="DL11" s="85"/>
      <c r="DM11" s="85"/>
      <c r="DN11" s="85"/>
      <c r="DO11" s="85"/>
      <c r="DP11" s="85"/>
      <c r="DQ11" s="85"/>
      <c r="DR11" s="85"/>
      <c r="DS11" s="85"/>
      <c r="DT11" s="85"/>
      <c r="DU11" s="85"/>
      <c r="DV11" s="85"/>
      <c r="DW11" s="85"/>
      <c r="DX11" s="85"/>
      <c r="DY11" s="85"/>
      <c r="DZ11" s="85"/>
      <c r="EA11" s="85"/>
      <c r="EB11" s="85"/>
      <c r="EC11" s="85"/>
      <c r="ED11" s="85"/>
      <c r="EE11" s="85"/>
      <c r="EF11" s="85"/>
      <c r="EG11" s="85"/>
      <c r="EH11" s="85"/>
      <c r="EI11" s="85"/>
      <c r="EJ11" s="85"/>
      <c r="EK11" s="85"/>
      <c r="EL11" s="85"/>
      <c r="EM11" s="85"/>
      <c r="EN11" s="85"/>
      <c r="EO11" s="85"/>
      <c r="EP11" s="85"/>
      <c r="EQ11" s="85"/>
      <c r="ER11" s="85"/>
      <c r="ES11" s="85"/>
      <c r="ET11" s="85"/>
      <c r="EU11" s="85"/>
      <c r="EV11" s="85"/>
      <c r="EW11" s="85"/>
      <c r="EX11" s="85"/>
      <c r="EY11" s="85"/>
      <c r="EZ11" s="85"/>
      <c r="FA11" s="85"/>
      <c r="FB11" s="85"/>
      <c r="FC11" s="85"/>
      <c r="FD11" s="85"/>
      <c r="FE11" s="85"/>
      <c r="FF11" s="85"/>
      <c r="FG11" s="85"/>
      <c r="FH11" s="85"/>
      <c r="FI11" s="85"/>
      <c r="FJ11" s="85"/>
      <c r="FK11" s="85"/>
      <c r="FL11" s="85"/>
      <c r="FM11" s="85"/>
      <c r="FN11" s="85"/>
      <c r="FO11" s="85"/>
      <c r="FP11" s="85"/>
      <c r="FQ11" s="85"/>
      <c r="FR11" s="85"/>
      <c r="FS11" s="85"/>
      <c r="FT11" s="85"/>
      <c r="FU11" s="85"/>
      <c r="FV11" s="85"/>
      <c r="FW11" s="85"/>
      <c r="FX11" s="85"/>
      <c r="FY11" s="85"/>
      <c r="FZ11" s="85"/>
      <c r="GA11" s="85"/>
      <c r="GB11" s="85"/>
      <c r="GC11" s="85"/>
      <c r="GD11" s="85"/>
      <c r="GE11" s="85"/>
      <c r="GF11" s="85"/>
      <c r="GG11" s="85"/>
      <c r="GH11" s="85"/>
      <c r="GI11" s="85"/>
      <c r="GJ11" s="85"/>
      <c r="GK11" s="85"/>
      <c r="GL11" s="85"/>
      <c r="GM11" s="85"/>
      <c r="GN11" s="85"/>
      <c r="GO11" s="85"/>
      <c r="GP11" s="85"/>
      <c r="GQ11" s="85"/>
      <c r="GR11" s="85"/>
      <c r="GS11" s="85"/>
      <c r="GT11" s="85"/>
      <c r="GU11" s="85"/>
      <c r="GV11" s="85"/>
      <c r="GW11" s="85"/>
      <c r="GX11" s="85"/>
      <c r="GY11" s="85"/>
      <c r="GZ11" s="85"/>
      <c r="HA11" s="85"/>
      <c r="HB11" s="85"/>
      <c r="HC11" s="85"/>
      <c r="HD11" s="85"/>
      <c r="HE11" s="85"/>
      <c r="HF11" s="85"/>
      <c r="HG11" s="85"/>
      <c r="HH11" s="85"/>
      <c r="HI11" s="85"/>
      <c r="HJ11" s="85"/>
      <c r="HK11" s="85"/>
      <c r="HL11" s="85"/>
      <c r="HM11" s="85"/>
      <c r="HN11" s="85"/>
      <c r="HO11" s="85"/>
      <c r="HP11" s="85"/>
      <c r="HQ11" s="85"/>
      <c r="HR11" s="85"/>
      <c r="HS11" s="85"/>
      <c r="HT11" s="85"/>
      <c r="HU11" s="85"/>
      <c r="HV11" s="85"/>
      <c r="HW11" s="85"/>
      <c r="HX11" s="85"/>
      <c r="HY11" s="85"/>
      <c r="HZ11" s="85"/>
      <c r="IA11" s="85"/>
      <c r="IB11" s="85"/>
      <c r="IC11" s="85"/>
      <c r="ID11" s="85"/>
      <c r="IE11" s="85"/>
      <c r="IF11" s="85"/>
      <c r="IG11" s="85"/>
      <c r="IH11" s="85"/>
      <c r="II11" s="85"/>
      <c r="IJ11" s="85"/>
      <c r="IK11" s="85"/>
      <c r="IL11" s="85"/>
      <c r="IM11" s="85"/>
      <c r="IN11" s="85"/>
      <c r="IO11" s="85"/>
      <c r="IP11" s="85"/>
      <c r="IQ11" s="85"/>
      <c r="IR11" s="85"/>
      <c r="IS11" s="85"/>
      <c r="IT11" s="85"/>
      <c r="IU11" s="85"/>
      <c r="IV11" s="85"/>
      <c r="IW11" s="85"/>
      <c r="IX11" s="85"/>
      <c r="IY11" s="85"/>
      <c r="IZ11" s="85"/>
      <c r="JA11" s="85"/>
      <c r="JB11" s="85"/>
      <c r="JC11" s="85"/>
      <c r="JD11" s="85"/>
      <c r="JE11" s="85"/>
      <c r="JF11" s="85"/>
      <c r="JG11" s="85"/>
      <c r="JH11" s="85"/>
      <c r="JI11" s="85"/>
      <c r="JJ11" s="85"/>
      <c r="JK11" s="85"/>
      <c r="JL11" s="85"/>
      <c r="JM11" s="85"/>
      <c r="JN11" s="85"/>
      <c r="JO11" s="85"/>
      <c r="JP11" s="85"/>
      <c r="JQ11" s="85"/>
      <c r="JR11" s="85"/>
      <c r="JS11" s="85"/>
      <c r="JT11" s="85"/>
      <c r="JU11" s="85"/>
      <c r="JV11" s="85"/>
      <c r="JW11" s="85"/>
      <c r="JX11" s="85"/>
      <c r="JY11" s="85"/>
      <c r="JZ11" s="85"/>
      <c r="KA11" s="85"/>
      <c r="KB11" s="85"/>
      <c r="KC11" s="85"/>
      <c r="KD11" s="85"/>
      <c r="KE11" s="85"/>
      <c r="KF11" s="85"/>
      <c r="KG11" s="85"/>
      <c r="KH11" s="85"/>
      <c r="KI11" s="85"/>
      <c r="KJ11" s="85"/>
      <c r="KK11" s="85"/>
      <c r="KL11" s="85"/>
      <c r="KM11" s="85"/>
      <c r="KN11" s="85"/>
      <c r="KO11" s="85"/>
      <c r="KP11" s="85"/>
      <c r="KQ11" s="85"/>
      <c r="KR11" s="85"/>
      <c r="KS11" s="85"/>
      <c r="KT11" s="85"/>
      <c r="KU11" s="85"/>
      <c r="KV11" s="85"/>
      <c r="KW11" s="85"/>
      <c r="KX11" s="85"/>
      <c r="KY11" s="85"/>
      <c r="KZ11" s="85"/>
      <c r="LA11" s="85"/>
      <c r="LB11" s="85"/>
      <c r="LC11" s="85"/>
      <c r="LD11" s="85"/>
      <c r="LE11" s="85"/>
      <c r="LF11" s="85"/>
      <c r="LG11" s="85"/>
      <c r="LH11" s="85"/>
      <c r="LI11" s="85"/>
      <c r="LJ11" s="85"/>
      <c r="LK11" s="85"/>
      <c r="LL11" s="85"/>
      <c r="LM11" s="85"/>
      <c r="LN11" s="85"/>
      <c r="LO11" s="85"/>
      <c r="LP11" s="85"/>
      <c r="LQ11" s="85"/>
      <c r="LR11" s="85"/>
      <c r="LS11" s="85"/>
      <c r="LT11" s="85"/>
      <c r="LU11" s="85"/>
      <c r="LV11" s="85"/>
      <c r="LW11" s="85"/>
      <c r="LX11" s="85"/>
      <c r="LY11" s="85"/>
      <c r="LZ11" s="85"/>
      <c r="MA11" s="85"/>
      <c r="MB11" s="85"/>
      <c r="MC11" s="85"/>
      <c r="MD11" s="85"/>
      <c r="ME11" s="85"/>
      <c r="MF11" s="85"/>
      <c r="MG11" s="85"/>
      <c r="MH11" s="85"/>
      <c r="MI11" s="85"/>
      <c r="MJ11" s="85"/>
      <c r="MK11" s="85"/>
      <c r="ML11" s="85"/>
      <c r="MM11" s="85"/>
      <c r="MN11" s="85"/>
      <c r="MO11" s="85"/>
      <c r="MP11" s="85"/>
      <c r="MQ11" s="85"/>
      <c r="MR11" s="85"/>
      <c r="MS11" s="85"/>
      <c r="MT11" s="85"/>
      <c r="MU11" s="85"/>
      <c r="MV11" s="85"/>
      <c r="MW11" s="85"/>
      <c r="MX11" s="85"/>
      <c r="MY11" s="85"/>
      <c r="MZ11" s="85"/>
      <c r="NA11" s="85"/>
      <c r="NB11" s="85"/>
      <c r="NC11" s="85"/>
      <c r="ND11" s="85"/>
      <c r="NE11" s="85"/>
      <c r="NF11" s="85"/>
      <c r="NG11" s="85"/>
      <c r="NH11" s="85"/>
      <c r="NI11" s="85"/>
      <c r="NJ11" s="85"/>
      <c r="NK11" s="85"/>
      <c r="NL11" s="85"/>
      <c r="NM11" s="85"/>
      <c r="NN11" s="85"/>
      <c r="NO11" s="85"/>
      <c r="NP11" s="85"/>
      <c r="NQ11" s="85"/>
      <c r="NR11" s="85"/>
      <c r="NS11" s="85"/>
      <c r="NT11" s="85"/>
      <c r="NU11" s="85"/>
      <c r="NV11" s="85"/>
      <c r="NW11" s="85"/>
      <c r="NX11" s="85"/>
      <c r="NY11" s="85"/>
      <c r="NZ11" s="85"/>
      <c r="OA11" s="85"/>
      <c r="OB11" s="85"/>
      <c r="OC11" s="85"/>
      <c r="OD11" s="85"/>
      <c r="OE11" s="85"/>
      <c r="OF11" s="85"/>
      <c r="OG11" s="85"/>
      <c r="OH11" s="85"/>
      <c r="OI11" s="85"/>
      <c r="OJ11" s="85"/>
      <c r="OK11" s="85"/>
      <c r="OL11" s="85"/>
      <c r="OM11" s="85"/>
      <c r="ON11" s="85"/>
      <c r="OO11" s="85"/>
      <c r="OP11" s="85"/>
      <c r="OQ11" s="85"/>
      <c r="OR11" s="85"/>
      <c r="OS11" s="85"/>
      <c r="OT11" s="85"/>
      <c r="OU11" s="85"/>
      <c r="OV11" s="85"/>
      <c r="OW11" s="85"/>
      <c r="OX11" s="85"/>
      <c r="OY11" s="85"/>
      <c r="OZ11" s="85"/>
      <c r="PA11" s="85"/>
      <c r="PB11" s="85"/>
      <c r="PC11" s="85"/>
      <c r="PD11" s="85"/>
      <c r="PE11" s="85"/>
      <c r="PF11" s="85"/>
      <c r="PG11" s="85"/>
      <c r="PH11" s="85"/>
      <c r="PI11" s="85"/>
      <c r="PJ11" s="85"/>
      <c r="PK11" s="85"/>
      <c r="PL11" s="85"/>
      <c r="PM11" s="85"/>
      <c r="PN11" s="85"/>
      <c r="PO11" s="85"/>
      <c r="PP11" s="85"/>
      <c r="PQ11" s="85"/>
      <c r="PR11" s="85"/>
      <c r="PS11" s="85"/>
      <c r="PT11" s="85"/>
      <c r="PU11" s="85"/>
      <c r="PV11" s="85"/>
      <c r="PW11" s="85"/>
      <c r="PX11" s="85"/>
      <c r="PY11" s="85"/>
      <c r="PZ11" s="85"/>
      <c r="QA11" s="85"/>
      <c r="QB11" s="85"/>
      <c r="QC11" s="85"/>
      <c r="QD11" s="85"/>
      <c r="QE11" s="85"/>
      <c r="QF11" s="85"/>
      <c r="QG11" s="85"/>
      <c r="QH11" s="85"/>
      <c r="QI11" s="85"/>
      <c r="QJ11" s="85"/>
      <c r="QK11" s="85"/>
      <c r="QL11" s="85"/>
      <c r="QM11" s="85"/>
      <c r="QN11" s="85"/>
      <c r="QO11" s="85"/>
      <c r="QP11" s="85"/>
      <c r="QQ11" s="85"/>
      <c r="QR11" s="85"/>
      <c r="QS11" s="85"/>
      <c r="QT11" s="85"/>
      <c r="QU11" s="85"/>
      <c r="QV11" s="85"/>
      <c r="QW11" s="85"/>
      <c r="QX11" s="85"/>
      <c r="QY11" s="85"/>
      <c r="QZ11" s="85"/>
      <c r="RA11" s="85"/>
      <c r="RB11" s="85"/>
      <c r="RC11" s="85"/>
      <c r="RD11" s="85"/>
      <c r="RE11" s="85"/>
      <c r="RF11" s="85"/>
      <c r="RG11" s="85"/>
      <c r="RH11" s="85"/>
      <c r="RI11" s="85"/>
      <c r="RJ11" s="85"/>
      <c r="RK11" s="85"/>
      <c r="RL11" s="85"/>
      <c r="RM11" s="85"/>
      <c r="RN11" s="85"/>
      <c r="RO11" s="85"/>
      <c r="RP11" s="85"/>
      <c r="RQ11" s="85"/>
      <c r="RR11" s="85"/>
      <c r="RS11" s="85"/>
      <c r="RT11" s="85"/>
      <c r="RU11" s="85"/>
      <c r="RV11" s="85"/>
      <c r="RW11" s="85"/>
      <c r="RX11" s="85"/>
      <c r="RY11" s="85"/>
      <c r="RZ11" s="85"/>
      <c r="SA11" s="85"/>
      <c r="SB11" s="85"/>
      <c r="SC11" s="85"/>
      <c r="SD11" s="85"/>
      <c r="SE11" s="85"/>
      <c r="SF11" s="85"/>
      <c r="SG11" s="85"/>
      <c r="SH11" s="85"/>
      <c r="SI11" s="85"/>
      <c r="SJ11" s="85"/>
      <c r="SK11" s="85"/>
      <c r="SL11" s="85"/>
      <c r="SM11" s="85"/>
      <c r="SN11" s="85"/>
      <c r="SO11" s="85"/>
      <c r="SP11" s="85"/>
      <c r="SQ11" s="85"/>
      <c r="SR11" s="85"/>
      <c r="SS11" s="85"/>
      <c r="ST11" s="85"/>
      <c r="SU11" s="85"/>
      <c r="SV11" s="85"/>
      <c r="SW11" s="85"/>
      <c r="SX11" s="85"/>
      <c r="SY11" s="85"/>
      <c r="SZ11" s="85"/>
      <c r="TA11" s="85"/>
      <c r="TB11" s="85"/>
      <c r="TC11" s="85"/>
      <c r="TD11" s="85"/>
      <c r="TE11" s="85"/>
      <c r="TF11" s="85"/>
      <c r="TG11" s="85"/>
      <c r="TH11" s="85"/>
      <c r="TI11" s="85"/>
      <c r="TJ11" s="85"/>
      <c r="TK11" s="85"/>
      <c r="TL11" s="85"/>
      <c r="TM11" s="85"/>
      <c r="TN11" s="85"/>
      <c r="TO11" s="85"/>
      <c r="TP11" s="85"/>
      <c r="TQ11" s="85"/>
      <c r="TR11" s="85"/>
      <c r="TS11" s="85"/>
      <c r="TT11" s="85"/>
      <c r="TU11" s="85"/>
      <c r="TV11" s="85"/>
      <c r="TW11" s="85"/>
      <c r="TX11" s="85"/>
      <c r="TY11" s="85"/>
      <c r="TZ11" s="85"/>
      <c r="UA11" s="85"/>
      <c r="UB11" s="85"/>
      <c r="UC11" s="85"/>
      <c r="UD11" s="85"/>
      <c r="UE11" s="85"/>
      <c r="UF11" s="85"/>
      <c r="UG11" s="85"/>
      <c r="UH11" s="85"/>
      <c r="UI11" s="85"/>
      <c r="UJ11" s="85"/>
      <c r="UK11" s="85"/>
      <c r="UL11" s="85"/>
      <c r="UM11" s="85"/>
      <c r="UN11" s="85"/>
      <c r="UO11" s="85"/>
      <c r="UP11" s="85"/>
      <c r="UQ11" s="85"/>
      <c r="UR11" s="85"/>
      <c r="US11" s="85"/>
      <c r="UT11" s="85"/>
      <c r="UU11" s="85"/>
      <c r="UV11" s="85"/>
      <c r="UW11" s="85"/>
      <c r="UX11" s="85"/>
      <c r="UY11" s="85"/>
      <c r="UZ11" s="85"/>
      <c r="VA11" s="85"/>
      <c r="VB11" s="85"/>
      <c r="VC11" s="85"/>
      <c r="VD11" s="85"/>
      <c r="VE11" s="85"/>
      <c r="VF11" s="85"/>
      <c r="VG11" s="85"/>
      <c r="VH11" s="85"/>
      <c r="VI11" s="85"/>
      <c r="VJ11" s="85"/>
      <c r="VK11" s="85"/>
      <c r="VL11" s="85"/>
      <c r="VM11" s="85"/>
      <c r="VN11" s="85"/>
      <c r="VO11" s="85"/>
      <c r="VP11" s="85"/>
      <c r="VQ11" s="85"/>
      <c r="VR11" s="85"/>
      <c r="VS11" s="85"/>
      <c r="VT11" s="85"/>
      <c r="VU11" s="85"/>
      <c r="VV11" s="85"/>
      <c r="VW11" s="85"/>
      <c r="VX11" s="85"/>
      <c r="VY11" s="85"/>
      <c r="VZ11" s="85"/>
      <c r="WA11" s="85"/>
      <c r="WB11" s="85"/>
      <c r="WC11" s="85"/>
      <c r="WD11" s="85"/>
      <c r="WE11" s="85"/>
      <c r="WF11" s="85"/>
      <c r="WG11" s="85"/>
      <c r="WH11" s="85"/>
      <c r="WI11" s="85"/>
      <c r="WJ11" s="85"/>
      <c r="WK11" s="85"/>
      <c r="WL11" s="85"/>
      <c r="WM11" s="85"/>
      <c r="WN11" s="85"/>
      <c r="WO11" s="85"/>
      <c r="WP11" s="85"/>
      <c r="WQ11" s="85"/>
      <c r="WR11" s="85"/>
      <c r="WS11" s="85"/>
      <c r="WT11" s="85"/>
      <c r="WU11" s="85"/>
      <c r="WV11" s="85"/>
      <c r="WW11" s="85"/>
      <c r="WX11" s="85"/>
      <c r="WY11" s="85"/>
      <c r="WZ11" s="85"/>
      <c r="XA11" s="85"/>
      <c r="XB11" s="85"/>
      <c r="XC11" s="85"/>
      <c r="XD11" s="85"/>
      <c r="XE11" s="85"/>
      <c r="XF11" s="85"/>
      <c r="XG11" s="85"/>
      <c r="XH11" s="85"/>
      <c r="XI11" s="85"/>
      <c r="XJ11" s="85"/>
      <c r="XK11" s="85"/>
      <c r="XL11" s="85"/>
      <c r="XM11" s="85"/>
      <c r="XN11" s="85"/>
      <c r="XO11" s="85"/>
      <c r="XP11" s="85"/>
      <c r="XQ11" s="85"/>
      <c r="XR11" s="85"/>
      <c r="XS11" s="85"/>
      <c r="XT11" s="85"/>
      <c r="XU11" s="85"/>
      <c r="XV11" s="85"/>
      <c r="XW11" s="85"/>
    </row>
    <row r="12" spans="1:647" s="30" customFormat="1" ht="14.25" customHeight="1">
      <c r="A12" s="88"/>
      <c r="B12" s="89"/>
      <c r="C12" s="92"/>
      <c r="D12" s="92"/>
      <c r="E12" s="94"/>
      <c r="F12" s="92"/>
      <c r="G12" s="92"/>
      <c r="H12" s="92"/>
      <c r="I12" s="273"/>
      <c r="J12" s="279"/>
      <c r="K12" s="282"/>
      <c r="L12" s="347"/>
      <c r="M12" s="159"/>
      <c r="N12" s="159"/>
      <c r="O12" s="159"/>
      <c r="P12" s="159"/>
      <c r="Q12" s="175"/>
      <c r="R12" s="91"/>
      <c r="S12" s="156"/>
      <c r="T12" s="92"/>
      <c r="U12" s="95"/>
      <c r="V12" s="92"/>
      <c r="W12" s="92"/>
      <c r="X12" s="92"/>
      <c r="Y12" s="168"/>
      <c r="Z12" s="168"/>
      <c r="AA12" s="161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5"/>
      <c r="BY12" s="85"/>
      <c r="BZ12" s="85"/>
      <c r="CA12" s="85"/>
      <c r="CB12" s="85"/>
      <c r="CC12" s="85"/>
      <c r="CD12" s="85"/>
      <c r="CE12" s="85"/>
      <c r="CF12" s="85"/>
      <c r="CG12" s="85"/>
      <c r="CH12" s="85"/>
      <c r="CI12" s="85"/>
      <c r="CJ12" s="85"/>
      <c r="CK12" s="85"/>
      <c r="CL12" s="85"/>
      <c r="CM12" s="85"/>
      <c r="CN12" s="85"/>
      <c r="CO12" s="85"/>
      <c r="CP12" s="85"/>
      <c r="CQ12" s="85"/>
      <c r="CR12" s="85"/>
      <c r="CS12" s="85"/>
      <c r="CT12" s="85"/>
      <c r="CU12" s="85"/>
      <c r="CV12" s="85"/>
      <c r="CW12" s="85"/>
      <c r="CX12" s="85"/>
      <c r="CY12" s="85"/>
      <c r="CZ12" s="85"/>
      <c r="DA12" s="85"/>
      <c r="DB12" s="85"/>
      <c r="DC12" s="85"/>
      <c r="DD12" s="85"/>
      <c r="DE12" s="85"/>
      <c r="DF12" s="85"/>
      <c r="DG12" s="85"/>
      <c r="DH12" s="85"/>
      <c r="DI12" s="85"/>
      <c r="DJ12" s="85"/>
      <c r="DK12" s="85"/>
      <c r="DL12" s="85"/>
      <c r="DM12" s="85"/>
      <c r="DN12" s="85"/>
      <c r="DO12" s="85"/>
      <c r="DP12" s="85"/>
      <c r="DQ12" s="85"/>
      <c r="DR12" s="85"/>
      <c r="DS12" s="85"/>
      <c r="DT12" s="85"/>
      <c r="DU12" s="85"/>
      <c r="DV12" s="85"/>
      <c r="DW12" s="85"/>
      <c r="DX12" s="85"/>
      <c r="DY12" s="85"/>
      <c r="DZ12" s="85"/>
      <c r="EA12" s="85"/>
      <c r="EB12" s="85"/>
      <c r="EC12" s="85"/>
      <c r="ED12" s="85"/>
      <c r="EE12" s="85"/>
      <c r="EF12" s="85"/>
      <c r="EG12" s="85"/>
      <c r="EH12" s="85"/>
      <c r="EI12" s="85"/>
      <c r="EJ12" s="85"/>
      <c r="EK12" s="85"/>
      <c r="EL12" s="85"/>
      <c r="EM12" s="85"/>
      <c r="EN12" s="85"/>
      <c r="EO12" s="85"/>
      <c r="EP12" s="85"/>
      <c r="EQ12" s="85"/>
      <c r="ER12" s="85"/>
      <c r="ES12" s="85"/>
      <c r="ET12" s="85"/>
      <c r="EU12" s="85"/>
      <c r="EV12" s="85"/>
      <c r="EW12" s="85"/>
      <c r="EX12" s="85"/>
      <c r="EY12" s="85"/>
      <c r="EZ12" s="85"/>
      <c r="FA12" s="85"/>
      <c r="FB12" s="85"/>
      <c r="FC12" s="85"/>
      <c r="FD12" s="85"/>
      <c r="FE12" s="85"/>
      <c r="FF12" s="85"/>
      <c r="FG12" s="85"/>
      <c r="FH12" s="85"/>
      <c r="FI12" s="85"/>
      <c r="FJ12" s="85"/>
      <c r="FK12" s="85"/>
      <c r="FL12" s="85"/>
      <c r="FM12" s="85"/>
      <c r="FN12" s="85"/>
      <c r="FO12" s="85"/>
      <c r="FP12" s="85"/>
      <c r="FQ12" s="85"/>
      <c r="FR12" s="85"/>
      <c r="FS12" s="85"/>
      <c r="FT12" s="85"/>
      <c r="FU12" s="85"/>
      <c r="FV12" s="85"/>
      <c r="FW12" s="85"/>
      <c r="FX12" s="85"/>
      <c r="FY12" s="85"/>
      <c r="FZ12" s="85"/>
      <c r="GA12" s="85"/>
      <c r="GB12" s="85"/>
      <c r="GC12" s="85"/>
      <c r="GD12" s="85"/>
      <c r="GE12" s="85"/>
      <c r="GF12" s="85"/>
      <c r="GG12" s="85"/>
      <c r="GH12" s="85"/>
      <c r="GI12" s="85"/>
      <c r="GJ12" s="85"/>
      <c r="GK12" s="85"/>
      <c r="GL12" s="85"/>
      <c r="GM12" s="85"/>
      <c r="GN12" s="85"/>
      <c r="GO12" s="85"/>
      <c r="GP12" s="85"/>
      <c r="GQ12" s="85"/>
      <c r="GR12" s="85"/>
      <c r="GS12" s="85"/>
      <c r="GT12" s="85"/>
      <c r="GU12" s="85"/>
      <c r="GV12" s="85"/>
      <c r="GW12" s="85"/>
      <c r="GX12" s="85"/>
      <c r="GY12" s="85"/>
      <c r="GZ12" s="85"/>
      <c r="HA12" s="85"/>
      <c r="HB12" s="85"/>
      <c r="HC12" s="85"/>
      <c r="HD12" s="85"/>
      <c r="HE12" s="85"/>
      <c r="HF12" s="85"/>
      <c r="HG12" s="85"/>
      <c r="HH12" s="85"/>
      <c r="HI12" s="85"/>
      <c r="HJ12" s="85"/>
      <c r="HK12" s="85"/>
      <c r="HL12" s="85"/>
      <c r="HM12" s="85"/>
      <c r="HN12" s="85"/>
      <c r="HO12" s="85"/>
      <c r="HP12" s="85"/>
      <c r="HQ12" s="85"/>
      <c r="HR12" s="85"/>
      <c r="HS12" s="85"/>
      <c r="HT12" s="85"/>
      <c r="HU12" s="85"/>
      <c r="HV12" s="85"/>
      <c r="HW12" s="85"/>
      <c r="HX12" s="85"/>
      <c r="HY12" s="85"/>
      <c r="HZ12" s="85"/>
      <c r="IA12" s="85"/>
      <c r="IB12" s="85"/>
      <c r="IC12" s="85"/>
      <c r="ID12" s="85"/>
      <c r="IE12" s="85"/>
      <c r="IF12" s="85"/>
      <c r="IG12" s="85"/>
      <c r="IH12" s="85"/>
      <c r="II12" s="85"/>
      <c r="IJ12" s="85"/>
      <c r="IK12" s="85"/>
      <c r="IL12" s="85"/>
      <c r="IM12" s="85"/>
      <c r="IN12" s="85"/>
      <c r="IO12" s="85"/>
      <c r="IP12" s="85"/>
      <c r="IQ12" s="85"/>
      <c r="IR12" s="85"/>
      <c r="IS12" s="85"/>
      <c r="IT12" s="85"/>
      <c r="IU12" s="85"/>
      <c r="IV12" s="85"/>
      <c r="IW12" s="85"/>
      <c r="IX12" s="85"/>
      <c r="IY12" s="85"/>
      <c r="IZ12" s="85"/>
      <c r="JA12" s="85"/>
      <c r="JB12" s="85"/>
      <c r="JC12" s="85"/>
      <c r="JD12" s="85"/>
      <c r="JE12" s="85"/>
      <c r="JF12" s="85"/>
      <c r="JG12" s="85"/>
      <c r="JH12" s="85"/>
      <c r="JI12" s="85"/>
      <c r="JJ12" s="85"/>
      <c r="JK12" s="85"/>
      <c r="JL12" s="85"/>
      <c r="JM12" s="85"/>
      <c r="JN12" s="85"/>
      <c r="JO12" s="85"/>
      <c r="JP12" s="85"/>
      <c r="JQ12" s="85"/>
      <c r="JR12" s="85"/>
      <c r="JS12" s="85"/>
      <c r="JT12" s="85"/>
      <c r="JU12" s="85"/>
      <c r="JV12" s="85"/>
      <c r="JW12" s="85"/>
      <c r="JX12" s="85"/>
      <c r="JY12" s="85"/>
      <c r="JZ12" s="85"/>
      <c r="KA12" s="85"/>
      <c r="KB12" s="85"/>
      <c r="KC12" s="85"/>
      <c r="KD12" s="85"/>
      <c r="KE12" s="85"/>
      <c r="KF12" s="85"/>
      <c r="KG12" s="85"/>
      <c r="KH12" s="85"/>
      <c r="KI12" s="85"/>
      <c r="KJ12" s="85"/>
      <c r="KK12" s="85"/>
      <c r="KL12" s="85"/>
      <c r="KM12" s="85"/>
      <c r="KN12" s="85"/>
      <c r="KO12" s="85"/>
      <c r="KP12" s="85"/>
      <c r="KQ12" s="85"/>
      <c r="KR12" s="85"/>
      <c r="KS12" s="85"/>
      <c r="KT12" s="85"/>
      <c r="KU12" s="85"/>
      <c r="KV12" s="85"/>
      <c r="KW12" s="85"/>
      <c r="KX12" s="85"/>
      <c r="KY12" s="85"/>
      <c r="KZ12" s="85"/>
      <c r="LA12" s="85"/>
      <c r="LB12" s="85"/>
      <c r="LC12" s="85"/>
      <c r="LD12" s="85"/>
      <c r="LE12" s="85"/>
      <c r="LF12" s="85"/>
      <c r="LG12" s="85"/>
      <c r="LH12" s="85"/>
      <c r="LI12" s="85"/>
      <c r="LJ12" s="85"/>
      <c r="LK12" s="85"/>
      <c r="LL12" s="85"/>
      <c r="LM12" s="85"/>
      <c r="LN12" s="85"/>
      <c r="LO12" s="85"/>
      <c r="LP12" s="85"/>
      <c r="LQ12" s="85"/>
      <c r="LR12" s="85"/>
      <c r="LS12" s="85"/>
      <c r="LT12" s="85"/>
      <c r="LU12" s="85"/>
      <c r="LV12" s="85"/>
      <c r="LW12" s="85"/>
      <c r="LX12" s="85"/>
      <c r="LY12" s="85"/>
      <c r="LZ12" s="85"/>
      <c r="MA12" s="85"/>
      <c r="MB12" s="85"/>
      <c r="MC12" s="85"/>
      <c r="MD12" s="85"/>
      <c r="ME12" s="85"/>
      <c r="MF12" s="85"/>
      <c r="MG12" s="85"/>
      <c r="MH12" s="85"/>
      <c r="MI12" s="85"/>
      <c r="MJ12" s="85"/>
      <c r="MK12" s="85"/>
      <c r="ML12" s="85"/>
      <c r="MM12" s="85"/>
      <c r="MN12" s="85"/>
      <c r="MO12" s="85"/>
      <c r="MP12" s="85"/>
      <c r="MQ12" s="85"/>
      <c r="MR12" s="85"/>
      <c r="MS12" s="85"/>
      <c r="MT12" s="85"/>
      <c r="MU12" s="85"/>
      <c r="MV12" s="85"/>
      <c r="MW12" s="85"/>
      <c r="MX12" s="85"/>
      <c r="MY12" s="85"/>
      <c r="MZ12" s="85"/>
      <c r="NA12" s="85"/>
      <c r="NB12" s="85"/>
      <c r="NC12" s="85"/>
      <c r="ND12" s="85"/>
      <c r="NE12" s="85"/>
      <c r="NF12" s="85"/>
      <c r="NG12" s="85"/>
      <c r="NH12" s="85"/>
      <c r="NI12" s="85"/>
      <c r="NJ12" s="85"/>
      <c r="NK12" s="85"/>
      <c r="NL12" s="85"/>
      <c r="NM12" s="85"/>
      <c r="NN12" s="85"/>
      <c r="NO12" s="85"/>
      <c r="NP12" s="85"/>
      <c r="NQ12" s="85"/>
      <c r="NR12" s="85"/>
      <c r="NS12" s="85"/>
      <c r="NT12" s="85"/>
      <c r="NU12" s="85"/>
      <c r="NV12" s="85"/>
      <c r="NW12" s="85"/>
      <c r="NX12" s="85"/>
      <c r="NY12" s="85"/>
      <c r="NZ12" s="85"/>
      <c r="OA12" s="85"/>
      <c r="OB12" s="85"/>
      <c r="OC12" s="85"/>
      <c r="OD12" s="85"/>
      <c r="OE12" s="85"/>
      <c r="OF12" s="85"/>
      <c r="OG12" s="85"/>
      <c r="OH12" s="85"/>
      <c r="OI12" s="85"/>
      <c r="OJ12" s="85"/>
      <c r="OK12" s="85"/>
      <c r="OL12" s="85"/>
      <c r="OM12" s="85"/>
      <c r="ON12" s="85"/>
      <c r="OO12" s="85"/>
      <c r="OP12" s="85"/>
      <c r="OQ12" s="85"/>
      <c r="OR12" s="85"/>
      <c r="OS12" s="85"/>
      <c r="OT12" s="85"/>
      <c r="OU12" s="85"/>
      <c r="OV12" s="85"/>
      <c r="OW12" s="85"/>
      <c r="OX12" s="85"/>
      <c r="OY12" s="85"/>
      <c r="OZ12" s="85"/>
      <c r="PA12" s="85"/>
      <c r="PB12" s="85"/>
      <c r="PC12" s="85"/>
      <c r="PD12" s="85"/>
      <c r="PE12" s="85"/>
      <c r="PF12" s="85"/>
      <c r="PG12" s="85"/>
      <c r="PH12" s="85"/>
      <c r="PI12" s="85"/>
      <c r="PJ12" s="85"/>
      <c r="PK12" s="85"/>
      <c r="PL12" s="85"/>
      <c r="PM12" s="85"/>
      <c r="PN12" s="85"/>
      <c r="PO12" s="85"/>
      <c r="PP12" s="85"/>
      <c r="PQ12" s="85"/>
      <c r="PR12" s="85"/>
      <c r="PS12" s="85"/>
      <c r="PT12" s="85"/>
      <c r="PU12" s="85"/>
      <c r="PV12" s="85"/>
      <c r="PW12" s="85"/>
      <c r="PX12" s="85"/>
      <c r="PY12" s="85"/>
      <c r="PZ12" s="85"/>
      <c r="QA12" s="85"/>
      <c r="QB12" s="85"/>
      <c r="QC12" s="85"/>
      <c r="QD12" s="85"/>
      <c r="QE12" s="85"/>
      <c r="QF12" s="85"/>
      <c r="QG12" s="85"/>
      <c r="QH12" s="85"/>
      <c r="QI12" s="85"/>
      <c r="QJ12" s="85"/>
      <c r="QK12" s="85"/>
      <c r="QL12" s="85"/>
      <c r="QM12" s="85"/>
      <c r="QN12" s="85"/>
      <c r="QO12" s="85"/>
      <c r="QP12" s="85"/>
      <c r="QQ12" s="85"/>
      <c r="QR12" s="85"/>
      <c r="QS12" s="85"/>
      <c r="QT12" s="85"/>
      <c r="QU12" s="85"/>
      <c r="QV12" s="85"/>
      <c r="QW12" s="85"/>
      <c r="QX12" s="85"/>
      <c r="QY12" s="85"/>
      <c r="QZ12" s="85"/>
      <c r="RA12" s="85"/>
      <c r="RB12" s="85"/>
      <c r="RC12" s="85"/>
      <c r="RD12" s="85"/>
      <c r="RE12" s="85"/>
      <c r="RF12" s="85"/>
      <c r="RG12" s="85"/>
      <c r="RH12" s="85"/>
      <c r="RI12" s="85"/>
      <c r="RJ12" s="85"/>
      <c r="RK12" s="85"/>
      <c r="RL12" s="85"/>
      <c r="RM12" s="85"/>
      <c r="RN12" s="85"/>
      <c r="RO12" s="85"/>
      <c r="RP12" s="85"/>
      <c r="RQ12" s="85"/>
      <c r="RR12" s="85"/>
      <c r="RS12" s="85"/>
      <c r="RT12" s="85"/>
      <c r="RU12" s="85"/>
      <c r="RV12" s="85"/>
      <c r="RW12" s="85"/>
      <c r="RX12" s="85"/>
      <c r="RY12" s="85"/>
      <c r="RZ12" s="85"/>
      <c r="SA12" s="85"/>
      <c r="SB12" s="85"/>
      <c r="SC12" s="85"/>
      <c r="SD12" s="85"/>
      <c r="SE12" s="85"/>
      <c r="SF12" s="85"/>
      <c r="SG12" s="85"/>
      <c r="SH12" s="85"/>
      <c r="SI12" s="85"/>
      <c r="SJ12" s="85"/>
      <c r="SK12" s="85"/>
      <c r="SL12" s="85"/>
      <c r="SM12" s="85"/>
      <c r="SN12" s="85"/>
      <c r="SO12" s="85"/>
      <c r="SP12" s="85"/>
      <c r="SQ12" s="85"/>
      <c r="SR12" s="85"/>
      <c r="SS12" s="85"/>
      <c r="ST12" s="85"/>
      <c r="SU12" s="85"/>
      <c r="SV12" s="85"/>
      <c r="SW12" s="85"/>
      <c r="SX12" s="85"/>
      <c r="SY12" s="85"/>
      <c r="SZ12" s="85"/>
      <c r="TA12" s="85"/>
      <c r="TB12" s="85"/>
      <c r="TC12" s="85"/>
      <c r="TD12" s="85"/>
      <c r="TE12" s="85"/>
      <c r="TF12" s="85"/>
      <c r="TG12" s="85"/>
      <c r="TH12" s="85"/>
      <c r="TI12" s="85"/>
      <c r="TJ12" s="85"/>
      <c r="TK12" s="85"/>
      <c r="TL12" s="85"/>
      <c r="TM12" s="85"/>
      <c r="TN12" s="85"/>
      <c r="TO12" s="85"/>
      <c r="TP12" s="85"/>
      <c r="TQ12" s="85"/>
      <c r="TR12" s="85"/>
      <c r="TS12" s="85"/>
      <c r="TT12" s="85"/>
      <c r="TU12" s="85"/>
      <c r="TV12" s="85"/>
      <c r="TW12" s="85"/>
      <c r="TX12" s="85"/>
      <c r="TY12" s="85"/>
      <c r="TZ12" s="85"/>
      <c r="UA12" s="85"/>
      <c r="UB12" s="85"/>
      <c r="UC12" s="85"/>
      <c r="UD12" s="85"/>
      <c r="UE12" s="85"/>
      <c r="UF12" s="85"/>
      <c r="UG12" s="85"/>
      <c r="UH12" s="85"/>
      <c r="UI12" s="85"/>
      <c r="UJ12" s="85"/>
      <c r="UK12" s="85"/>
      <c r="UL12" s="85"/>
      <c r="UM12" s="85"/>
      <c r="UN12" s="85"/>
      <c r="UO12" s="85"/>
      <c r="UP12" s="85"/>
      <c r="UQ12" s="85"/>
      <c r="UR12" s="85"/>
      <c r="US12" s="85"/>
      <c r="UT12" s="85"/>
      <c r="UU12" s="85"/>
      <c r="UV12" s="85"/>
      <c r="UW12" s="85"/>
      <c r="UX12" s="85"/>
      <c r="UY12" s="85"/>
      <c r="UZ12" s="85"/>
      <c r="VA12" s="85"/>
      <c r="VB12" s="85"/>
      <c r="VC12" s="85"/>
      <c r="VD12" s="85"/>
      <c r="VE12" s="85"/>
      <c r="VF12" s="85"/>
      <c r="VG12" s="85"/>
      <c r="VH12" s="85"/>
      <c r="VI12" s="85"/>
      <c r="VJ12" s="85"/>
      <c r="VK12" s="85"/>
      <c r="VL12" s="85"/>
      <c r="VM12" s="85"/>
      <c r="VN12" s="85"/>
      <c r="VO12" s="85"/>
      <c r="VP12" s="85"/>
      <c r="VQ12" s="85"/>
      <c r="VR12" s="85"/>
      <c r="VS12" s="85"/>
      <c r="VT12" s="85"/>
      <c r="VU12" s="85"/>
      <c r="VV12" s="85"/>
      <c r="VW12" s="85"/>
      <c r="VX12" s="85"/>
      <c r="VY12" s="85"/>
      <c r="VZ12" s="85"/>
      <c r="WA12" s="85"/>
      <c r="WB12" s="85"/>
      <c r="WC12" s="85"/>
      <c r="WD12" s="85"/>
      <c r="WE12" s="85"/>
      <c r="WF12" s="85"/>
      <c r="WG12" s="85"/>
      <c r="WH12" s="85"/>
      <c r="WI12" s="85"/>
      <c r="WJ12" s="85"/>
      <c r="WK12" s="85"/>
      <c r="WL12" s="85"/>
      <c r="WM12" s="85"/>
      <c r="WN12" s="85"/>
      <c r="WO12" s="85"/>
      <c r="WP12" s="85"/>
      <c r="WQ12" s="85"/>
      <c r="WR12" s="85"/>
      <c r="WS12" s="85"/>
      <c r="WT12" s="85"/>
      <c r="WU12" s="85"/>
      <c r="WV12" s="85"/>
      <c r="WW12" s="85"/>
      <c r="WX12" s="85"/>
      <c r="WY12" s="85"/>
      <c r="WZ12" s="85"/>
      <c r="XA12" s="85"/>
      <c r="XB12" s="85"/>
      <c r="XC12" s="85"/>
      <c r="XD12" s="85"/>
      <c r="XE12" s="85"/>
      <c r="XF12" s="85"/>
      <c r="XG12" s="85"/>
      <c r="XH12" s="85"/>
      <c r="XI12" s="85"/>
      <c r="XJ12" s="85"/>
      <c r="XK12" s="85"/>
      <c r="XL12" s="85"/>
      <c r="XM12" s="85"/>
      <c r="XN12" s="85"/>
      <c r="XO12" s="85"/>
      <c r="XP12" s="85"/>
      <c r="XQ12" s="85"/>
      <c r="XR12" s="85"/>
      <c r="XS12" s="85"/>
      <c r="XT12" s="85"/>
      <c r="XU12" s="85"/>
      <c r="XV12" s="85"/>
      <c r="XW12" s="85"/>
    </row>
    <row r="13" spans="1:647" s="30" customFormat="1" ht="14.25" customHeight="1">
      <c r="A13" s="88"/>
      <c r="B13" s="89"/>
      <c r="C13" s="92"/>
      <c r="D13" s="92"/>
      <c r="E13" s="94"/>
      <c r="F13" s="92"/>
      <c r="G13" s="92"/>
      <c r="H13" s="92"/>
      <c r="I13" s="273"/>
      <c r="J13" s="279"/>
      <c r="K13" s="282"/>
      <c r="L13" s="347"/>
      <c r="M13" s="159"/>
      <c r="N13" s="159"/>
      <c r="O13" s="159"/>
      <c r="P13" s="159"/>
      <c r="Q13" s="175"/>
      <c r="R13" s="91"/>
      <c r="S13" s="156"/>
      <c r="T13" s="92"/>
      <c r="U13" s="95"/>
      <c r="V13" s="92"/>
      <c r="W13" s="92"/>
      <c r="X13" s="92"/>
      <c r="Y13" s="168"/>
      <c r="Z13" s="168"/>
      <c r="AA13" s="161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5"/>
      <c r="BY13" s="85"/>
      <c r="BZ13" s="85"/>
      <c r="CA13" s="85"/>
      <c r="CB13" s="85"/>
      <c r="CC13" s="85"/>
      <c r="CD13" s="85"/>
      <c r="CE13" s="85"/>
      <c r="CF13" s="85"/>
      <c r="CG13" s="85"/>
      <c r="CH13" s="85"/>
      <c r="CI13" s="85"/>
      <c r="CJ13" s="85"/>
      <c r="CK13" s="85"/>
      <c r="CL13" s="85"/>
      <c r="CM13" s="85"/>
      <c r="CN13" s="85"/>
      <c r="CO13" s="85"/>
      <c r="CP13" s="85"/>
      <c r="CQ13" s="85"/>
      <c r="CR13" s="85"/>
      <c r="CS13" s="85"/>
      <c r="CT13" s="85"/>
      <c r="CU13" s="85"/>
      <c r="CV13" s="85"/>
      <c r="CW13" s="85"/>
      <c r="CX13" s="85"/>
      <c r="CY13" s="85"/>
      <c r="CZ13" s="85"/>
      <c r="DA13" s="85"/>
      <c r="DB13" s="85"/>
      <c r="DC13" s="85"/>
      <c r="DD13" s="85"/>
      <c r="DE13" s="85"/>
      <c r="DF13" s="85"/>
      <c r="DG13" s="85"/>
      <c r="DH13" s="85"/>
      <c r="DI13" s="85"/>
      <c r="DJ13" s="85"/>
      <c r="DK13" s="85"/>
      <c r="DL13" s="85"/>
      <c r="DM13" s="85"/>
      <c r="DN13" s="85"/>
      <c r="DO13" s="85"/>
      <c r="DP13" s="85"/>
      <c r="DQ13" s="85"/>
      <c r="DR13" s="85"/>
      <c r="DS13" s="85"/>
      <c r="DT13" s="85"/>
      <c r="DU13" s="85"/>
      <c r="DV13" s="85"/>
      <c r="DW13" s="85"/>
      <c r="DX13" s="85"/>
      <c r="DY13" s="85"/>
      <c r="DZ13" s="85"/>
      <c r="EA13" s="85"/>
      <c r="EB13" s="85"/>
      <c r="EC13" s="85"/>
      <c r="ED13" s="85"/>
      <c r="EE13" s="85"/>
      <c r="EF13" s="85"/>
      <c r="EG13" s="85"/>
      <c r="EH13" s="85"/>
      <c r="EI13" s="85"/>
      <c r="EJ13" s="85"/>
      <c r="EK13" s="85"/>
      <c r="EL13" s="85"/>
      <c r="EM13" s="85"/>
      <c r="EN13" s="85"/>
      <c r="EO13" s="85"/>
      <c r="EP13" s="85"/>
      <c r="EQ13" s="85"/>
      <c r="ER13" s="85"/>
      <c r="ES13" s="85"/>
      <c r="ET13" s="85"/>
      <c r="EU13" s="85"/>
      <c r="EV13" s="85"/>
      <c r="EW13" s="85"/>
      <c r="EX13" s="85"/>
      <c r="EY13" s="85"/>
      <c r="EZ13" s="85"/>
      <c r="FA13" s="85"/>
      <c r="FB13" s="85"/>
      <c r="FC13" s="85"/>
      <c r="FD13" s="85"/>
      <c r="FE13" s="85"/>
      <c r="FF13" s="85"/>
      <c r="FG13" s="85"/>
      <c r="FH13" s="85"/>
      <c r="FI13" s="85"/>
      <c r="FJ13" s="85"/>
      <c r="FK13" s="85"/>
      <c r="FL13" s="85"/>
      <c r="FM13" s="85"/>
      <c r="FN13" s="85"/>
      <c r="FO13" s="85"/>
      <c r="FP13" s="85"/>
      <c r="FQ13" s="85"/>
      <c r="FR13" s="85"/>
      <c r="FS13" s="85"/>
      <c r="FT13" s="85"/>
      <c r="FU13" s="85"/>
      <c r="FV13" s="85"/>
      <c r="FW13" s="85"/>
      <c r="FX13" s="85"/>
      <c r="FY13" s="85"/>
      <c r="FZ13" s="85"/>
      <c r="GA13" s="85"/>
      <c r="GB13" s="85"/>
      <c r="GC13" s="85"/>
      <c r="GD13" s="85"/>
      <c r="GE13" s="85"/>
      <c r="GF13" s="85"/>
      <c r="GG13" s="85"/>
      <c r="GH13" s="85"/>
      <c r="GI13" s="85"/>
      <c r="GJ13" s="85"/>
      <c r="GK13" s="85"/>
      <c r="GL13" s="85"/>
      <c r="GM13" s="85"/>
      <c r="GN13" s="85"/>
      <c r="GO13" s="85"/>
      <c r="GP13" s="85"/>
      <c r="GQ13" s="85"/>
      <c r="GR13" s="85"/>
      <c r="GS13" s="85"/>
      <c r="GT13" s="85"/>
      <c r="GU13" s="85"/>
      <c r="GV13" s="85"/>
      <c r="GW13" s="85"/>
      <c r="GX13" s="85"/>
      <c r="GY13" s="85"/>
      <c r="GZ13" s="85"/>
      <c r="HA13" s="85"/>
      <c r="HB13" s="85"/>
      <c r="HC13" s="85"/>
      <c r="HD13" s="85"/>
      <c r="HE13" s="85"/>
      <c r="HF13" s="85"/>
      <c r="HG13" s="85"/>
      <c r="HH13" s="85"/>
      <c r="HI13" s="85"/>
      <c r="HJ13" s="85"/>
      <c r="HK13" s="85"/>
      <c r="HL13" s="85"/>
      <c r="HM13" s="85"/>
      <c r="HN13" s="85"/>
      <c r="HO13" s="85"/>
      <c r="HP13" s="85"/>
      <c r="HQ13" s="85"/>
      <c r="HR13" s="85"/>
      <c r="HS13" s="85"/>
      <c r="HT13" s="85"/>
      <c r="HU13" s="85"/>
      <c r="HV13" s="85"/>
      <c r="HW13" s="85"/>
      <c r="HX13" s="85"/>
      <c r="HY13" s="85"/>
      <c r="HZ13" s="85"/>
      <c r="IA13" s="85"/>
      <c r="IB13" s="85"/>
      <c r="IC13" s="85"/>
      <c r="ID13" s="85"/>
      <c r="IE13" s="85"/>
      <c r="IF13" s="85"/>
      <c r="IG13" s="85"/>
      <c r="IH13" s="85"/>
      <c r="II13" s="85"/>
      <c r="IJ13" s="85"/>
      <c r="IK13" s="85"/>
      <c r="IL13" s="85"/>
      <c r="IM13" s="85"/>
      <c r="IN13" s="85"/>
      <c r="IO13" s="85"/>
      <c r="IP13" s="85"/>
      <c r="IQ13" s="85"/>
      <c r="IR13" s="85"/>
      <c r="IS13" s="85"/>
      <c r="IT13" s="85"/>
      <c r="IU13" s="85"/>
      <c r="IV13" s="85"/>
      <c r="IW13" s="85"/>
      <c r="IX13" s="85"/>
      <c r="IY13" s="85"/>
      <c r="IZ13" s="85"/>
      <c r="JA13" s="85"/>
      <c r="JB13" s="85"/>
      <c r="JC13" s="85"/>
      <c r="JD13" s="85"/>
      <c r="JE13" s="85"/>
      <c r="JF13" s="85"/>
      <c r="JG13" s="85"/>
      <c r="JH13" s="85"/>
      <c r="JI13" s="85"/>
      <c r="JJ13" s="85"/>
      <c r="JK13" s="85"/>
      <c r="JL13" s="85"/>
      <c r="JM13" s="85"/>
      <c r="JN13" s="85"/>
      <c r="JO13" s="85"/>
      <c r="JP13" s="85"/>
      <c r="JQ13" s="85"/>
      <c r="JR13" s="85"/>
      <c r="JS13" s="85"/>
      <c r="JT13" s="85"/>
      <c r="JU13" s="85"/>
      <c r="JV13" s="85"/>
      <c r="JW13" s="85"/>
      <c r="JX13" s="85"/>
      <c r="JY13" s="85"/>
      <c r="JZ13" s="85"/>
      <c r="KA13" s="85"/>
      <c r="KB13" s="85"/>
      <c r="KC13" s="85"/>
      <c r="KD13" s="85"/>
      <c r="KE13" s="85"/>
      <c r="KF13" s="85"/>
      <c r="KG13" s="85"/>
      <c r="KH13" s="85"/>
      <c r="KI13" s="85"/>
      <c r="KJ13" s="85"/>
      <c r="KK13" s="85"/>
      <c r="KL13" s="85"/>
      <c r="KM13" s="85"/>
      <c r="KN13" s="85"/>
      <c r="KO13" s="85"/>
      <c r="KP13" s="85"/>
      <c r="KQ13" s="85"/>
      <c r="KR13" s="85"/>
      <c r="KS13" s="85"/>
      <c r="KT13" s="85"/>
      <c r="KU13" s="85"/>
      <c r="KV13" s="85"/>
      <c r="KW13" s="85"/>
      <c r="KX13" s="85"/>
      <c r="KY13" s="85"/>
      <c r="KZ13" s="85"/>
      <c r="LA13" s="85"/>
      <c r="LB13" s="85"/>
      <c r="LC13" s="85"/>
      <c r="LD13" s="85"/>
      <c r="LE13" s="85"/>
      <c r="LF13" s="85"/>
      <c r="LG13" s="85"/>
      <c r="LH13" s="85"/>
      <c r="LI13" s="85"/>
      <c r="LJ13" s="85"/>
      <c r="LK13" s="85"/>
      <c r="LL13" s="85"/>
      <c r="LM13" s="85"/>
      <c r="LN13" s="85"/>
      <c r="LO13" s="85"/>
      <c r="LP13" s="85"/>
      <c r="LQ13" s="85"/>
      <c r="LR13" s="85"/>
      <c r="LS13" s="85"/>
      <c r="LT13" s="85"/>
      <c r="LU13" s="85"/>
      <c r="LV13" s="85"/>
      <c r="LW13" s="85"/>
      <c r="LX13" s="85"/>
      <c r="LY13" s="85"/>
      <c r="LZ13" s="85"/>
      <c r="MA13" s="85"/>
      <c r="MB13" s="85"/>
      <c r="MC13" s="85"/>
      <c r="MD13" s="85"/>
      <c r="ME13" s="85"/>
      <c r="MF13" s="85"/>
      <c r="MG13" s="85"/>
      <c r="MH13" s="85"/>
      <c r="MI13" s="85"/>
      <c r="MJ13" s="85"/>
      <c r="MK13" s="85"/>
      <c r="ML13" s="85"/>
      <c r="MM13" s="85"/>
      <c r="MN13" s="85"/>
      <c r="MO13" s="85"/>
      <c r="MP13" s="85"/>
      <c r="MQ13" s="85"/>
      <c r="MR13" s="85"/>
      <c r="MS13" s="85"/>
      <c r="MT13" s="85"/>
      <c r="MU13" s="85"/>
      <c r="MV13" s="85"/>
      <c r="MW13" s="85"/>
      <c r="MX13" s="85"/>
      <c r="MY13" s="85"/>
      <c r="MZ13" s="85"/>
      <c r="NA13" s="85"/>
      <c r="NB13" s="85"/>
      <c r="NC13" s="85"/>
      <c r="ND13" s="85"/>
      <c r="NE13" s="85"/>
      <c r="NF13" s="85"/>
      <c r="NG13" s="85"/>
      <c r="NH13" s="85"/>
      <c r="NI13" s="85"/>
      <c r="NJ13" s="85"/>
      <c r="NK13" s="85"/>
      <c r="NL13" s="85"/>
      <c r="NM13" s="85"/>
      <c r="NN13" s="85"/>
      <c r="NO13" s="85"/>
      <c r="NP13" s="85"/>
      <c r="NQ13" s="85"/>
      <c r="NR13" s="85"/>
      <c r="NS13" s="85"/>
      <c r="NT13" s="85"/>
      <c r="NU13" s="85"/>
      <c r="NV13" s="85"/>
      <c r="NW13" s="85"/>
      <c r="NX13" s="85"/>
      <c r="NY13" s="85"/>
      <c r="NZ13" s="85"/>
      <c r="OA13" s="85"/>
      <c r="OB13" s="85"/>
      <c r="OC13" s="85"/>
      <c r="OD13" s="85"/>
      <c r="OE13" s="85"/>
      <c r="OF13" s="85"/>
      <c r="OG13" s="85"/>
      <c r="OH13" s="85"/>
      <c r="OI13" s="85"/>
      <c r="OJ13" s="85"/>
      <c r="OK13" s="85"/>
      <c r="OL13" s="85"/>
      <c r="OM13" s="85"/>
      <c r="ON13" s="85"/>
      <c r="OO13" s="85"/>
      <c r="OP13" s="85"/>
      <c r="OQ13" s="85"/>
      <c r="OR13" s="85"/>
      <c r="OS13" s="85"/>
      <c r="OT13" s="85"/>
      <c r="OU13" s="85"/>
      <c r="OV13" s="85"/>
      <c r="OW13" s="85"/>
      <c r="OX13" s="85"/>
      <c r="OY13" s="85"/>
      <c r="OZ13" s="85"/>
      <c r="PA13" s="85"/>
      <c r="PB13" s="85"/>
      <c r="PC13" s="85"/>
      <c r="PD13" s="85"/>
      <c r="PE13" s="85"/>
      <c r="PF13" s="85"/>
      <c r="PG13" s="85"/>
      <c r="PH13" s="85"/>
      <c r="PI13" s="85"/>
      <c r="PJ13" s="85"/>
      <c r="PK13" s="85"/>
      <c r="PL13" s="85"/>
      <c r="PM13" s="85"/>
      <c r="PN13" s="85"/>
      <c r="PO13" s="85"/>
      <c r="PP13" s="85"/>
      <c r="PQ13" s="85"/>
      <c r="PR13" s="85"/>
      <c r="PS13" s="85"/>
      <c r="PT13" s="85"/>
      <c r="PU13" s="85"/>
      <c r="PV13" s="85"/>
      <c r="PW13" s="85"/>
      <c r="PX13" s="85"/>
      <c r="PY13" s="85"/>
      <c r="PZ13" s="85"/>
      <c r="QA13" s="85"/>
      <c r="QB13" s="85"/>
      <c r="QC13" s="85"/>
      <c r="QD13" s="85"/>
      <c r="QE13" s="85"/>
      <c r="QF13" s="85"/>
      <c r="QG13" s="85"/>
      <c r="QH13" s="85"/>
      <c r="QI13" s="85"/>
      <c r="QJ13" s="85"/>
      <c r="QK13" s="85"/>
      <c r="QL13" s="85"/>
      <c r="QM13" s="85"/>
      <c r="QN13" s="85"/>
      <c r="QO13" s="85"/>
      <c r="QP13" s="85"/>
      <c r="QQ13" s="85"/>
      <c r="QR13" s="85"/>
      <c r="QS13" s="85"/>
      <c r="QT13" s="85"/>
      <c r="QU13" s="85"/>
      <c r="QV13" s="85"/>
      <c r="QW13" s="85"/>
      <c r="QX13" s="85"/>
      <c r="QY13" s="85"/>
      <c r="QZ13" s="85"/>
      <c r="RA13" s="85"/>
      <c r="RB13" s="85"/>
      <c r="RC13" s="85"/>
      <c r="RD13" s="85"/>
      <c r="RE13" s="85"/>
      <c r="RF13" s="85"/>
      <c r="RG13" s="85"/>
      <c r="RH13" s="85"/>
      <c r="RI13" s="85"/>
      <c r="RJ13" s="85"/>
      <c r="RK13" s="85"/>
      <c r="RL13" s="85"/>
      <c r="RM13" s="85"/>
      <c r="RN13" s="85"/>
      <c r="RO13" s="85"/>
      <c r="RP13" s="85"/>
      <c r="RQ13" s="85"/>
      <c r="RR13" s="85"/>
      <c r="RS13" s="85"/>
      <c r="RT13" s="85"/>
      <c r="RU13" s="85"/>
      <c r="RV13" s="85"/>
      <c r="RW13" s="85"/>
      <c r="RX13" s="85"/>
      <c r="RY13" s="85"/>
      <c r="RZ13" s="85"/>
      <c r="SA13" s="85"/>
      <c r="SB13" s="85"/>
      <c r="SC13" s="85"/>
      <c r="SD13" s="85"/>
      <c r="SE13" s="85"/>
      <c r="SF13" s="85"/>
      <c r="SG13" s="85"/>
      <c r="SH13" s="85"/>
      <c r="SI13" s="85"/>
      <c r="SJ13" s="85"/>
      <c r="SK13" s="85"/>
      <c r="SL13" s="85"/>
      <c r="SM13" s="85"/>
      <c r="SN13" s="85"/>
      <c r="SO13" s="85"/>
      <c r="SP13" s="85"/>
      <c r="SQ13" s="85"/>
      <c r="SR13" s="85"/>
      <c r="SS13" s="85"/>
      <c r="ST13" s="85"/>
      <c r="SU13" s="85"/>
      <c r="SV13" s="85"/>
      <c r="SW13" s="85"/>
      <c r="SX13" s="85"/>
      <c r="SY13" s="85"/>
      <c r="SZ13" s="85"/>
      <c r="TA13" s="85"/>
      <c r="TB13" s="85"/>
      <c r="TC13" s="85"/>
      <c r="TD13" s="85"/>
      <c r="TE13" s="85"/>
      <c r="TF13" s="85"/>
      <c r="TG13" s="85"/>
      <c r="TH13" s="85"/>
      <c r="TI13" s="85"/>
      <c r="TJ13" s="85"/>
      <c r="TK13" s="85"/>
      <c r="TL13" s="85"/>
      <c r="TM13" s="85"/>
      <c r="TN13" s="85"/>
      <c r="TO13" s="85"/>
      <c r="TP13" s="85"/>
      <c r="TQ13" s="85"/>
      <c r="TR13" s="85"/>
      <c r="TS13" s="85"/>
      <c r="TT13" s="85"/>
      <c r="TU13" s="85"/>
      <c r="TV13" s="85"/>
      <c r="TW13" s="85"/>
      <c r="TX13" s="85"/>
      <c r="TY13" s="85"/>
      <c r="TZ13" s="85"/>
      <c r="UA13" s="85"/>
      <c r="UB13" s="85"/>
      <c r="UC13" s="85"/>
      <c r="UD13" s="85"/>
      <c r="UE13" s="85"/>
      <c r="UF13" s="85"/>
      <c r="UG13" s="85"/>
      <c r="UH13" s="85"/>
      <c r="UI13" s="85"/>
      <c r="UJ13" s="85"/>
      <c r="UK13" s="85"/>
      <c r="UL13" s="85"/>
      <c r="UM13" s="85"/>
      <c r="UN13" s="85"/>
      <c r="UO13" s="85"/>
      <c r="UP13" s="85"/>
      <c r="UQ13" s="85"/>
      <c r="UR13" s="85"/>
      <c r="US13" s="85"/>
      <c r="UT13" s="85"/>
      <c r="UU13" s="85"/>
      <c r="UV13" s="85"/>
      <c r="UW13" s="85"/>
      <c r="UX13" s="85"/>
      <c r="UY13" s="85"/>
      <c r="UZ13" s="85"/>
      <c r="VA13" s="85"/>
      <c r="VB13" s="85"/>
      <c r="VC13" s="85"/>
      <c r="VD13" s="85"/>
      <c r="VE13" s="85"/>
      <c r="VF13" s="85"/>
      <c r="VG13" s="85"/>
      <c r="VH13" s="85"/>
      <c r="VI13" s="85"/>
      <c r="VJ13" s="85"/>
      <c r="VK13" s="85"/>
      <c r="VL13" s="85"/>
      <c r="VM13" s="85"/>
      <c r="VN13" s="85"/>
      <c r="VO13" s="85"/>
      <c r="VP13" s="85"/>
      <c r="VQ13" s="85"/>
      <c r="VR13" s="85"/>
      <c r="VS13" s="85"/>
      <c r="VT13" s="85"/>
      <c r="VU13" s="85"/>
      <c r="VV13" s="85"/>
      <c r="VW13" s="85"/>
      <c r="VX13" s="85"/>
      <c r="VY13" s="85"/>
      <c r="VZ13" s="85"/>
      <c r="WA13" s="85"/>
      <c r="WB13" s="85"/>
      <c r="WC13" s="85"/>
      <c r="WD13" s="85"/>
      <c r="WE13" s="85"/>
      <c r="WF13" s="85"/>
      <c r="WG13" s="85"/>
      <c r="WH13" s="85"/>
      <c r="WI13" s="85"/>
      <c r="WJ13" s="85"/>
      <c r="WK13" s="85"/>
      <c r="WL13" s="85"/>
      <c r="WM13" s="85"/>
      <c r="WN13" s="85"/>
      <c r="WO13" s="85"/>
      <c r="WP13" s="85"/>
      <c r="WQ13" s="85"/>
      <c r="WR13" s="85"/>
      <c r="WS13" s="85"/>
      <c r="WT13" s="85"/>
      <c r="WU13" s="85"/>
      <c r="WV13" s="85"/>
      <c r="WW13" s="85"/>
      <c r="WX13" s="85"/>
      <c r="WY13" s="85"/>
      <c r="WZ13" s="85"/>
      <c r="XA13" s="85"/>
      <c r="XB13" s="85"/>
      <c r="XC13" s="85"/>
      <c r="XD13" s="85"/>
      <c r="XE13" s="85"/>
      <c r="XF13" s="85"/>
      <c r="XG13" s="85"/>
      <c r="XH13" s="85"/>
      <c r="XI13" s="85"/>
      <c r="XJ13" s="85"/>
      <c r="XK13" s="85"/>
      <c r="XL13" s="85"/>
      <c r="XM13" s="85"/>
      <c r="XN13" s="85"/>
      <c r="XO13" s="85"/>
      <c r="XP13" s="85"/>
      <c r="XQ13" s="85"/>
      <c r="XR13" s="85"/>
      <c r="XS13" s="85"/>
      <c r="XT13" s="85"/>
      <c r="XU13" s="85"/>
      <c r="XV13" s="85"/>
      <c r="XW13" s="85"/>
    </row>
    <row r="14" spans="1:647" s="30" customFormat="1" ht="14.25" customHeight="1">
      <c r="A14" s="88"/>
      <c r="B14" s="89"/>
      <c r="C14" s="92"/>
      <c r="D14" s="92"/>
      <c r="E14" s="94"/>
      <c r="F14" s="92"/>
      <c r="G14" s="92"/>
      <c r="H14" s="92"/>
      <c r="I14" s="273"/>
      <c r="J14" s="279"/>
      <c r="K14" s="282"/>
      <c r="L14" s="347"/>
      <c r="M14" s="159"/>
      <c r="N14" s="159"/>
      <c r="O14" s="159"/>
      <c r="P14" s="159"/>
      <c r="Q14" s="175"/>
      <c r="R14" s="91"/>
      <c r="S14" s="156"/>
      <c r="T14" s="92"/>
      <c r="U14" s="95"/>
      <c r="V14" s="92"/>
      <c r="W14" s="92"/>
      <c r="X14" s="92"/>
      <c r="Y14" s="168"/>
      <c r="Z14" s="168"/>
      <c r="AA14" s="161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5"/>
      <c r="BY14" s="85"/>
      <c r="BZ14" s="85"/>
      <c r="CA14" s="85"/>
      <c r="CB14" s="85"/>
      <c r="CC14" s="85"/>
      <c r="CD14" s="85"/>
      <c r="CE14" s="85"/>
      <c r="CF14" s="85"/>
      <c r="CG14" s="85"/>
      <c r="CH14" s="85"/>
      <c r="CI14" s="85"/>
      <c r="CJ14" s="85"/>
      <c r="CK14" s="85"/>
      <c r="CL14" s="85"/>
      <c r="CM14" s="85"/>
      <c r="CN14" s="85"/>
      <c r="CO14" s="85"/>
      <c r="CP14" s="85"/>
      <c r="CQ14" s="85"/>
      <c r="CR14" s="85"/>
      <c r="CS14" s="85"/>
      <c r="CT14" s="85"/>
      <c r="CU14" s="85"/>
      <c r="CV14" s="85"/>
      <c r="CW14" s="85"/>
      <c r="CX14" s="85"/>
      <c r="CY14" s="85"/>
      <c r="CZ14" s="85"/>
      <c r="DA14" s="85"/>
      <c r="DB14" s="85"/>
      <c r="DC14" s="85"/>
      <c r="DD14" s="85"/>
      <c r="DE14" s="85"/>
      <c r="DF14" s="85"/>
      <c r="DG14" s="85"/>
      <c r="DH14" s="85"/>
      <c r="DI14" s="85"/>
      <c r="DJ14" s="85"/>
      <c r="DK14" s="85"/>
      <c r="DL14" s="85"/>
      <c r="DM14" s="85"/>
      <c r="DN14" s="85"/>
      <c r="DO14" s="85"/>
      <c r="DP14" s="85"/>
      <c r="DQ14" s="85"/>
      <c r="DR14" s="85"/>
      <c r="DS14" s="85"/>
      <c r="DT14" s="85"/>
      <c r="DU14" s="85"/>
      <c r="DV14" s="85"/>
      <c r="DW14" s="85"/>
      <c r="DX14" s="85"/>
      <c r="DY14" s="85"/>
      <c r="DZ14" s="85"/>
      <c r="EA14" s="85"/>
      <c r="EB14" s="85"/>
      <c r="EC14" s="85"/>
      <c r="ED14" s="85"/>
      <c r="EE14" s="85"/>
      <c r="EF14" s="85"/>
      <c r="EG14" s="85"/>
      <c r="EH14" s="85"/>
      <c r="EI14" s="85"/>
      <c r="EJ14" s="85"/>
      <c r="EK14" s="85"/>
      <c r="EL14" s="85"/>
      <c r="EM14" s="85"/>
      <c r="EN14" s="85"/>
      <c r="EO14" s="85"/>
      <c r="EP14" s="85"/>
      <c r="EQ14" s="85"/>
      <c r="ER14" s="85"/>
      <c r="ES14" s="85"/>
      <c r="ET14" s="85"/>
      <c r="EU14" s="85"/>
      <c r="EV14" s="85"/>
      <c r="EW14" s="85"/>
      <c r="EX14" s="85"/>
      <c r="EY14" s="85"/>
      <c r="EZ14" s="85"/>
      <c r="FA14" s="85"/>
      <c r="FB14" s="85"/>
      <c r="FC14" s="85"/>
      <c r="FD14" s="85"/>
      <c r="FE14" s="85"/>
      <c r="FF14" s="85"/>
      <c r="FG14" s="85"/>
      <c r="FH14" s="85"/>
      <c r="FI14" s="85"/>
      <c r="FJ14" s="85"/>
      <c r="FK14" s="85"/>
      <c r="FL14" s="85"/>
      <c r="FM14" s="85"/>
      <c r="FN14" s="85"/>
      <c r="FO14" s="85"/>
      <c r="FP14" s="85"/>
      <c r="FQ14" s="85"/>
      <c r="FR14" s="85"/>
      <c r="FS14" s="85"/>
      <c r="FT14" s="85"/>
      <c r="FU14" s="85"/>
      <c r="FV14" s="85"/>
      <c r="FW14" s="85"/>
      <c r="FX14" s="85"/>
      <c r="FY14" s="85"/>
      <c r="FZ14" s="85"/>
      <c r="GA14" s="85"/>
      <c r="GB14" s="85"/>
      <c r="GC14" s="85"/>
      <c r="GD14" s="85"/>
      <c r="GE14" s="85"/>
      <c r="GF14" s="85"/>
      <c r="GG14" s="85"/>
      <c r="GH14" s="85"/>
      <c r="GI14" s="85"/>
      <c r="GJ14" s="85"/>
      <c r="GK14" s="85"/>
      <c r="GL14" s="85"/>
      <c r="GM14" s="85"/>
      <c r="GN14" s="85"/>
      <c r="GO14" s="85"/>
      <c r="GP14" s="85"/>
      <c r="GQ14" s="85"/>
      <c r="GR14" s="85"/>
      <c r="GS14" s="85"/>
      <c r="GT14" s="85"/>
      <c r="GU14" s="85"/>
      <c r="GV14" s="85"/>
      <c r="GW14" s="85"/>
      <c r="GX14" s="85"/>
      <c r="GY14" s="85"/>
      <c r="GZ14" s="85"/>
      <c r="HA14" s="85"/>
      <c r="HB14" s="85"/>
      <c r="HC14" s="85"/>
      <c r="HD14" s="85"/>
      <c r="HE14" s="85"/>
      <c r="HF14" s="85"/>
      <c r="HG14" s="85"/>
      <c r="HH14" s="85"/>
      <c r="HI14" s="85"/>
      <c r="HJ14" s="85"/>
      <c r="HK14" s="85"/>
      <c r="HL14" s="85"/>
      <c r="HM14" s="85"/>
      <c r="HN14" s="85"/>
      <c r="HO14" s="85"/>
      <c r="HP14" s="85"/>
      <c r="HQ14" s="85"/>
      <c r="HR14" s="85"/>
      <c r="HS14" s="85"/>
      <c r="HT14" s="85"/>
      <c r="HU14" s="85"/>
      <c r="HV14" s="85"/>
      <c r="HW14" s="85"/>
      <c r="HX14" s="85"/>
      <c r="HY14" s="85"/>
      <c r="HZ14" s="85"/>
      <c r="IA14" s="85"/>
      <c r="IB14" s="85"/>
      <c r="IC14" s="85"/>
      <c r="ID14" s="85"/>
      <c r="IE14" s="85"/>
      <c r="IF14" s="85"/>
      <c r="IG14" s="85"/>
      <c r="IH14" s="85"/>
      <c r="II14" s="85"/>
      <c r="IJ14" s="85"/>
      <c r="IK14" s="85"/>
      <c r="IL14" s="85"/>
      <c r="IM14" s="85"/>
      <c r="IN14" s="85"/>
      <c r="IO14" s="85"/>
      <c r="IP14" s="85"/>
      <c r="IQ14" s="85"/>
      <c r="IR14" s="85"/>
      <c r="IS14" s="85"/>
      <c r="IT14" s="85"/>
      <c r="IU14" s="85"/>
      <c r="IV14" s="85"/>
      <c r="IW14" s="85"/>
      <c r="IX14" s="85"/>
      <c r="IY14" s="85"/>
      <c r="IZ14" s="85"/>
      <c r="JA14" s="85"/>
      <c r="JB14" s="85"/>
      <c r="JC14" s="85"/>
      <c r="JD14" s="85"/>
      <c r="JE14" s="85"/>
      <c r="JF14" s="85"/>
      <c r="JG14" s="85"/>
      <c r="JH14" s="85"/>
      <c r="JI14" s="85"/>
      <c r="JJ14" s="85"/>
      <c r="JK14" s="85"/>
      <c r="JL14" s="85"/>
      <c r="JM14" s="85"/>
      <c r="JN14" s="85"/>
      <c r="JO14" s="85"/>
      <c r="JP14" s="85"/>
      <c r="JQ14" s="85"/>
      <c r="JR14" s="85"/>
      <c r="JS14" s="85"/>
      <c r="JT14" s="85"/>
      <c r="JU14" s="85"/>
      <c r="JV14" s="85"/>
      <c r="JW14" s="85"/>
      <c r="JX14" s="85"/>
      <c r="JY14" s="85"/>
      <c r="JZ14" s="85"/>
      <c r="KA14" s="85"/>
      <c r="KB14" s="85"/>
      <c r="KC14" s="85"/>
      <c r="KD14" s="85"/>
      <c r="KE14" s="85"/>
      <c r="KF14" s="85"/>
      <c r="KG14" s="85"/>
      <c r="KH14" s="85"/>
      <c r="KI14" s="85"/>
      <c r="KJ14" s="85"/>
      <c r="KK14" s="85"/>
      <c r="KL14" s="85"/>
      <c r="KM14" s="85"/>
      <c r="KN14" s="85"/>
      <c r="KO14" s="85"/>
      <c r="KP14" s="85"/>
      <c r="KQ14" s="85"/>
      <c r="KR14" s="85"/>
      <c r="KS14" s="85"/>
      <c r="KT14" s="85"/>
      <c r="KU14" s="85"/>
      <c r="KV14" s="85"/>
      <c r="KW14" s="85"/>
      <c r="KX14" s="85"/>
      <c r="KY14" s="85"/>
      <c r="KZ14" s="85"/>
      <c r="LA14" s="85"/>
      <c r="LB14" s="85"/>
      <c r="LC14" s="85"/>
      <c r="LD14" s="85"/>
      <c r="LE14" s="85"/>
      <c r="LF14" s="85"/>
      <c r="LG14" s="85"/>
      <c r="LH14" s="85"/>
      <c r="LI14" s="85"/>
      <c r="LJ14" s="85"/>
      <c r="LK14" s="85"/>
      <c r="LL14" s="85"/>
      <c r="LM14" s="85"/>
      <c r="LN14" s="85"/>
      <c r="LO14" s="85"/>
      <c r="LP14" s="85"/>
      <c r="LQ14" s="85"/>
      <c r="LR14" s="85"/>
      <c r="LS14" s="85"/>
      <c r="LT14" s="85"/>
      <c r="LU14" s="85"/>
      <c r="LV14" s="85"/>
      <c r="LW14" s="85"/>
      <c r="LX14" s="85"/>
      <c r="LY14" s="85"/>
      <c r="LZ14" s="85"/>
      <c r="MA14" s="85"/>
      <c r="MB14" s="85"/>
      <c r="MC14" s="85"/>
      <c r="MD14" s="85"/>
      <c r="ME14" s="85"/>
      <c r="MF14" s="85"/>
      <c r="MG14" s="85"/>
      <c r="MH14" s="85"/>
      <c r="MI14" s="85"/>
      <c r="MJ14" s="85"/>
      <c r="MK14" s="85"/>
      <c r="ML14" s="85"/>
      <c r="MM14" s="85"/>
      <c r="MN14" s="85"/>
      <c r="MO14" s="85"/>
      <c r="MP14" s="85"/>
      <c r="MQ14" s="85"/>
      <c r="MR14" s="85"/>
      <c r="MS14" s="85"/>
      <c r="MT14" s="85"/>
      <c r="MU14" s="85"/>
      <c r="MV14" s="85"/>
      <c r="MW14" s="85"/>
      <c r="MX14" s="85"/>
      <c r="MY14" s="85"/>
      <c r="MZ14" s="85"/>
      <c r="NA14" s="85"/>
      <c r="NB14" s="85"/>
      <c r="NC14" s="85"/>
      <c r="ND14" s="85"/>
      <c r="NE14" s="85"/>
      <c r="NF14" s="85"/>
      <c r="NG14" s="85"/>
      <c r="NH14" s="85"/>
      <c r="NI14" s="85"/>
      <c r="NJ14" s="85"/>
      <c r="NK14" s="85"/>
      <c r="NL14" s="85"/>
      <c r="NM14" s="85"/>
      <c r="NN14" s="85"/>
      <c r="NO14" s="85"/>
      <c r="NP14" s="85"/>
      <c r="NQ14" s="85"/>
      <c r="NR14" s="85"/>
      <c r="NS14" s="85"/>
      <c r="NT14" s="85"/>
      <c r="NU14" s="85"/>
      <c r="NV14" s="85"/>
      <c r="NW14" s="85"/>
      <c r="NX14" s="85"/>
      <c r="NY14" s="85"/>
      <c r="NZ14" s="85"/>
      <c r="OA14" s="85"/>
      <c r="OB14" s="85"/>
      <c r="OC14" s="85"/>
      <c r="OD14" s="85"/>
      <c r="OE14" s="85"/>
      <c r="OF14" s="85"/>
      <c r="OG14" s="85"/>
      <c r="OH14" s="85"/>
      <c r="OI14" s="85"/>
      <c r="OJ14" s="85"/>
      <c r="OK14" s="85"/>
      <c r="OL14" s="85"/>
      <c r="OM14" s="85"/>
      <c r="ON14" s="85"/>
      <c r="OO14" s="85"/>
      <c r="OP14" s="85"/>
      <c r="OQ14" s="85"/>
      <c r="OR14" s="85"/>
      <c r="OS14" s="85"/>
      <c r="OT14" s="85"/>
      <c r="OU14" s="85"/>
      <c r="OV14" s="85"/>
      <c r="OW14" s="85"/>
      <c r="OX14" s="85"/>
      <c r="OY14" s="85"/>
      <c r="OZ14" s="85"/>
      <c r="PA14" s="85"/>
      <c r="PB14" s="85"/>
      <c r="PC14" s="85"/>
      <c r="PD14" s="85"/>
      <c r="PE14" s="85"/>
      <c r="PF14" s="85"/>
      <c r="PG14" s="85"/>
      <c r="PH14" s="85"/>
      <c r="PI14" s="85"/>
      <c r="PJ14" s="85"/>
      <c r="PK14" s="85"/>
      <c r="PL14" s="85"/>
      <c r="PM14" s="85"/>
      <c r="PN14" s="85"/>
      <c r="PO14" s="85"/>
      <c r="PP14" s="85"/>
      <c r="PQ14" s="85"/>
      <c r="PR14" s="85"/>
      <c r="PS14" s="85"/>
      <c r="PT14" s="85"/>
      <c r="PU14" s="85"/>
      <c r="PV14" s="85"/>
      <c r="PW14" s="85"/>
      <c r="PX14" s="85"/>
      <c r="PY14" s="85"/>
      <c r="PZ14" s="85"/>
      <c r="QA14" s="85"/>
      <c r="QB14" s="85"/>
      <c r="QC14" s="85"/>
      <c r="QD14" s="85"/>
      <c r="QE14" s="85"/>
      <c r="QF14" s="85"/>
      <c r="QG14" s="85"/>
      <c r="QH14" s="85"/>
      <c r="QI14" s="85"/>
      <c r="QJ14" s="85"/>
      <c r="QK14" s="85"/>
      <c r="QL14" s="85"/>
      <c r="QM14" s="85"/>
      <c r="QN14" s="85"/>
      <c r="QO14" s="85"/>
      <c r="QP14" s="85"/>
      <c r="QQ14" s="85"/>
      <c r="QR14" s="85"/>
      <c r="QS14" s="85"/>
      <c r="QT14" s="85"/>
      <c r="QU14" s="85"/>
      <c r="QV14" s="85"/>
      <c r="QW14" s="85"/>
      <c r="QX14" s="85"/>
      <c r="QY14" s="85"/>
      <c r="QZ14" s="85"/>
      <c r="RA14" s="85"/>
      <c r="RB14" s="85"/>
      <c r="RC14" s="85"/>
      <c r="RD14" s="85"/>
      <c r="RE14" s="85"/>
      <c r="RF14" s="85"/>
      <c r="RG14" s="85"/>
      <c r="RH14" s="85"/>
      <c r="RI14" s="85"/>
      <c r="RJ14" s="85"/>
      <c r="RK14" s="85"/>
      <c r="RL14" s="85"/>
      <c r="RM14" s="85"/>
      <c r="RN14" s="85"/>
      <c r="RO14" s="85"/>
      <c r="RP14" s="85"/>
      <c r="RQ14" s="85"/>
      <c r="RR14" s="85"/>
      <c r="RS14" s="85"/>
      <c r="RT14" s="85"/>
      <c r="RU14" s="85"/>
      <c r="RV14" s="85"/>
      <c r="RW14" s="85"/>
      <c r="RX14" s="85"/>
      <c r="RY14" s="85"/>
      <c r="RZ14" s="85"/>
      <c r="SA14" s="85"/>
      <c r="SB14" s="85"/>
      <c r="SC14" s="85"/>
      <c r="SD14" s="85"/>
      <c r="SE14" s="85"/>
      <c r="SF14" s="85"/>
      <c r="SG14" s="85"/>
      <c r="SH14" s="85"/>
      <c r="SI14" s="85"/>
      <c r="SJ14" s="85"/>
      <c r="SK14" s="85"/>
      <c r="SL14" s="85"/>
      <c r="SM14" s="85"/>
      <c r="SN14" s="85"/>
      <c r="SO14" s="85"/>
      <c r="SP14" s="85"/>
      <c r="SQ14" s="85"/>
      <c r="SR14" s="85"/>
      <c r="SS14" s="85"/>
      <c r="ST14" s="85"/>
      <c r="SU14" s="85"/>
      <c r="SV14" s="85"/>
      <c r="SW14" s="85"/>
      <c r="SX14" s="85"/>
      <c r="SY14" s="85"/>
      <c r="SZ14" s="85"/>
      <c r="TA14" s="85"/>
      <c r="TB14" s="85"/>
      <c r="TC14" s="85"/>
      <c r="TD14" s="85"/>
      <c r="TE14" s="85"/>
      <c r="TF14" s="85"/>
      <c r="TG14" s="85"/>
      <c r="TH14" s="85"/>
      <c r="TI14" s="85"/>
      <c r="TJ14" s="85"/>
      <c r="TK14" s="85"/>
      <c r="TL14" s="85"/>
      <c r="TM14" s="85"/>
      <c r="TN14" s="85"/>
      <c r="TO14" s="85"/>
      <c r="TP14" s="85"/>
      <c r="TQ14" s="85"/>
      <c r="TR14" s="85"/>
      <c r="TS14" s="85"/>
      <c r="TT14" s="85"/>
      <c r="TU14" s="85"/>
      <c r="TV14" s="85"/>
      <c r="TW14" s="85"/>
      <c r="TX14" s="85"/>
      <c r="TY14" s="85"/>
      <c r="TZ14" s="85"/>
      <c r="UA14" s="85"/>
      <c r="UB14" s="85"/>
      <c r="UC14" s="85"/>
      <c r="UD14" s="85"/>
      <c r="UE14" s="85"/>
      <c r="UF14" s="85"/>
      <c r="UG14" s="85"/>
      <c r="UH14" s="85"/>
      <c r="UI14" s="85"/>
      <c r="UJ14" s="85"/>
      <c r="UK14" s="85"/>
      <c r="UL14" s="85"/>
      <c r="UM14" s="85"/>
      <c r="UN14" s="85"/>
      <c r="UO14" s="85"/>
      <c r="UP14" s="85"/>
      <c r="UQ14" s="85"/>
      <c r="UR14" s="85"/>
      <c r="US14" s="85"/>
      <c r="UT14" s="85"/>
      <c r="UU14" s="85"/>
      <c r="UV14" s="85"/>
      <c r="UW14" s="85"/>
      <c r="UX14" s="85"/>
      <c r="UY14" s="85"/>
      <c r="UZ14" s="85"/>
      <c r="VA14" s="85"/>
      <c r="VB14" s="85"/>
      <c r="VC14" s="85"/>
      <c r="VD14" s="85"/>
      <c r="VE14" s="85"/>
      <c r="VF14" s="85"/>
      <c r="VG14" s="85"/>
      <c r="VH14" s="85"/>
      <c r="VI14" s="85"/>
      <c r="VJ14" s="85"/>
      <c r="VK14" s="85"/>
      <c r="VL14" s="85"/>
      <c r="VM14" s="85"/>
      <c r="VN14" s="85"/>
      <c r="VO14" s="85"/>
      <c r="VP14" s="85"/>
      <c r="VQ14" s="85"/>
      <c r="VR14" s="85"/>
      <c r="VS14" s="85"/>
      <c r="VT14" s="85"/>
      <c r="VU14" s="85"/>
      <c r="VV14" s="85"/>
      <c r="VW14" s="85"/>
      <c r="VX14" s="85"/>
      <c r="VY14" s="85"/>
      <c r="VZ14" s="85"/>
      <c r="WA14" s="85"/>
      <c r="WB14" s="85"/>
      <c r="WC14" s="85"/>
      <c r="WD14" s="85"/>
      <c r="WE14" s="85"/>
      <c r="WF14" s="85"/>
      <c r="WG14" s="85"/>
      <c r="WH14" s="85"/>
      <c r="WI14" s="85"/>
      <c r="WJ14" s="85"/>
      <c r="WK14" s="85"/>
      <c r="WL14" s="85"/>
      <c r="WM14" s="85"/>
      <c r="WN14" s="85"/>
      <c r="WO14" s="85"/>
      <c r="WP14" s="85"/>
      <c r="WQ14" s="85"/>
      <c r="WR14" s="85"/>
      <c r="WS14" s="85"/>
      <c r="WT14" s="85"/>
      <c r="WU14" s="85"/>
      <c r="WV14" s="85"/>
      <c r="WW14" s="85"/>
      <c r="WX14" s="85"/>
      <c r="WY14" s="85"/>
      <c r="WZ14" s="85"/>
      <c r="XA14" s="85"/>
      <c r="XB14" s="85"/>
      <c r="XC14" s="85"/>
      <c r="XD14" s="85"/>
      <c r="XE14" s="85"/>
      <c r="XF14" s="85"/>
      <c r="XG14" s="85"/>
      <c r="XH14" s="85"/>
      <c r="XI14" s="85"/>
      <c r="XJ14" s="85"/>
      <c r="XK14" s="85"/>
      <c r="XL14" s="85"/>
      <c r="XM14" s="85"/>
      <c r="XN14" s="85"/>
      <c r="XO14" s="85"/>
      <c r="XP14" s="85"/>
      <c r="XQ14" s="85"/>
      <c r="XR14" s="85"/>
      <c r="XS14" s="85"/>
      <c r="XT14" s="85"/>
      <c r="XU14" s="85"/>
      <c r="XV14" s="85"/>
      <c r="XW14" s="85"/>
    </row>
    <row r="15" spans="1:647" s="30" customFormat="1" ht="14.25" customHeight="1">
      <c r="A15" s="88"/>
      <c r="B15" s="89"/>
      <c r="C15" s="92"/>
      <c r="D15" s="92"/>
      <c r="E15" s="94"/>
      <c r="F15" s="92"/>
      <c r="G15" s="92"/>
      <c r="H15" s="92"/>
      <c r="I15" s="273"/>
      <c r="J15" s="279"/>
      <c r="K15" s="282"/>
      <c r="L15" s="347"/>
      <c r="M15" s="159"/>
      <c r="N15" s="159"/>
      <c r="O15" s="159"/>
      <c r="P15" s="159"/>
      <c r="Q15" s="175"/>
      <c r="R15" s="91"/>
      <c r="S15" s="156"/>
      <c r="T15" s="92"/>
      <c r="U15" s="95"/>
      <c r="V15" s="92"/>
      <c r="W15" s="92"/>
      <c r="X15" s="92"/>
      <c r="Y15" s="168"/>
      <c r="Z15" s="168"/>
      <c r="AA15" s="161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5"/>
      <c r="BY15" s="85"/>
      <c r="BZ15" s="85"/>
      <c r="CA15" s="85"/>
      <c r="CB15" s="85"/>
      <c r="CC15" s="85"/>
      <c r="CD15" s="85"/>
      <c r="CE15" s="85"/>
      <c r="CF15" s="85"/>
      <c r="CG15" s="85"/>
      <c r="CH15" s="85"/>
      <c r="CI15" s="85"/>
      <c r="CJ15" s="85"/>
      <c r="CK15" s="85"/>
      <c r="CL15" s="85"/>
      <c r="CM15" s="85"/>
      <c r="CN15" s="85"/>
      <c r="CO15" s="85"/>
      <c r="CP15" s="85"/>
      <c r="CQ15" s="85"/>
      <c r="CR15" s="85"/>
      <c r="CS15" s="85"/>
      <c r="CT15" s="85"/>
      <c r="CU15" s="85"/>
      <c r="CV15" s="85"/>
      <c r="CW15" s="85"/>
      <c r="CX15" s="85"/>
      <c r="CY15" s="85"/>
      <c r="CZ15" s="85"/>
      <c r="DA15" s="85"/>
      <c r="DB15" s="85"/>
      <c r="DC15" s="85"/>
      <c r="DD15" s="85"/>
      <c r="DE15" s="85"/>
      <c r="DF15" s="85"/>
      <c r="DG15" s="85"/>
      <c r="DH15" s="85"/>
      <c r="DI15" s="85"/>
      <c r="DJ15" s="85"/>
      <c r="DK15" s="85"/>
      <c r="DL15" s="85"/>
      <c r="DM15" s="85"/>
      <c r="DN15" s="85"/>
      <c r="DO15" s="85"/>
      <c r="DP15" s="85"/>
      <c r="DQ15" s="85"/>
      <c r="DR15" s="85"/>
      <c r="DS15" s="85"/>
      <c r="DT15" s="85"/>
      <c r="DU15" s="85"/>
      <c r="DV15" s="85"/>
      <c r="DW15" s="85"/>
      <c r="DX15" s="85"/>
      <c r="DY15" s="85"/>
      <c r="DZ15" s="85"/>
      <c r="EA15" s="85"/>
      <c r="EB15" s="85"/>
      <c r="EC15" s="85"/>
      <c r="ED15" s="85"/>
      <c r="EE15" s="85"/>
      <c r="EF15" s="85"/>
      <c r="EG15" s="85"/>
      <c r="EH15" s="85"/>
      <c r="EI15" s="85"/>
      <c r="EJ15" s="85"/>
      <c r="EK15" s="85"/>
      <c r="EL15" s="85"/>
      <c r="EM15" s="85"/>
      <c r="EN15" s="85"/>
      <c r="EO15" s="85"/>
      <c r="EP15" s="85"/>
      <c r="EQ15" s="85"/>
      <c r="ER15" s="85"/>
      <c r="ES15" s="85"/>
      <c r="ET15" s="85"/>
      <c r="EU15" s="85"/>
      <c r="EV15" s="85"/>
      <c r="EW15" s="85"/>
      <c r="EX15" s="85"/>
      <c r="EY15" s="85"/>
      <c r="EZ15" s="85"/>
      <c r="FA15" s="85"/>
      <c r="FB15" s="85"/>
      <c r="FC15" s="85"/>
      <c r="FD15" s="85"/>
      <c r="FE15" s="85"/>
      <c r="FF15" s="85"/>
      <c r="FG15" s="85"/>
      <c r="FH15" s="85"/>
      <c r="FI15" s="85"/>
      <c r="FJ15" s="85"/>
      <c r="FK15" s="85"/>
      <c r="FL15" s="85"/>
      <c r="FM15" s="85"/>
      <c r="FN15" s="85"/>
      <c r="FO15" s="85"/>
      <c r="FP15" s="85"/>
      <c r="FQ15" s="85"/>
      <c r="FR15" s="85"/>
      <c r="FS15" s="85"/>
      <c r="FT15" s="85"/>
      <c r="FU15" s="85"/>
      <c r="FV15" s="85"/>
      <c r="FW15" s="85"/>
      <c r="FX15" s="85"/>
      <c r="FY15" s="85"/>
      <c r="FZ15" s="85"/>
      <c r="GA15" s="85"/>
      <c r="GB15" s="85"/>
      <c r="GC15" s="85"/>
      <c r="GD15" s="85"/>
      <c r="GE15" s="85"/>
      <c r="GF15" s="85"/>
      <c r="GG15" s="85"/>
      <c r="GH15" s="85"/>
      <c r="GI15" s="85"/>
      <c r="GJ15" s="85"/>
      <c r="GK15" s="85"/>
      <c r="GL15" s="85"/>
      <c r="GM15" s="85"/>
      <c r="GN15" s="85"/>
      <c r="GO15" s="85"/>
      <c r="GP15" s="85"/>
      <c r="GQ15" s="85"/>
      <c r="GR15" s="85"/>
      <c r="GS15" s="85"/>
      <c r="GT15" s="85"/>
      <c r="GU15" s="85"/>
      <c r="GV15" s="85"/>
      <c r="GW15" s="85"/>
      <c r="GX15" s="85"/>
      <c r="GY15" s="85"/>
      <c r="GZ15" s="85"/>
      <c r="HA15" s="85"/>
      <c r="HB15" s="85"/>
      <c r="HC15" s="85"/>
      <c r="HD15" s="85"/>
      <c r="HE15" s="85"/>
      <c r="HF15" s="85"/>
      <c r="HG15" s="85"/>
      <c r="HH15" s="85"/>
      <c r="HI15" s="85"/>
      <c r="HJ15" s="85"/>
      <c r="HK15" s="85"/>
      <c r="HL15" s="85"/>
      <c r="HM15" s="85"/>
      <c r="HN15" s="85"/>
      <c r="HO15" s="85"/>
      <c r="HP15" s="85"/>
      <c r="HQ15" s="85"/>
      <c r="HR15" s="85"/>
      <c r="HS15" s="85"/>
      <c r="HT15" s="85"/>
      <c r="HU15" s="85"/>
      <c r="HV15" s="85"/>
      <c r="HW15" s="85"/>
      <c r="HX15" s="85"/>
      <c r="HY15" s="85"/>
      <c r="HZ15" s="85"/>
      <c r="IA15" s="85"/>
      <c r="IB15" s="85"/>
      <c r="IC15" s="85"/>
      <c r="ID15" s="85"/>
      <c r="IE15" s="85"/>
      <c r="IF15" s="85"/>
      <c r="IG15" s="85"/>
      <c r="IH15" s="85"/>
      <c r="II15" s="85"/>
      <c r="IJ15" s="85"/>
      <c r="IK15" s="85"/>
      <c r="IL15" s="85"/>
      <c r="IM15" s="85"/>
      <c r="IN15" s="85"/>
      <c r="IO15" s="85"/>
      <c r="IP15" s="85"/>
      <c r="IQ15" s="85"/>
      <c r="IR15" s="85"/>
      <c r="IS15" s="85"/>
      <c r="IT15" s="85"/>
      <c r="IU15" s="85"/>
      <c r="IV15" s="85"/>
      <c r="IW15" s="85"/>
      <c r="IX15" s="85"/>
      <c r="IY15" s="85"/>
      <c r="IZ15" s="85"/>
      <c r="JA15" s="85"/>
      <c r="JB15" s="85"/>
      <c r="JC15" s="85"/>
      <c r="JD15" s="85"/>
      <c r="JE15" s="85"/>
      <c r="JF15" s="85"/>
      <c r="JG15" s="85"/>
      <c r="JH15" s="85"/>
      <c r="JI15" s="85"/>
      <c r="JJ15" s="85"/>
      <c r="JK15" s="85"/>
      <c r="JL15" s="85"/>
      <c r="JM15" s="85"/>
      <c r="JN15" s="85"/>
      <c r="JO15" s="85"/>
      <c r="JP15" s="85"/>
      <c r="JQ15" s="85"/>
      <c r="JR15" s="85"/>
      <c r="JS15" s="85"/>
      <c r="JT15" s="85"/>
      <c r="JU15" s="85"/>
      <c r="JV15" s="85"/>
      <c r="JW15" s="85"/>
      <c r="JX15" s="85"/>
      <c r="JY15" s="85"/>
      <c r="JZ15" s="85"/>
      <c r="KA15" s="85"/>
      <c r="KB15" s="85"/>
      <c r="KC15" s="85"/>
      <c r="KD15" s="85"/>
      <c r="KE15" s="85"/>
      <c r="KF15" s="85"/>
      <c r="KG15" s="85"/>
      <c r="KH15" s="85"/>
      <c r="KI15" s="85"/>
      <c r="KJ15" s="85"/>
      <c r="KK15" s="85"/>
      <c r="KL15" s="85"/>
      <c r="KM15" s="85"/>
      <c r="KN15" s="85"/>
      <c r="KO15" s="85"/>
      <c r="KP15" s="85"/>
      <c r="KQ15" s="85"/>
      <c r="KR15" s="85"/>
      <c r="KS15" s="85"/>
      <c r="KT15" s="85"/>
      <c r="KU15" s="85"/>
      <c r="KV15" s="85"/>
      <c r="KW15" s="85"/>
      <c r="KX15" s="85"/>
      <c r="KY15" s="85"/>
      <c r="KZ15" s="85"/>
      <c r="LA15" s="85"/>
      <c r="LB15" s="85"/>
      <c r="LC15" s="85"/>
      <c r="LD15" s="85"/>
      <c r="LE15" s="85"/>
      <c r="LF15" s="85"/>
      <c r="LG15" s="85"/>
      <c r="LH15" s="85"/>
      <c r="LI15" s="85"/>
      <c r="LJ15" s="85"/>
      <c r="LK15" s="85"/>
      <c r="LL15" s="85"/>
      <c r="LM15" s="85"/>
      <c r="LN15" s="85"/>
      <c r="LO15" s="85"/>
      <c r="LP15" s="85"/>
      <c r="LQ15" s="85"/>
      <c r="LR15" s="85"/>
      <c r="LS15" s="85"/>
      <c r="LT15" s="85"/>
      <c r="LU15" s="85"/>
      <c r="LV15" s="85"/>
      <c r="LW15" s="85"/>
      <c r="LX15" s="85"/>
      <c r="LY15" s="85"/>
      <c r="LZ15" s="85"/>
      <c r="MA15" s="85"/>
      <c r="MB15" s="85"/>
      <c r="MC15" s="85"/>
      <c r="MD15" s="85"/>
      <c r="ME15" s="85"/>
      <c r="MF15" s="85"/>
      <c r="MG15" s="85"/>
      <c r="MH15" s="85"/>
      <c r="MI15" s="85"/>
      <c r="MJ15" s="85"/>
      <c r="MK15" s="85"/>
      <c r="ML15" s="85"/>
      <c r="MM15" s="85"/>
      <c r="MN15" s="85"/>
      <c r="MO15" s="85"/>
      <c r="MP15" s="85"/>
      <c r="MQ15" s="85"/>
      <c r="MR15" s="85"/>
      <c r="MS15" s="85"/>
      <c r="MT15" s="85"/>
      <c r="MU15" s="85"/>
      <c r="MV15" s="85"/>
      <c r="MW15" s="85"/>
      <c r="MX15" s="85"/>
      <c r="MY15" s="85"/>
      <c r="MZ15" s="85"/>
      <c r="NA15" s="85"/>
      <c r="NB15" s="85"/>
      <c r="NC15" s="85"/>
      <c r="ND15" s="85"/>
      <c r="NE15" s="85"/>
      <c r="NF15" s="85"/>
      <c r="NG15" s="85"/>
      <c r="NH15" s="85"/>
      <c r="NI15" s="85"/>
      <c r="NJ15" s="85"/>
      <c r="NK15" s="85"/>
      <c r="NL15" s="85"/>
      <c r="NM15" s="85"/>
      <c r="NN15" s="85"/>
      <c r="NO15" s="85"/>
      <c r="NP15" s="85"/>
      <c r="NQ15" s="85"/>
      <c r="NR15" s="85"/>
      <c r="NS15" s="85"/>
      <c r="NT15" s="85"/>
      <c r="NU15" s="85"/>
      <c r="NV15" s="85"/>
      <c r="NW15" s="85"/>
      <c r="NX15" s="85"/>
      <c r="NY15" s="85"/>
      <c r="NZ15" s="85"/>
      <c r="OA15" s="85"/>
      <c r="OB15" s="85"/>
      <c r="OC15" s="85"/>
      <c r="OD15" s="85"/>
      <c r="OE15" s="85"/>
      <c r="OF15" s="85"/>
      <c r="OG15" s="85"/>
      <c r="OH15" s="85"/>
      <c r="OI15" s="85"/>
      <c r="OJ15" s="85"/>
      <c r="OK15" s="85"/>
      <c r="OL15" s="85"/>
      <c r="OM15" s="85"/>
      <c r="ON15" s="85"/>
      <c r="OO15" s="85"/>
      <c r="OP15" s="85"/>
      <c r="OQ15" s="85"/>
      <c r="OR15" s="85"/>
      <c r="OS15" s="85"/>
      <c r="OT15" s="85"/>
      <c r="OU15" s="85"/>
      <c r="OV15" s="85"/>
      <c r="OW15" s="85"/>
      <c r="OX15" s="85"/>
      <c r="OY15" s="85"/>
      <c r="OZ15" s="85"/>
      <c r="PA15" s="85"/>
      <c r="PB15" s="85"/>
      <c r="PC15" s="85"/>
      <c r="PD15" s="85"/>
      <c r="PE15" s="85"/>
      <c r="PF15" s="85"/>
      <c r="PG15" s="85"/>
      <c r="PH15" s="85"/>
      <c r="PI15" s="85"/>
      <c r="PJ15" s="85"/>
      <c r="PK15" s="85"/>
      <c r="PL15" s="85"/>
      <c r="PM15" s="85"/>
      <c r="PN15" s="85"/>
      <c r="PO15" s="85"/>
      <c r="PP15" s="85"/>
      <c r="PQ15" s="85"/>
      <c r="PR15" s="85"/>
      <c r="PS15" s="85"/>
      <c r="PT15" s="85"/>
      <c r="PU15" s="85"/>
      <c r="PV15" s="85"/>
      <c r="PW15" s="85"/>
      <c r="PX15" s="85"/>
      <c r="PY15" s="85"/>
      <c r="PZ15" s="85"/>
      <c r="QA15" s="85"/>
      <c r="QB15" s="85"/>
      <c r="QC15" s="85"/>
      <c r="QD15" s="85"/>
      <c r="QE15" s="85"/>
      <c r="QF15" s="85"/>
      <c r="QG15" s="85"/>
      <c r="QH15" s="85"/>
      <c r="QI15" s="85"/>
      <c r="QJ15" s="85"/>
      <c r="QK15" s="85"/>
      <c r="QL15" s="85"/>
      <c r="QM15" s="85"/>
      <c r="QN15" s="85"/>
      <c r="QO15" s="85"/>
      <c r="QP15" s="85"/>
      <c r="QQ15" s="85"/>
      <c r="QR15" s="85"/>
      <c r="QS15" s="85"/>
      <c r="QT15" s="85"/>
      <c r="QU15" s="85"/>
      <c r="QV15" s="85"/>
      <c r="QW15" s="85"/>
      <c r="QX15" s="85"/>
      <c r="QY15" s="85"/>
      <c r="QZ15" s="85"/>
      <c r="RA15" s="85"/>
      <c r="RB15" s="85"/>
      <c r="RC15" s="85"/>
      <c r="RD15" s="85"/>
      <c r="RE15" s="85"/>
      <c r="RF15" s="85"/>
      <c r="RG15" s="85"/>
      <c r="RH15" s="85"/>
      <c r="RI15" s="85"/>
      <c r="RJ15" s="85"/>
      <c r="RK15" s="85"/>
      <c r="RL15" s="85"/>
      <c r="RM15" s="85"/>
      <c r="RN15" s="85"/>
      <c r="RO15" s="85"/>
      <c r="RP15" s="85"/>
      <c r="RQ15" s="85"/>
      <c r="RR15" s="85"/>
      <c r="RS15" s="85"/>
      <c r="RT15" s="85"/>
      <c r="RU15" s="85"/>
      <c r="RV15" s="85"/>
      <c r="RW15" s="85"/>
      <c r="RX15" s="85"/>
      <c r="RY15" s="85"/>
      <c r="RZ15" s="85"/>
      <c r="SA15" s="85"/>
      <c r="SB15" s="85"/>
      <c r="SC15" s="85"/>
      <c r="SD15" s="85"/>
      <c r="SE15" s="85"/>
      <c r="SF15" s="85"/>
      <c r="SG15" s="85"/>
      <c r="SH15" s="85"/>
      <c r="SI15" s="85"/>
      <c r="SJ15" s="85"/>
      <c r="SK15" s="85"/>
      <c r="SL15" s="85"/>
      <c r="SM15" s="85"/>
      <c r="SN15" s="85"/>
      <c r="SO15" s="85"/>
      <c r="SP15" s="85"/>
      <c r="SQ15" s="85"/>
      <c r="SR15" s="85"/>
      <c r="SS15" s="85"/>
      <c r="ST15" s="85"/>
      <c r="SU15" s="85"/>
      <c r="SV15" s="85"/>
      <c r="SW15" s="85"/>
      <c r="SX15" s="85"/>
      <c r="SY15" s="85"/>
      <c r="SZ15" s="85"/>
      <c r="TA15" s="85"/>
      <c r="TB15" s="85"/>
      <c r="TC15" s="85"/>
      <c r="TD15" s="85"/>
      <c r="TE15" s="85"/>
      <c r="TF15" s="85"/>
      <c r="TG15" s="85"/>
      <c r="TH15" s="85"/>
      <c r="TI15" s="85"/>
      <c r="TJ15" s="85"/>
      <c r="TK15" s="85"/>
      <c r="TL15" s="85"/>
      <c r="TM15" s="85"/>
      <c r="TN15" s="85"/>
      <c r="TO15" s="85"/>
      <c r="TP15" s="85"/>
      <c r="TQ15" s="85"/>
      <c r="TR15" s="85"/>
      <c r="TS15" s="85"/>
      <c r="TT15" s="85"/>
      <c r="TU15" s="85"/>
      <c r="TV15" s="85"/>
      <c r="TW15" s="85"/>
      <c r="TX15" s="85"/>
      <c r="TY15" s="85"/>
      <c r="TZ15" s="85"/>
      <c r="UA15" s="85"/>
      <c r="UB15" s="85"/>
      <c r="UC15" s="85"/>
      <c r="UD15" s="85"/>
      <c r="UE15" s="85"/>
      <c r="UF15" s="85"/>
      <c r="UG15" s="85"/>
      <c r="UH15" s="85"/>
      <c r="UI15" s="85"/>
      <c r="UJ15" s="85"/>
      <c r="UK15" s="85"/>
      <c r="UL15" s="85"/>
      <c r="UM15" s="85"/>
      <c r="UN15" s="85"/>
      <c r="UO15" s="85"/>
      <c r="UP15" s="85"/>
      <c r="UQ15" s="85"/>
      <c r="UR15" s="85"/>
      <c r="US15" s="85"/>
      <c r="UT15" s="85"/>
      <c r="UU15" s="85"/>
      <c r="UV15" s="85"/>
      <c r="UW15" s="85"/>
      <c r="UX15" s="85"/>
      <c r="UY15" s="85"/>
      <c r="UZ15" s="85"/>
      <c r="VA15" s="85"/>
      <c r="VB15" s="85"/>
      <c r="VC15" s="85"/>
      <c r="VD15" s="85"/>
      <c r="VE15" s="85"/>
      <c r="VF15" s="85"/>
      <c r="VG15" s="85"/>
      <c r="VH15" s="85"/>
      <c r="VI15" s="85"/>
      <c r="VJ15" s="85"/>
      <c r="VK15" s="85"/>
      <c r="VL15" s="85"/>
      <c r="VM15" s="85"/>
      <c r="VN15" s="85"/>
      <c r="VO15" s="85"/>
      <c r="VP15" s="85"/>
      <c r="VQ15" s="85"/>
      <c r="VR15" s="85"/>
      <c r="VS15" s="85"/>
      <c r="VT15" s="85"/>
      <c r="VU15" s="85"/>
      <c r="VV15" s="85"/>
      <c r="VW15" s="85"/>
      <c r="VX15" s="85"/>
      <c r="VY15" s="85"/>
      <c r="VZ15" s="85"/>
      <c r="WA15" s="85"/>
      <c r="WB15" s="85"/>
      <c r="WC15" s="85"/>
      <c r="WD15" s="85"/>
      <c r="WE15" s="85"/>
      <c r="WF15" s="85"/>
      <c r="WG15" s="85"/>
      <c r="WH15" s="85"/>
      <c r="WI15" s="85"/>
      <c r="WJ15" s="85"/>
      <c r="WK15" s="85"/>
      <c r="WL15" s="85"/>
      <c r="WM15" s="85"/>
      <c r="WN15" s="85"/>
      <c r="WO15" s="85"/>
      <c r="WP15" s="85"/>
      <c r="WQ15" s="85"/>
      <c r="WR15" s="85"/>
      <c r="WS15" s="85"/>
      <c r="WT15" s="85"/>
      <c r="WU15" s="85"/>
      <c r="WV15" s="85"/>
      <c r="WW15" s="85"/>
      <c r="WX15" s="85"/>
      <c r="WY15" s="85"/>
      <c r="WZ15" s="85"/>
      <c r="XA15" s="85"/>
      <c r="XB15" s="85"/>
      <c r="XC15" s="85"/>
      <c r="XD15" s="85"/>
      <c r="XE15" s="85"/>
      <c r="XF15" s="85"/>
      <c r="XG15" s="85"/>
      <c r="XH15" s="85"/>
      <c r="XI15" s="85"/>
      <c r="XJ15" s="85"/>
      <c r="XK15" s="85"/>
      <c r="XL15" s="85"/>
      <c r="XM15" s="85"/>
      <c r="XN15" s="85"/>
      <c r="XO15" s="85"/>
      <c r="XP15" s="85"/>
      <c r="XQ15" s="85"/>
      <c r="XR15" s="85"/>
      <c r="XS15" s="85"/>
      <c r="XT15" s="85"/>
      <c r="XU15" s="85"/>
      <c r="XV15" s="85"/>
      <c r="XW15" s="85"/>
    </row>
    <row r="16" spans="1:647" s="30" customFormat="1" ht="14.25" customHeight="1">
      <c r="A16" s="88"/>
      <c r="B16" s="89"/>
      <c r="C16" s="92"/>
      <c r="D16" s="92"/>
      <c r="E16" s="94"/>
      <c r="F16" s="92"/>
      <c r="G16" s="92"/>
      <c r="H16" s="92"/>
      <c r="I16" s="273"/>
      <c r="J16" s="279"/>
      <c r="K16" s="282"/>
      <c r="L16" s="347"/>
      <c r="M16" s="159"/>
      <c r="N16" s="159"/>
      <c r="O16" s="159"/>
      <c r="P16" s="159"/>
      <c r="Q16" s="175"/>
      <c r="R16" s="91"/>
      <c r="S16" s="156"/>
      <c r="T16" s="92"/>
      <c r="U16" s="95"/>
      <c r="V16" s="92"/>
      <c r="W16" s="92"/>
      <c r="X16" s="92"/>
      <c r="Y16" s="168"/>
      <c r="Z16" s="168"/>
      <c r="AA16" s="161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5"/>
      <c r="BY16" s="85"/>
      <c r="BZ16" s="85"/>
      <c r="CA16" s="85"/>
      <c r="CB16" s="85"/>
      <c r="CC16" s="85"/>
      <c r="CD16" s="85"/>
      <c r="CE16" s="85"/>
      <c r="CF16" s="85"/>
      <c r="CG16" s="85"/>
      <c r="CH16" s="85"/>
      <c r="CI16" s="85"/>
      <c r="CJ16" s="85"/>
      <c r="CK16" s="85"/>
      <c r="CL16" s="85"/>
      <c r="CM16" s="85"/>
      <c r="CN16" s="85"/>
      <c r="CO16" s="85"/>
      <c r="CP16" s="85"/>
      <c r="CQ16" s="85"/>
      <c r="CR16" s="85"/>
      <c r="CS16" s="85"/>
      <c r="CT16" s="85"/>
      <c r="CU16" s="85"/>
      <c r="CV16" s="85"/>
      <c r="CW16" s="85"/>
      <c r="CX16" s="85"/>
      <c r="CY16" s="85"/>
      <c r="CZ16" s="85"/>
      <c r="DA16" s="85"/>
      <c r="DB16" s="85"/>
      <c r="DC16" s="85"/>
      <c r="DD16" s="85"/>
      <c r="DE16" s="85"/>
      <c r="DF16" s="85"/>
      <c r="DG16" s="85"/>
      <c r="DH16" s="85"/>
      <c r="DI16" s="85"/>
      <c r="DJ16" s="85"/>
      <c r="DK16" s="85"/>
      <c r="DL16" s="85"/>
      <c r="DM16" s="85"/>
      <c r="DN16" s="85"/>
      <c r="DO16" s="85"/>
      <c r="DP16" s="85"/>
      <c r="DQ16" s="85"/>
      <c r="DR16" s="85"/>
      <c r="DS16" s="85"/>
      <c r="DT16" s="85"/>
      <c r="DU16" s="85"/>
      <c r="DV16" s="85"/>
      <c r="DW16" s="85"/>
      <c r="DX16" s="85"/>
      <c r="DY16" s="85"/>
      <c r="DZ16" s="85"/>
      <c r="EA16" s="85"/>
      <c r="EB16" s="85"/>
      <c r="EC16" s="85"/>
      <c r="ED16" s="85"/>
      <c r="EE16" s="85"/>
      <c r="EF16" s="85"/>
      <c r="EG16" s="85"/>
      <c r="EH16" s="85"/>
      <c r="EI16" s="85"/>
      <c r="EJ16" s="85"/>
      <c r="EK16" s="85"/>
      <c r="EL16" s="85"/>
      <c r="EM16" s="85"/>
      <c r="EN16" s="85"/>
      <c r="EO16" s="85"/>
      <c r="EP16" s="85"/>
      <c r="EQ16" s="85"/>
      <c r="ER16" s="85"/>
      <c r="ES16" s="85"/>
      <c r="ET16" s="85"/>
      <c r="EU16" s="85"/>
      <c r="EV16" s="85"/>
      <c r="EW16" s="85"/>
      <c r="EX16" s="85"/>
      <c r="EY16" s="85"/>
      <c r="EZ16" s="85"/>
      <c r="FA16" s="85"/>
      <c r="FB16" s="85"/>
      <c r="FC16" s="85"/>
      <c r="FD16" s="85"/>
      <c r="FE16" s="85"/>
      <c r="FF16" s="85"/>
      <c r="FG16" s="85"/>
      <c r="FH16" s="85"/>
      <c r="FI16" s="85"/>
      <c r="FJ16" s="85"/>
      <c r="FK16" s="85"/>
      <c r="FL16" s="85"/>
      <c r="FM16" s="85"/>
      <c r="FN16" s="85"/>
      <c r="FO16" s="85"/>
      <c r="FP16" s="85"/>
      <c r="FQ16" s="85"/>
      <c r="FR16" s="85"/>
      <c r="FS16" s="85"/>
      <c r="FT16" s="85"/>
      <c r="FU16" s="85"/>
      <c r="FV16" s="85"/>
      <c r="FW16" s="85"/>
      <c r="FX16" s="85"/>
      <c r="FY16" s="85"/>
      <c r="FZ16" s="85"/>
      <c r="GA16" s="85"/>
      <c r="GB16" s="85"/>
      <c r="GC16" s="85"/>
      <c r="GD16" s="85"/>
      <c r="GE16" s="85"/>
      <c r="GF16" s="85"/>
      <c r="GG16" s="85"/>
      <c r="GH16" s="85"/>
      <c r="GI16" s="85"/>
      <c r="GJ16" s="85"/>
      <c r="GK16" s="85"/>
      <c r="GL16" s="85"/>
      <c r="GM16" s="85"/>
      <c r="GN16" s="85"/>
      <c r="GO16" s="85"/>
      <c r="GP16" s="85"/>
      <c r="GQ16" s="85"/>
      <c r="GR16" s="85"/>
      <c r="GS16" s="85"/>
      <c r="GT16" s="85"/>
      <c r="GU16" s="85"/>
      <c r="GV16" s="85"/>
      <c r="GW16" s="85"/>
      <c r="GX16" s="85"/>
      <c r="GY16" s="85"/>
      <c r="GZ16" s="85"/>
      <c r="HA16" s="85"/>
      <c r="HB16" s="85"/>
      <c r="HC16" s="85"/>
      <c r="HD16" s="85"/>
      <c r="HE16" s="85"/>
      <c r="HF16" s="85"/>
      <c r="HG16" s="85"/>
      <c r="HH16" s="85"/>
      <c r="HI16" s="85"/>
      <c r="HJ16" s="85"/>
      <c r="HK16" s="85"/>
      <c r="HL16" s="85"/>
      <c r="HM16" s="85"/>
      <c r="HN16" s="85"/>
      <c r="HO16" s="85"/>
      <c r="HP16" s="85"/>
      <c r="HQ16" s="85"/>
      <c r="HR16" s="85"/>
      <c r="HS16" s="85"/>
      <c r="HT16" s="85"/>
      <c r="HU16" s="85"/>
      <c r="HV16" s="85"/>
      <c r="HW16" s="85"/>
      <c r="HX16" s="85"/>
      <c r="HY16" s="85"/>
      <c r="HZ16" s="85"/>
      <c r="IA16" s="85"/>
      <c r="IB16" s="85"/>
      <c r="IC16" s="85"/>
      <c r="ID16" s="85"/>
      <c r="IE16" s="85"/>
      <c r="IF16" s="85"/>
      <c r="IG16" s="85"/>
      <c r="IH16" s="85"/>
      <c r="II16" s="85"/>
      <c r="IJ16" s="85"/>
      <c r="IK16" s="85"/>
      <c r="IL16" s="85"/>
      <c r="IM16" s="85"/>
      <c r="IN16" s="85"/>
      <c r="IO16" s="85"/>
      <c r="IP16" s="85"/>
      <c r="IQ16" s="85"/>
      <c r="IR16" s="85"/>
      <c r="IS16" s="85"/>
      <c r="IT16" s="85"/>
      <c r="IU16" s="85"/>
      <c r="IV16" s="85"/>
      <c r="IW16" s="85"/>
      <c r="IX16" s="85"/>
      <c r="IY16" s="85"/>
      <c r="IZ16" s="85"/>
      <c r="JA16" s="85"/>
      <c r="JB16" s="85"/>
      <c r="JC16" s="85"/>
      <c r="JD16" s="85"/>
      <c r="JE16" s="85"/>
      <c r="JF16" s="85"/>
      <c r="JG16" s="85"/>
      <c r="JH16" s="85"/>
      <c r="JI16" s="85"/>
      <c r="JJ16" s="85"/>
      <c r="JK16" s="85"/>
      <c r="JL16" s="85"/>
      <c r="JM16" s="85"/>
      <c r="JN16" s="85"/>
      <c r="JO16" s="85"/>
      <c r="JP16" s="85"/>
      <c r="JQ16" s="85"/>
      <c r="JR16" s="85"/>
      <c r="JS16" s="85"/>
      <c r="JT16" s="85"/>
      <c r="JU16" s="85"/>
      <c r="JV16" s="85"/>
      <c r="JW16" s="85"/>
      <c r="JX16" s="85"/>
      <c r="JY16" s="85"/>
      <c r="JZ16" s="85"/>
      <c r="KA16" s="85"/>
      <c r="KB16" s="85"/>
      <c r="KC16" s="85"/>
      <c r="KD16" s="85"/>
      <c r="KE16" s="85"/>
      <c r="KF16" s="85"/>
      <c r="KG16" s="85"/>
      <c r="KH16" s="85"/>
      <c r="KI16" s="85"/>
      <c r="KJ16" s="85"/>
      <c r="KK16" s="85"/>
      <c r="KL16" s="85"/>
      <c r="KM16" s="85"/>
      <c r="KN16" s="85"/>
      <c r="KO16" s="85"/>
      <c r="KP16" s="85"/>
      <c r="KQ16" s="85"/>
      <c r="KR16" s="85"/>
      <c r="KS16" s="85"/>
      <c r="KT16" s="85"/>
      <c r="KU16" s="85"/>
      <c r="KV16" s="85"/>
      <c r="KW16" s="85"/>
      <c r="KX16" s="85"/>
      <c r="KY16" s="85"/>
      <c r="KZ16" s="85"/>
      <c r="LA16" s="85"/>
      <c r="LB16" s="85"/>
      <c r="LC16" s="85"/>
      <c r="LD16" s="85"/>
      <c r="LE16" s="85"/>
      <c r="LF16" s="85"/>
      <c r="LG16" s="85"/>
      <c r="LH16" s="85"/>
      <c r="LI16" s="85"/>
      <c r="LJ16" s="85"/>
      <c r="LK16" s="85"/>
      <c r="LL16" s="85"/>
      <c r="LM16" s="85"/>
      <c r="LN16" s="85"/>
      <c r="LO16" s="85"/>
      <c r="LP16" s="85"/>
      <c r="LQ16" s="85"/>
      <c r="LR16" s="85"/>
      <c r="LS16" s="85"/>
      <c r="LT16" s="85"/>
      <c r="LU16" s="85"/>
      <c r="LV16" s="85"/>
      <c r="LW16" s="85"/>
      <c r="LX16" s="85"/>
      <c r="LY16" s="85"/>
      <c r="LZ16" s="85"/>
      <c r="MA16" s="85"/>
      <c r="MB16" s="85"/>
      <c r="MC16" s="85"/>
      <c r="MD16" s="85"/>
      <c r="ME16" s="85"/>
      <c r="MF16" s="85"/>
      <c r="MG16" s="85"/>
      <c r="MH16" s="85"/>
      <c r="MI16" s="85"/>
      <c r="MJ16" s="85"/>
      <c r="MK16" s="85"/>
      <c r="ML16" s="85"/>
      <c r="MM16" s="85"/>
      <c r="MN16" s="85"/>
      <c r="MO16" s="85"/>
      <c r="MP16" s="85"/>
      <c r="MQ16" s="85"/>
      <c r="MR16" s="85"/>
      <c r="MS16" s="85"/>
      <c r="MT16" s="85"/>
      <c r="MU16" s="85"/>
      <c r="MV16" s="85"/>
      <c r="MW16" s="85"/>
      <c r="MX16" s="85"/>
      <c r="MY16" s="85"/>
      <c r="MZ16" s="85"/>
      <c r="NA16" s="85"/>
      <c r="NB16" s="85"/>
      <c r="NC16" s="85"/>
      <c r="ND16" s="85"/>
      <c r="NE16" s="85"/>
      <c r="NF16" s="85"/>
      <c r="NG16" s="85"/>
      <c r="NH16" s="85"/>
      <c r="NI16" s="85"/>
      <c r="NJ16" s="85"/>
      <c r="NK16" s="85"/>
      <c r="NL16" s="85"/>
      <c r="NM16" s="85"/>
      <c r="NN16" s="85"/>
      <c r="NO16" s="85"/>
      <c r="NP16" s="85"/>
      <c r="NQ16" s="85"/>
      <c r="NR16" s="85"/>
      <c r="NS16" s="85"/>
      <c r="NT16" s="85"/>
      <c r="NU16" s="85"/>
      <c r="NV16" s="85"/>
      <c r="NW16" s="85"/>
      <c r="NX16" s="85"/>
      <c r="NY16" s="85"/>
      <c r="NZ16" s="85"/>
      <c r="OA16" s="85"/>
      <c r="OB16" s="85"/>
      <c r="OC16" s="85"/>
      <c r="OD16" s="85"/>
      <c r="OE16" s="85"/>
      <c r="OF16" s="85"/>
      <c r="OG16" s="85"/>
      <c r="OH16" s="85"/>
      <c r="OI16" s="85"/>
      <c r="OJ16" s="85"/>
      <c r="OK16" s="85"/>
      <c r="OL16" s="85"/>
      <c r="OM16" s="85"/>
      <c r="ON16" s="85"/>
      <c r="OO16" s="85"/>
      <c r="OP16" s="85"/>
      <c r="OQ16" s="85"/>
      <c r="OR16" s="85"/>
      <c r="OS16" s="85"/>
      <c r="OT16" s="85"/>
      <c r="OU16" s="85"/>
      <c r="OV16" s="85"/>
      <c r="OW16" s="85"/>
      <c r="OX16" s="85"/>
      <c r="OY16" s="85"/>
      <c r="OZ16" s="85"/>
      <c r="PA16" s="85"/>
      <c r="PB16" s="85"/>
      <c r="PC16" s="85"/>
      <c r="PD16" s="85"/>
      <c r="PE16" s="85"/>
      <c r="PF16" s="85"/>
      <c r="PG16" s="85"/>
      <c r="PH16" s="85"/>
      <c r="PI16" s="85"/>
      <c r="PJ16" s="85"/>
      <c r="PK16" s="85"/>
      <c r="PL16" s="85"/>
      <c r="PM16" s="85"/>
      <c r="PN16" s="85"/>
      <c r="PO16" s="85"/>
      <c r="PP16" s="85"/>
      <c r="PQ16" s="85"/>
      <c r="PR16" s="85"/>
      <c r="PS16" s="85"/>
      <c r="PT16" s="85"/>
      <c r="PU16" s="85"/>
      <c r="PV16" s="85"/>
      <c r="PW16" s="85"/>
      <c r="PX16" s="85"/>
      <c r="PY16" s="85"/>
      <c r="PZ16" s="85"/>
      <c r="QA16" s="85"/>
      <c r="QB16" s="85"/>
      <c r="QC16" s="85"/>
      <c r="QD16" s="85"/>
      <c r="QE16" s="85"/>
      <c r="QF16" s="85"/>
      <c r="QG16" s="85"/>
      <c r="QH16" s="85"/>
      <c r="QI16" s="85"/>
      <c r="QJ16" s="85"/>
      <c r="QK16" s="85"/>
      <c r="QL16" s="85"/>
      <c r="QM16" s="85"/>
      <c r="QN16" s="85"/>
      <c r="QO16" s="85"/>
      <c r="QP16" s="85"/>
      <c r="QQ16" s="85"/>
      <c r="QR16" s="85"/>
      <c r="QS16" s="85"/>
      <c r="QT16" s="85"/>
      <c r="QU16" s="85"/>
      <c r="QV16" s="85"/>
      <c r="QW16" s="85"/>
      <c r="QX16" s="85"/>
      <c r="QY16" s="85"/>
      <c r="QZ16" s="85"/>
      <c r="RA16" s="85"/>
      <c r="RB16" s="85"/>
      <c r="RC16" s="85"/>
      <c r="RD16" s="85"/>
      <c r="RE16" s="85"/>
      <c r="RF16" s="85"/>
      <c r="RG16" s="85"/>
      <c r="RH16" s="85"/>
      <c r="RI16" s="85"/>
      <c r="RJ16" s="85"/>
      <c r="RK16" s="85"/>
      <c r="RL16" s="85"/>
      <c r="RM16" s="85"/>
      <c r="RN16" s="85"/>
      <c r="RO16" s="85"/>
      <c r="RP16" s="85"/>
      <c r="RQ16" s="85"/>
      <c r="RR16" s="85"/>
      <c r="RS16" s="85"/>
      <c r="RT16" s="85"/>
      <c r="RU16" s="85"/>
      <c r="RV16" s="85"/>
      <c r="RW16" s="85"/>
      <c r="RX16" s="85"/>
      <c r="RY16" s="85"/>
      <c r="RZ16" s="85"/>
      <c r="SA16" s="85"/>
      <c r="SB16" s="85"/>
      <c r="SC16" s="85"/>
      <c r="SD16" s="85"/>
      <c r="SE16" s="85"/>
      <c r="SF16" s="85"/>
      <c r="SG16" s="85"/>
      <c r="SH16" s="85"/>
      <c r="SI16" s="85"/>
      <c r="SJ16" s="85"/>
      <c r="SK16" s="85"/>
      <c r="SL16" s="85"/>
      <c r="SM16" s="85"/>
      <c r="SN16" s="85"/>
      <c r="SO16" s="85"/>
      <c r="SP16" s="85"/>
      <c r="SQ16" s="85"/>
      <c r="SR16" s="85"/>
      <c r="SS16" s="85"/>
      <c r="ST16" s="85"/>
      <c r="SU16" s="85"/>
      <c r="SV16" s="85"/>
      <c r="SW16" s="85"/>
      <c r="SX16" s="85"/>
      <c r="SY16" s="85"/>
      <c r="SZ16" s="85"/>
      <c r="TA16" s="85"/>
      <c r="TB16" s="85"/>
      <c r="TC16" s="85"/>
      <c r="TD16" s="85"/>
      <c r="TE16" s="85"/>
      <c r="TF16" s="85"/>
      <c r="TG16" s="85"/>
      <c r="TH16" s="85"/>
      <c r="TI16" s="85"/>
      <c r="TJ16" s="85"/>
      <c r="TK16" s="85"/>
      <c r="TL16" s="85"/>
      <c r="TM16" s="85"/>
      <c r="TN16" s="85"/>
      <c r="TO16" s="85"/>
      <c r="TP16" s="85"/>
      <c r="TQ16" s="85"/>
      <c r="TR16" s="85"/>
      <c r="TS16" s="85"/>
      <c r="TT16" s="85"/>
      <c r="TU16" s="85"/>
      <c r="TV16" s="85"/>
      <c r="TW16" s="85"/>
      <c r="TX16" s="85"/>
      <c r="TY16" s="85"/>
      <c r="TZ16" s="85"/>
      <c r="UA16" s="85"/>
      <c r="UB16" s="85"/>
      <c r="UC16" s="85"/>
      <c r="UD16" s="85"/>
      <c r="UE16" s="85"/>
      <c r="UF16" s="85"/>
      <c r="UG16" s="85"/>
      <c r="UH16" s="85"/>
      <c r="UI16" s="85"/>
      <c r="UJ16" s="85"/>
      <c r="UK16" s="85"/>
      <c r="UL16" s="85"/>
      <c r="UM16" s="85"/>
      <c r="UN16" s="85"/>
      <c r="UO16" s="85"/>
      <c r="UP16" s="85"/>
      <c r="UQ16" s="85"/>
      <c r="UR16" s="85"/>
      <c r="US16" s="85"/>
      <c r="UT16" s="85"/>
      <c r="UU16" s="85"/>
      <c r="UV16" s="85"/>
      <c r="UW16" s="85"/>
      <c r="UX16" s="85"/>
      <c r="UY16" s="85"/>
      <c r="UZ16" s="85"/>
      <c r="VA16" s="85"/>
      <c r="VB16" s="85"/>
      <c r="VC16" s="85"/>
      <c r="VD16" s="85"/>
      <c r="VE16" s="85"/>
      <c r="VF16" s="85"/>
      <c r="VG16" s="85"/>
      <c r="VH16" s="85"/>
      <c r="VI16" s="85"/>
      <c r="VJ16" s="85"/>
      <c r="VK16" s="85"/>
      <c r="VL16" s="85"/>
      <c r="VM16" s="85"/>
      <c r="VN16" s="85"/>
      <c r="VO16" s="85"/>
      <c r="VP16" s="85"/>
      <c r="VQ16" s="85"/>
      <c r="VR16" s="85"/>
      <c r="VS16" s="85"/>
      <c r="VT16" s="85"/>
      <c r="VU16" s="85"/>
      <c r="VV16" s="85"/>
      <c r="VW16" s="85"/>
      <c r="VX16" s="85"/>
      <c r="VY16" s="85"/>
      <c r="VZ16" s="85"/>
      <c r="WA16" s="85"/>
      <c r="WB16" s="85"/>
      <c r="WC16" s="85"/>
      <c r="WD16" s="85"/>
      <c r="WE16" s="85"/>
      <c r="WF16" s="85"/>
      <c r="WG16" s="85"/>
      <c r="WH16" s="85"/>
      <c r="WI16" s="85"/>
      <c r="WJ16" s="85"/>
      <c r="WK16" s="85"/>
      <c r="WL16" s="85"/>
      <c r="WM16" s="85"/>
      <c r="WN16" s="85"/>
      <c r="WO16" s="85"/>
      <c r="WP16" s="85"/>
      <c r="WQ16" s="85"/>
      <c r="WR16" s="85"/>
      <c r="WS16" s="85"/>
      <c r="WT16" s="85"/>
      <c r="WU16" s="85"/>
      <c r="WV16" s="85"/>
      <c r="WW16" s="85"/>
      <c r="WX16" s="85"/>
      <c r="WY16" s="85"/>
      <c r="WZ16" s="85"/>
      <c r="XA16" s="85"/>
      <c r="XB16" s="85"/>
      <c r="XC16" s="85"/>
      <c r="XD16" s="85"/>
      <c r="XE16" s="85"/>
      <c r="XF16" s="85"/>
      <c r="XG16" s="85"/>
      <c r="XH16" s="85"/>
      <c r="XI16" s="85"/>
      <c r="XJ16" s="85"/>
      <c r="XK16" s="85"/>
      <c r="XL16" s="85"/>
      <c r="XM16" s="85"/>
      <c r="XN16" s="85"/>
      <c r="XO16" s="85"/>
      <c r="XP16" s="85"/>
      <c r="XQ16" s="85"/>
      <c r="XR16" s="85"/>
      <c r="XS16" s="85"/>
      <c r="XT16" s="85"/>
      <c r="XU16" s="85"/>
      <c r="XV16" s="85"/>
      <c r="XW16" s="85"/>
    </row>
    <row r="17" spans="1:647" s="30" customFormat="1" ht="14.25" customHeight="1">
      <c r="A17" s="88"/>
      <c r="B17" s="89"/>
      <c r="C17" s="92"/>
      <c r="D17" s="92"/>
      <c r="E17" s="94"/>
      <c r="F17" s="92"/>
      <c r="G17" s="92"/>
      <c r="H17" s="92"/>
      <c r="I17" s="274"/>
      <c r="J17" s="279"/>
      <c r="K17" s="283"/>
      <c r="L17" s="346"/>
      <c r="M17" s="159"/>
      <c r="N17" s="159"/>
      <c r="O17" s="159"/>
      <c r="P17" s="159"/>
      <c r="Q17" s="175"/>
      <c r="R17" s="91"/>
      <c r="S17" s="156"/>
      <c r="T17" s="92"/>
      <c r="U17" s="95"/>
      <c r="V17" s="92"/>
      <c r="W17" s="92"/>
      <c r="X17" s="92"/>
      <c r="Y17" s="168"/>
      <c r="Z17" s="168"/>
      <c r="AA17" s="161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5"/>
      <c r="BY17" s="85"/>
      <c r="BZ17" s="85"/>
      <c r="CA17" s="85"/>
      <c r="CB17" s="85"/>
      <c r="CC17" s="85"/>
      <c r="CD17" s="85"/>
      <c r="CE17" s="85"/>
      <c r="CF17" s="85"/>
      <c r="CG17" s="85"/>
      <c r="CH17" s="85"/>
      <c r="CI17" s="85"/>
      <c r="CJ17" s="85"/>
      <c r="CK17" s="85"/>
      <c r="CL17" s="85"/>
      <c r="CM17" s="85"/>
      <c r="CN17" s="85"/>
      <c r="CO17" s="85"/>
      <c r="CP17" s="85"/>
      <c r="CQ17" s="85"/>
      <c r="CR17" s="85"/>
      <c r="CS17" s="85"/>
      <c r="CT17" s="85"/>
      <c r="CU17" s="85"/>
      <c r="CV17" s="85"/>
      <c r="CW17" s="85"/>
      <c r="CX17" s="85"/>
      <c r="CY17" s="85"/>
      <c r="CZ17" s="85"/>
      <c r="DA17" s="85"/>
      <c r="DB17" s="85"/>
      <c r="DC17" s="85"/>
      <c r="DD17" s="85"/>
      <c r="DE17" s="85"/>
      <c r="DF17" s="85"/>
      <c r="DG17" s="85"/>
      <c r="DH17" s="85"/>
      <c r="DI17" s="85"/>
      <c r="DJ17" s="85"/>
      <c r="DK17" s="85"/>
      <c r="DL17" s="85"/>
      <c r="DM17" s="85"/>
      <c r="DN17" s="85"/>
      <c r="DO17" s="85"/>
      <c r="DP17" s="85"/>
      <c r="DQ17" s="85"/>
      <c r="DR17" s="85"/>
      <c r="DS17" s="85"/>
      <c r="DT17" s="85"/>
      <c r="DU17" s="85"/>
      <c r="DV17" s="85"/>
      <c r="DW17" s="85"/>
      <c r="DX17" s="85"/>
      <c r="DY17" s="85"/>
      <c r="DZ17" s="85"/>
      <c r="EA17" s="85"/>
      <c r="EB17" s="85"/>
      <c r="EC17" s="85"/>
      <c r="ED17" s="85"/>
      <c r="EE17" s="85"/>
      <c r="EF17" s="85"/>
      <c r="EG17" s="85"/>
      <c r="EH17" s="85"/>
      <c r="EI17" s="85"/>
      <c r="EJ17" s="85"/>
      <c r="EK17" s="85"/>
      <c r="EL17" s="85"/>
      <c r="EM17" s="85"/>
      <c r="EN17" s="85"/>
      <c r="EO17" s="85"/>
      <c r="EP17" s="85"/>
      <c r="EQ17" s="85"/>
      <c r="ER17" s="85"/>
      <c r="ES17" s="85"/>
      <c r="ET17" s="85"/>
      <c r="EU17" s="85"/>
      <c r="EV17" s="85"/>
      <c r="EW17" s="85"/>
      <c r="EX17" s="85"/>
      <c r="EY17" s="85"/>
      <c r="EZ17" s="85"/>
      <c r="FA17" s="85"/>
      <c r="FB17" s="85"/>
      <c r="FC17" s="85"/>
      <c r="FD17" s="85"/>
      <c r="FE17" s="85"/>
      <c r="FF17" s="85"/>
      <c r="FG17" s="85"/>
      <c r="FH17" s="85"/>
      <c r="FI17" s="85"/>
      <c r="FJ17" s="85"/>
      <c r="FK17" s="85"/>
      <c r="FL17" s="85"/>
      <c r="FM17" s="85"/>
      <c r="FN17" s="85"/>
      <c r="FO17" s="85"/>
      <c r="FP17" s="85"/>
      <c r="FQ17" s="85"/>
      <c r="FR17" s="85"/>
      <c r="FS17" s="85"/>
      <c r="FT17" s="85"/>
      <c r="FU17" s="85"/>
      <c r="FV17" s="85"/>
      <c r="FW17" s="85"/>
      <c r="FX17" s="85"/>
      <c r="FY17" s="85"/>
      <c r="FZ17" s="85"/>
      <c r="GA17" s="85"/>
      <c r="GB17" s="85"/>
      <c r="GC17" s="85"/>
      <c r="GD17" s="85"/>
      <c r="GE17" s="85"/>
      <c r="GF17" s="85"/>
      <c r="GG17" s="85"/>
      <c r="GH17" s="85"/>
      <c r="GI17" s="85"/>
      <c r="GJ17" s="85"/>
      <c r="GK17" s="85"/>
      <c r="GL17" s="85"/>
      <c r="GM17" s="85"/>
      <c r="GN17" s="85"/>
      <c r="GO17" s="85"/>
      <c r="GP17" s="85"/>
      <c r="GQ17" s="85"/>
      <c r="GR17" s="85"/>
      <c r="GS17" s="85"/>
      <c r="GT17" s="85"/>
      <c r="GU17" s="85"/>
      <c r="GV17" s="85"/>
      <c r="GW17" s="85"/>
      <c r="GX17" s="85"/>
      <c r="GY17" s="85"/>
      <c r="GZ17" s="85"/>
      <c r="HA17" s="85"/>
      <c r="HB17" s="85"/>
      <c r="HC17" s="85"/>
      <c r="HD17" s="85"/>
      <c r="HE17" s="85"/>
      <c r="HF17" s="85"/>
      <c r="HG17" s="85"/>
      <c r="HH17" s="85"/>
      <c r="HI17" s="85"/>
      <c r="HJ17" s="85"/>
      <c r="HK17" s="85"/>
      <c r="HL17" s="85"/>
      <c r="HM17" s="85"/>
      <c r="HN17" s="85"/>
      <c r="HO17" s="85"/>
      <c r="HP17" s="85"/>
      <c r="HQ17" s="85"/>
      <c r="HR17" s="85"/>
      <c r="HS17" s="85"/>
      <c r="HT17" s="85"/>
      <c r="HU17" s="85"/>
      <c r="HV17" s="85"/>
      <c r="HW17" s="85"/>
      <c r="HX17" s="85"/>
      <c r="HY17" s="85"/>
      <c r="HZ17" s="85"/>
      <c r="IA17" s="85"/>
      <c r="IB17" s="85"/>
      <c r="IC17" s="85"/>
      <c r="ID17" s="85"/>
      <c r="IE17" s="85"/>
      <c r="IF17" s="85"/>
      <c r="IG17" s="85"/>
      <c r="IH17" s="85"/>
      <c r="II17" s="85"/>
      <c r="IJ17" s="85"/>
      <c r="IK17" s="85"/>
      <c r="IL17" s="85"/>
      <c r="IM17" s="85"/>
      <c r="IN17" s="85"/>
      <c r="IO17" s="85"/>
      <c r="IP17" s="85"/>
      <c r="IQ17" s="85"/>
      <c r="IR17" s="85"/>
      <c r="IS17" s="85"/>
      <c r="IT17" s="85"/>
      <c r="IU17" s="85"/>
      <c r="IV17" s="85"/>
      <c r="IW17" s="85"/>
      <c r="IX17" s="85"/>
      <c r="IY17" s="85"/>
      <c r="IZ17" s="85"/>
      <c r="JA17" s="85"/>
      <c r="JB17" s="85"/>
      <c r="JC17" s="85"/>
      <c r="JD17" s="85"/>
      <c r="JE17" s="85"/>
      <c r="JF17" s="85"/>
      <c r="JG17" s="85"/>
      <c r="JH17" s="85"/>
      <c r="JI17" s="85"/>
      <c r="JJ17" s="85"/>
      <c r="JK17" s="85"/>
      <c r="JL17" s="85"/>
      <c r="JM17" s="85"/>
      <c r="JN17" s="85"/>
      <c r="JO17" s="85"/>
      <c r="JP17" s="85"/>
      <c r="JQ17" s="85"/>
      <c r="JR17" s="85"/>
      <c r="JS17" s="85"/>
      <c r="JT17" s="85"/>
      <c r="JU17" s="85"/>
      <c r="JV17" s="85"/>
      <c r="JW17" s="85"/>
      <c r="JX17" s="85"/>
      <c r="JY17" s="85"/>
      <c r="JZ17" s="85"/>
      <c r="KA17" s="85"/>
      <c r="KB17" s="85"/>
      <c r="KC17" s="85"/>
      <c r="KD17" s="85"/>
      <c r="KE17" s="85"/>
      <c r="KF17" s="85"/>
      <c r="KG17" s="85"/>
      <c r="KH17" s="85"/>
      <c r="KI17" s="85"/>
      <c r="KJ17" s="85"/>
      <c r="KK17" s="85"/>
      <c r="KL17" s="85"/>
      <c r="KM17" s="85"/>
      <c r="KN17" s="85"/>
      <c r="KO17" s="85"/>
      <c r="KP17" s="85"/>
      <c r="KQ17" s="85"/>
      <c r="KR17" s="85"/>
      <c r="KS17" s="85"/>
      <c r="KT17" s="85"/>
      <c r="KU17" s="85"/>
      <c r="KV17" s="85"/>
      <c r="KW17" s="85"/>
      <c r="KX17" s="85"/>
      <c r="KY17" s="85"/>
      <c r="KZ17" s="85"/>
      <c r="LA17" s="85"/>
      <c r="LB17" s="85"/>
      <c r="LC17" s="85"/>
      <c r="LD17" s="85"/>
      <c r="LE17" s="85"/>
      <c r="LF17" s="85"/>
      <c r="LG17" s="85"/>
      <c r="LH17" s="85"/>
      <c r="LI17" s="85"/>
      <c r="LJ17" s="85"/>
      <c r="LK17" s="85"/>
      <c r="LL17" s="85"/>
      <c r="LM17" s="85"/>
      <c r="LN17" s="85"/>
      <c r="LO17" s="85"/>
      <c r="LP17" s="85"/>
      <c r="LQ17" s="85"/>
      <c r="LR17" s="85"/>
      <c r="LS17" s="85"/>
      <c r="LT17" s="85"/>
      <c r="LU17" s="85"/>
      <c r="LV17" s="85"/>
      <c r="LW17" s="85"/>
      <c r="LX17" s="85"/>
      <c r="LY17" s="85"/>
      <c r="LZ17" s="85"/>
      <c r="MA17" s="85"/>
      <c r="MB17" s="85"/>
      <c r="MC17" s="85"/>
      <c r="MD17" s="85"/>
      <c r="ME17" s="85"/>
      <c r="MF17" s="85"/>
      <c r="MG17" s="85"/>
      <c r="MH17" s="85"/>
      <c r="MI17" s="85"/>
      <c r="MJ17" s="85"/>
      <c r="MK17" s="85"/>
      <c r="ML17" s="85"/>
      <c r="MM17" s="85"/>
      <c r="MN17" s="85"/>
      <c r="MO17" s="85"/>
      <c r="MP17" s="85"/>
      <c r="MQ17" s="85"/>
      <c r="MR17" s="85"/>
      <c r="MS17" s="85"/>
      <c r="MT17" s="85"/>
      <c r="MU17" s="85"/>
      <c r="MV17" s="85"/>
      <c r="MW17" s="85"/>
      <c r="MX17" s="85"/>
      <c r="MY17" s="85"/>
      <c r="MZ17" s="85"/>
      <c r="NA17" s="85"/>
      <c r="NB17" s="85"/>
      <c r="NC17" s="85"/>
      <c r="ND17" s="85"/>
      <c r="NE17" s="85"/>
      <c r="NF17" s="85"/>
      <c r="NG17" s="85"/>
      <c r="NH17" s="85"/>
      <c r="NI17" s="85"/>
      <c r="NJ17" s="85"/>
      <c r="NK17" s="85"/>
      <c r="NL17" s="85"/>
      <c r="NM17" s="85"/>
      <c r="NN17" s="85"/>
      <c r="NO17" s="85"/>
      <c r="NP17" s="85"/>
      <c r="NQ17" s="85"/>
      <c r="NR17" s="85"/>
      <c r="NS17" s="85"/>
      <c r="NT17" s="85"/>
      <c r="NU17" s="85"/>
      <c r="NV17" s="85"/>
      <c r="NW17" s="85"/>
      <c r="NX17" s="85"/>
      <c r="NY17" s="85"/>
      <c r="NZ17" s="85"/>
      <c r="OA17" s="85"/>
      <c r="OB17" s="85"/>
      <c r="OC17" s="85"/>
      <c r="OD17" s="85"/>
      <c r="OE17" s="85"/>
      <c r="OF17" s="85"/>
      <c r="OG17" s="85"/>
      <c r="OH17" s="85"/>
      <c r="OI17" s="85"/>
      <c r="OJ17" s="85"/>
      <c r="OK17" s="85"/>
      <c r="OL17" s="85"/>
      <c r="OM17" s="85"/>
      <c r="ON17" s="85"/>
      <c r="OO17" s="85"/>
      <c r="OP17" s="85"/>
      <c r="OQ17" s="85"/>
      <c r="OR17" s="85"/>
      <c r="OS17" s="85"/>
      <c r="OT17" s="85"/>
      <c r="OU17" s="85"/>
      <c r="OV17" s="85"/>
      <c r="OW17" s="85"/>
      <c r="OX17" s="85"/>
      <c r="OY17" s="85"/>
      <c r="OZ17" s="85"/>
      <c r="PA17" s="85"/>
      <c r="PB17" s="85"/>
      <c r="PC17" s="85"/>
      <c r="PD17" s="85"/>
      <c r="PE17" s="85"/>
      <c r="PF17" s="85"/>
      <c r="PG17" s="85"/>
      <c r="PH17" s="85"/>
      <c r="PI17" s="85"/>
      <c r="PJ17" s="85"/>
      <c r="PK17" s="85"/>
      <c r="PL17" s="85"/>
      <c r="PM17" s="85"/>
      <c r="PN17" s="85"/>
      <c r="PO17" s="85"/>
      <c r="PP17" s="85"/>
      <c r="PQ17" s="85"/>
      <c r="PR17" s="85"/>
      <c r="PS17" s="85"/>
      <c r="PT17" s="85"/>
      <c r="PU17" s="85"/>
      <c r="PV17" s="85"/>
      <c r="PW17" s="85"/>
      <c r="PX17" s="85"/>
      <c r="PY17" s="85"/>
      <c r="PZ17" s="85"/>
      <c r="QA17" s="85"/>
      <c r="QB17" s="85"/>
      <c r="QC17" s="85"/>
      <c r="QD17" s="85"/>
      <c r="QE17" s="85"/>
      <c r="QF17" s="85"/>
      <c r="QG17" s="85"/>
      <c r="QH17" s="85"/>
      <c r="QI17" s="85"/>
      <c r="QJ17" s="85"/>
      <c r="QK17" s="85"/>
      <c r="QL17" s="85"/>
      <c r="QM17" s="85"/>
      <c r="QN17" s="85"/>
      <c r="QO17" s="85"/>
      <c r="QP17" s="85"/>
      <c r="QQ17" s="85"/>
      <c r="QR17" s="85"/>
      <c r="QS17" s="85"/>
      <c r="QT17" s="85"/>
      <c r="QU17" s="85"/>
      <c r="QV17" s="85"/>
      <c r="QW17" s="85"/>
      <c r="QX17" s="85"/>
      <c r="QY17" s="85"/>
      <c r="QZ17" s="85"/>
      <c r="RA17" s="85"/>
      <c r="RB17" s="85"/>
      <c r="RC17" s="85"/>
      <c r="RD17" s="85"/>
      <c r="RE17" s="85"/>
      <c r="RF17" s="85"/>
      <c r="RG17" s="85"/>
      <c r="RH17" s="85"/>
      <c r="RI17" s="85"/>
      <c r="RJ17" s="85"/>
      <c r="RK17" s="85"/>
      <c r="RL17" s="85"/>
      <c r="RM17" s="85"/>
      <c r="RN17" s="85"/>
      <c r="RO17" s="85"/>
      <c r="RP17" s="85"/>
      <c r="RQ17" s="85"/>
      <c r="RR17" s="85"/>
      <c r="RS17" s="85"/>
      <c r="RT17" s="85"/>
      <c r="RU17" s="85"/>
      <c r="RV17" s="85"/>
      <c r="RW17" s="85"/>
      <c r="RX17" s="85"/>
      <c r="RY17" s="85"/>
      <c r="RZ17" s="85"/>
      <c r="SA17" s="85"/>
      <c r="SB17" s="85"/>
      <c r="SC17" s="85"/>
      <c r="SD17" s="85"/>
      <c r="SE17" s="85"/>
      <c r="SF17" s="85"/>
      <c r="SG17" s="85"/>
      <c r="SH17" s="85"/>
      <c r="SI17" s="85"/>
      <c r="SJ17" s="85"/>
      <c r="SK17" s="85"/>
      <c r="SL17" s="85"/>
      <c r="SM17" s="85"/>
      <c r="SN17" s="85"/>
      <c r="SO17" s="85"/>
      <c r="SP17" s="85"/>
      <c r="SQ17" s="85"/>
      <c r="SR17" s="85"/>
      <c r="SS17" s="85"/>
      <c r="ST17" s="85"/>
      <c r="SU17" s="85"/>
      <c r="SV17" s="85"/>
      <c r="SW17" s="85"/>
      <c r="SX17" s="85"/>
      <c r="SY17" s="85"/>
      <c r="SZ17" s="85"/>
      <c r="TA17" s="85"/>
      <c r="TB17" s="85"/>
      <c r="TC17" s="85"/>
      <c r="TD17" s="85"/>
      <c r="TE17" s="85"/>
      <c r="TF17" s="85"/>
      <c r="TG17" s="85"/>
      <c r="TH17" s="85"/>
      <c r="TI17" s="85"/>
      <c r="TJ17" s="85"/>
      <c r="TK17" s="85"/>
      <c r="TL17" s="85"/>
      <c r="TM17" s="85"/>
      <c r="TN17" s="85"/>
      <c r="TO17" s="85"/>
      <c r="TP17" s="85"/>
      <c r="TQ17" s="85"/>
      <c r="TR17" s="85"/>
      <c r="TS17" s="85"/>
      <c r="TT17" s="85"/>
      <c r="TU17" s="85"/>
      <c r="TV17" s="85"/>
      <c r="TW17" s="85"/>
      <c r="TX17" s="85"/>
      <c r="TY17" s="85"/>
      <c r="TZ17" s="85"/>
      <c r="UA17" s="85"/>
      <c r="UB17" s="85"/>
      <c r="UC17" s="85"/>
      <c r="UD17" s="85"/>
      <c r="UE17" s="85"/>
      <c r="UF17" s="85"/>
      <c r="UG17" s="85"/>
      <c r="UH17" s="85"/>
      <c r="UI17" s="85"/>
      <c r="UJ17" s="85"/>
      <c r="UK17" s="85"/>
      <c r="UL17" s="85"/>
      <c r="UM17" s="85"/>
      <c r="UN17" s="85"/>
      <c r="UO17" s="85"/>
      <c r="UP17" s="85"/>
      <c r="UQ17" s="85"/>
      <c r="UR17" s="85"/>
      <c r="US17" s="85"/>
      <c r="UT17" s="85"/>
      <c r="UU17" s="85"/>
      <c r="UV17" s="85"/>
      <c r="UW17" s="85"/>
      <c r="UX17" s="85"/>
      <c r="UY17" s="85"/>
      <c r="UZ17" s="85"/>
      <c r="VA17" s="85"/>
      <c r="VB17" s="85"/>
      <c r="VC17" s="85"/>
      <c r="VD17" s="85"/>
      <c r="VE17" s="85"/>
      <c r="VF17" s="85"/>
      <c r="VG17" s="85"/>
      <c r="VH17" s="85"/>
      <c r="VI17" s="85"/>
      <c r="VJ17" s="85"/>
      <c r="VK17" s="85"/>
      <c r="VL17" s="85"/>
      <c r="VM17" s="85"/>
      <c r="VN17" s="85"/>
      <c r="VO17" s="85"/>
      <c r="VP17" s="85"/>
      <c r="VQ17" s="85"/>
      <c r="VR17" s="85"/>
      <c r="VS17" s="85"/>
      <c r="VT17" s="85"/>
      <c r="VU17" s="85"/>
      <c r="VV17" s="85"/>
      <c r="VW17" s="85"/>
      <c r="VX17" s="85"/>
      <c r="VY17" s="85"/>
      <c r="VZ17" s="85"/>
      <c r="WA17" s="85"/>
      <c r="WB17" s="85"/>
      <c r="WC17" s="85"/>
      <c r="WD17" s="85"/>
      <c r="WE17" s="85"/>
      <c r="WF17" s="85"/>
      <c r="WG17" s="85"/>
      <c r="WH17" s="85"/>
      <c r="WI17" s="85"/>
      <c r="WJ17" s="85"/>
      <c r="WK17" s="85"/>
      <c r="WL17" s="85"/>
      <c r="WM17" s="85"/>
      <c r="WN17" s="85"/>
      <c r="WO17" s="85"/>
      <c r="WP17" s="85"/>
      <c r="WQ17" s="85"/>
      <c r="WR17" s="85"/>
      <c r="WS17" s="85"/>
      <c r="WT17" s="85"/>
      <c r="WU17" s="85"/>
      <c r="WV17" s="85"/>
      <c r="WW17" s="85"/>
      <c r="WX17" s="85"/>
      <c r="WY17" s="85"/>
      <c r="WZ17" s="85"/>
      <c r="XA17" s="85"/>
      <c r="XB17" s="85"/>
      <c r="XC17" s="85"/>
      <c r="XD17" s="85"/>
      <c r="XE17" s="85"/>
      <c r="XF17" s="85"/>
      <c r="XG17" s="85"/>
      <c r="XH17" s="85"/>
      <c r="XI17" s="85"/>
      <c r="XJ17" s="85"/>
      <c r="XK17" s="85"/>
      <c r="XL17" s="85"/>
      <c r="XM17" s="85"/>
      <c r="XN17" s="85"/>
      <c r="XO17" s="85"/>
      <c r="XP17" s="85"/>
      <c r="XQ17" s="85"/>
      <c r="XR17" s="85"/>
      <c r="XS17" s="85"/>
      <c r="XT17" s="85"/>
      <c r="XU17" s="85"/>
      <c r="XV17" s="85"/>
      <c r="XW17" s="85"/>
    </row>
    <row r="18" spans="1:647" s="30" customFormat="1" ht="14.25" customHeight="1">
      <c r="A18" s="88"/>
      <c r="B18" s="89"/>
      <c r="C18" s="92"/>
      <c r="D18" s="92"/>
      <c r="E18" s="94"/>
      <c r="F18" s="92"/>
      <c r="G18" s="92"/>
      <c r="H18" s="92"/>
      <c r="I18" s="274"/>
      <c r="J18" s="279"/>
      <c r="K18" s="283"/>
      <c r="L18" s="346"/>
      <c r="M18" s="159"/>
      <c r="N18" s="159"/>
      <c r="O18" s="159"/>
      <c r="P18" s="159"/>
      <c r="Q18" s="175"/>
      <c r="R18" s="91"/>
      <c r="S18" s="156"/>
      <c r="T18" s="92"/>
      <c r="U18" s="95"/>
      <c r="V18" s="92"/>
      <c r="W18" s="92"/>
      <c r="X18" s="92"/>
      <c r="Y18" s="168"/>
      <c r="Z18" s="168"/>
      <c r="AA18" s="161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85"/>
      <c r="BU18" s="85"/>
      <c r="BV18" s="85"/>
      <c r="BW18" s="85"/>
      <c r="BX18" s="85"/>
      <c r="BY18" s="85"/>
      <c r="BZ18" s="85"/>
      <c r="CA18" s="85"/>
      <c r="CB18" s="85"/>
      <c r="CC18" s="85"/>
      <c r="CD18" s="85"/>
      <c r="CE18" s="85"/>
      <c r="CF18" s="85"/>
      <c r="CG18" s="85"/>
      <c r="CH18" s="85"/>
      <c r="CI18" s="85"/>
      <c r="CJ18" s="85"/>
      <c r="CK18" s="85"/>
      <c r="CL18" s="85"/>
      <c r="CM18" s="85"/>
      <c r="CN18" s="85"/>
      <c r="CO18" s="85"/>
      <c r="CP18" s="85"/>
      <c r="CQ18" s="85"/>
      <c r="CR18" s="85"/>
      <c r="CS18" s="85"/>
      <c r="CT18" s="85"/>
      <c r="CU18" s="85"/>
      <c r="CV18" s="85"/>
      <c r="CW18" s="85"/>
      <c r="CX18" s="85"/>
      <c r="CY18" s="85"/>
      <c r="CZ18" s="85"/>
      <c r="DA18" s="85"/>
      <c r="DB18" s="85"/>
      <c r="DC18" s="85"/>
      <c r="DD18" s="85"/>
      <c r="DE18" s="85"/>
      <c r="DF18" s="85"/>
      <c r="DG18" s="85"/>
      <c r="DH18" s="85"/>
      <c r="DI18" s="85"/>
      <c r="DJ18" s="85"/>
      <c r="DK18" s="85"/>
      <c r="DL18" s="85"/>
      <c r="DM18" s="85"/>
      <c r="DN18" s="85"/>
      <c r="DO18" s="85"/>
      <c r="DP18" s="85"/>
      <c r="DQ18" s="85"/>
      <c r="DR18" s="85"/>
      <c r="DS18" s="85"/>
      <c r="DT18" s="85"/>
      <c r="DU18" s="85"/>
      <c r="DV18" s="85"/>
      <c r="DW18" s="85"/>
      <c r="DX18" s="85"/>
      <c r="DY18" s="85"/>
      <c r="DZ18" s="85"/>
      <c r="EA18" s="85"/>
      <c r="EB18" s="85"/>
      <c r="EC18" s="85"/>
      <c r="ED18" s="85"/>
      <c r="EE18" s="85"/>
      <c r="EF18" s="85"/>
      <c r="EG18" s="85"/>
      <c r="EH18" s="85"/>
      <c r="EI18" s="85"/>
      <c r="EJ18" s="85"/>
      <c r="EK18" s="85"/>
      <c r="EL18" s="85"/>
      <c r="EM18" s="85"/>
      <c r="EN18" s="85"/>
      <c r="EO18" s="85"/>
      <c r="EP18" s="85"/>
      <c r="EQ18" s="85"/>
      <c r="ER18" s="85"/>
      <c r="ES18" s="85"/>
      <c r="ET18" s="85"/>
      <c r="EU18" s="85"/>
      <c r="EV18" s="85"/>
      <c r="EW18" s="85"/>
      <c r="EX18" s="85"/>
      <c r="EY18" s="85"/>
      <c r="EZ18" s="85"/>
      <c r="FA18" s="85"/>
      <c r="FB18" s="85"/>
      <c r="FC18" s="85"/>
      <c r="FD18" s="85"/>
      <c r="FE18" s="85"/>
      <c r="FF18" s="85"/>
      <c r="FG18" s="85"/>
      <c r="FH18" s="85"/>
      <c r="FI18" s="85"/>
      <c r="FJ18" s="85"/>
      <c r="FK18" s="85"/>
      <c r="FL18" s="85"/>
      <c r="FM18" s="85"/>
      <c r="FN18" s="85"/>
      <c r="FO18" s="85"/>
      <c r="FP18" s="85"/>
      <c r="FQ18" s="85"/>
      <c r="FR18" s="85"/>
      <c r="FS18" s="85"/>
      <c r="FT18" s="85"/>
      <c r="FU18" s="85"/>
      <c r="FV18" s="85"/>
      <c r="FW18" s="85"/>
      <c r="FX18" s="85"/>
      <c r="FY18" s="85"/>
      <c r="FZ18" s="85"/>
      <c r="GA18" s="85"/>
      <c r="GB18" s="85"/>
      <c r="GC18" s="85"/>
      <c r="GD18" s="85"/>
      <c r="GE18" s="85"/>
      <c r="GF18" s="85"/>
      <c r="GG18" s="85"/>
      <c r="GH18" s="85"/>
      <c r="GI18" s="85"/>
      <c r="GJ18" s="85"/>
      <c r="GK18" s="85"/>
      <c r="GL18" s="85"/>
      <c r="GM18" s="85"/>
      <c r="GN18" s="85"/>
      <c r="GO18" s="85"/>
      <c r="GP18" s="85"/>
      <c r="GQ18" s="85"/>
      <c r="GR18" s="85"/>
      <c r="GS18" s="85"/>
      <c r="GT18" s="85"/>
      <c r="GU18" s="85"/>
      <c r="GV18" s="85"/>
      <c r="GW18" s="85"/>
      <c r="GX18" s="85"/>
      <c r="GY18" s="85"/>
      <c r="GZ18" s="85"/>
      <c r="HA18" s="85"/>
      <c r="HB18" s="85"/>
      <c r="HC18" s="85"/>
      <c r="HD18" s="85"/>
      <c r="HE18" s="85"/>
      <c r="HF18" s="85"/>
      <c r="HG18" s="85"/>
      <c r="HH18" s="85"/>
      <c r="HI18" s="85"/>
      <c r="HJ18" s="85"/>
      <c r="HK18" s="85"/>
      <c r="HL18" s="85"/>
      <c r="HM18" s="85"/>
      <c r="HN18" s="85"/>
      <c r="HO18" s="85"/>
      <c r="HP18" s="85"/>
      <c r="HQ18" s="85"/>
      <c r="HR18" s="85"/>
      <c r="HS18" s="85"/>
      <c r="HT18" s="85"/>
      <c r="HU18" s="85"/>
      <c r="HV18" s="85"/>
      <c r="HW18" s="85"/>
      <c r="HX18" s="85"/>
      <c r="HY18" s="85"/>
      <c r="HZ18" s="85"/>
      <c r="IA18" s="85"/>
      <c r="IB18" s="85"/>
      <c r="IC18" s="85"/>
      <c r="ID18" s="85"/>
      <c r="IE18" s="85"/>
      <c r="IF18" s="85"/>
      <c r="IG18" s="85"/>
      <c r="IH18" s="85"/>
      <c r="II18" s="85"/>
      <c r="IJ18" s="85"/>
      <c r="IK18" s="85"/>
      <c r="IL18" s="85"/>
      <c r="IM18" s="85"/>
      <c r="IN18" s="85"/>
      <c r="IO18" s="85"/>
      <c r="IP18" s="85"/>
      <c r="IQ18" s="85"/>
      <c r="IR18" s="85"/>
      <c r="IS18" s="85"/>
      <c r="IT18" s="85"/>
      <c r="IU18" s="85"/>
      <c r="IV18" s="85"/>
      <c r="IW18" s="85"/>
      <c r="IX18" s="85"/>
      <c r="IY18" s="85"/>
      <c r="IZ18" s="85"/>
      <c r="JA18" s="85"/>
      <c r="JB18" s="85"/>
      <c r="JC18" s="85"/>
      <c r="JD18" s="85"/>
      <c r="JE18" s="85"/>
      <c r="JF18" s="85"/>
      <c r="JG18" s="85"/>
      <c r="JH18" s="85"/>
      <c r="JI18" s="85"/>
      <c r="JJ18" s="85"/>
      <c r="JK18" s="85"/>
      <c r="JL18" s="85"/>
      <c r="JM18" s="85"/>
      <c r="JN18" s="85"/>
      <c r="JO18" s="85"/>
      <c r="JP18" s="85"/>
      <c r="JQ18" s="85"/>
      <c r="JR18" s="85"/>
      <c r="JS18" s="85"/>
      <c r="JT18" s="85"/>
      <c r="JU18" s="85"/>
      <c r="JV18" s="85"/>
      <c r="JW18" s="85"/>
      <c r="JX18" s="85"/>
      <c r="JY18" s="85"/>
      <c r="JZ18" s="85"/>
      <c r="KA18" s="85"/>
      <c r="KB18" s="85"/>
      <c r="KC18" s="85"/>
      <c r="KD18" s="85"/>
      <c r="KE18" s="85"/>
      <c r="KF18" s="85"/>
      <c r="KG18" s="85"/>
      <c r="KH18" s="85"/>
      <c r="KI18" s="85"/>
      <c r="KJ18" s="85"/>
      <c r="KK18" s="85"/>
      <c r="KL18" s="85"/>
      <c r="KM18" s="85"/>
      <c r="KN18" s="85"/>
      <c r="KO18" s="85"/>
      <c r="KP18" s="85"/>
      <c r="KQ18" s="85"/>
      <c r="KR18" s="85"/>
      <c r="KS18" s="85"/>
      <c r="KT18" s="85"/>
      <c r="KU18" s="85"/>
      <c r="KV18" s="85"/>
      <c r="KW18" s="85"/>
      <c r="KX18" s="85"/>
      <c r="KY18" s="85"/>
      <c r="KZ18" s="85"/>
      <c r="LA18" s="85"/>
      <c r="LB18" s="85"/>
      <c r="LC18" s="85"/>
      <c r="LD18" s="85"/>
      <c r="LE18" s="85"/>
      <c r="LF18" s="85"/>
      <c r="LG18" s="85"/>
      <c r="LH18" s="85"/>
      <c r="LI18" s="85"/>
      <c r="LJ18" s="85"/>
      <c r="LK18" s="85"/>
      <c r="LL18" s="85"/>
      <c r="LM18" s="85"/>
      <c r="LN18" s="85"/>
      <c r="LO18" s="85"/>
      <c r="LP18" s="85"/>
      <c r="LQ18" s="85"/>
      <c r="LR18" s="85"/>
      <c r="LS18" s="85"/>
      <c r="LT18" s="85"/>
      <c r="LU18" s="85"/>
      <c r="LV18" s="85"/>
      <c r="LW18" s="85"/>
      <c r="LX18" s="85"/>
      <c r="LY18" s="85"/>
      <c r="LZ18" s="85"/>
      <c r="MA18" s="85"/>
      <c r="MB18" s="85"/>
      <c r="MC18" s="85"/>
      <c r="MD18" s="85"/>
      <c r="ME18" s="85"/>
      <c r="MF18" s="85"/>
      <c r="MG18" s="85"/>
      <c r="MH18" s="85"/>
      <c r="MI18" s="85"/>
      <c r="MJ18" s="85"/>
      <c r="MK18" s="85"/>
      <c r="ML18" s="85"/>
      <c r="MM18" s="85"/>
      <c r="MN18" s="85"/>
      <c r="MO18" s="85"/>
      <c r="MP18" s="85"/>
      <c r="MQ18" s="85"/>
      <c r="MR18" s="85"/>
      <c r="MS18" s="85"/>
      <c r="MT18" s="85"/>
      <c r="MU18" s="85"/>
      <c r="MV18" s="85"/>
      <c r="MW18" s="85"/>
      <c r="MX18" s="85"/>
      <c r="MY18" s="85"/>
      <c r="MZ18" s="85"/>
      <c r="NA18" s="85"/>
      <c r="NB18" s="85"/>
      <c r="NC18" s="85"/>
      <c r="ND18" s="85"/>
      <c r="NE18" s="85"/>
      <c r="NF18" s="85"/>
      <c r="NG18" s="85"/>
      <c r="NH18" s="85"/>
      <c r="NI18" s="85"/>
      <c r="NJ18" s="85"/>
      <c r="NK18" s="85"/>
      <c r="NL18" s="85"/>
      <c r="NM18" s="85"/>
      <c r="NN18" s="85"/>
      <c r="NO18" s="85"/>
      <c r="NP18" s="85"/>
      <c r="NQ18" s="85"/>
      <c r="NR18" s="85"/>
      <c r="NS18" s="85"/>
      <c r="NT18" s="85"/>
      <c r="NU18" s="85"/>
      <c r="NV18" s="85"/>
      <c r="NW18" s="85"/>
      <c r="NX18" s="85"/>
      <c r="NY18" s="85"/>
      <c r="NZ18" s="85"/>
      <c r="OA18" s="85"/>
      <c r="OB18" s="85"/>
      <c r="OC18" s="85"/>
      <c r="OD18" s="85"/>
      <c r="OE18" s="85"/>
      <c r="OF18" s="85"/>
      <c r="OG18" s="85"/>
      <c r="OH18" s="85"/>
      <c r="OI18" s="85"/>
      <c r="OJ18" s="85"/>
      <c r="OK18" s="85"/>
      <c r="OL18" s="85"/>
      <c r="OM18" s="85"/>
      <c r="ON18" s="85"/>
      <c r="OO18" s="85"/>
      <c r="OP18" s="85"/>
      <c r="OQ18" s="85"/>
      <c r="OR18" s="85"/>
      <c r="OS18" s="85"/>
      <c r="OT18" s="85"/>
      <c r="OU18" s="85"/>
      <c r="OV18" s="85"/>
      <c r="OW18" s="85"/>
      <c r="OX18" s="85"/>
      <c r="OY18" s="85"/>
      <c r="OZ18" s="85"/>
      <c r="PA18" s="85"/>
      <c r="PB18" s="85"/>
      <c r="PC18" s="85"/>
      <c r="PD18" s="85"/>
      <c r="PE18" s="85"/>
      <c r="PF18" s="85"/>
      <c r="PG18" s="85"/>
      <c r="PH18" s="85"/>
      <c r="PI18" s="85"/>
      <c r="PJ18" s="85"/>
      <c r="PK18" s="85"/>
      <c r="PL18" s="85"/>
      <c r="PM18" s="85"/>
      <c r="PN18" s="85"/>
      <c r="PO18" s="85"/>
      <c r="PP18" s="85"/>
      <c r="PQ18" s="85"/>
      <c r="PR18" s="85"/>
      <c r="PS18" s="85"/>
      <c r="PT18" s="85"/>
      <c r="PU18" s="85"/>
      <c r="PV18" s="85"/>
      <c r="PW18" s="85"/>
      <c r="PX18" s="85"/>
      <c r="PY18" s="85"/>
      <c r="PZ18" s="85"/>
      <c r="QA18" s="85"/>
      <c r="QB18" s="85"/>
      <c r="QC18" s="85"/>
      <c r="QD18" s="85"/>
      <c r="QE18" s="85"/>
      <c r="QF18" s="85"/>
      <c r="QG18" s="85"/>
      <c r="QH18" s="85"/>
      <c r="QI18" s="85"/>
      <c r="QJ18" s="85"/>
      <c r="QK18" s="85"/>
      <c r="QL18" s="85"/>
      <c r="QM18" s="85"/>
      <c r="QN18" s="85"/>
      <c r="QO18" s="85"/>
      <c r="QP18" s="85"/>
      <c r="QQ18" s="85"/>
      <c r="QR18" s="85"/>
      <c r="QS18" s="85"/>
      <c r="QT18" s="85"/>
      <c r="QU18" s="85"/>
      <c r="QV18" s="85"/>
      <c r="QW18" s="85"/>
      <c r="QX18" s="85"/>
      <c r="QY18" s="85"/>
      <c r="QZ18" s="85"/>
      <c r="RA18" s="85"/>
      <c r="RB18" s="85"/>
      <c r="RC18" s="85"/>
      <c r="RD18" s="85"/>
      <c r="RE18" s="85"/>
      <c r="RF18" s="85"/>
      <c r="RG18" s="85"/>
      <c r="RH18" s="85"/>
      <c r="RI18" s="85"/>
      <c r="RJ18" s="85"/>
      <c r="RK18" s="85"/>
      <c r="RL18" s="85"/>
      <c r="RM18" s="85"/>
      <c r="RN18" s="85"/>
      <c r="RO18" s="85"/>
      <c r="RP18" s="85"/>
      <c r="RQ18" s="85"/>
      <c r="RR18" s="85"/>
      <c r="RS18" s="85"/>
      <c r="RT18" s="85"/>
      <c r="RU18" s="85"/>
      <c r="RV18" s="85"/>
      <c r="RW18" s="85"/>
      <c r="RX18" s="85"/>
      <c r="RY18" s="85"/>
      <c r="RZ18" s="85"/>
      <c r="SA18" s="85"/>
      <c r="SB18" s="85"/>
      <c r="SC18" s="85"/>
      <c r="SD18" s="85"/>
      <c r="SE18" s="85"/>
      <c r="SF18" s="85"/>
      <c r="SG18" s="85"/>
      <c r="SH18" s="85"/>
      <c r="SI18" s="85"/>
      <c r="SJ18" s="85"/>
      <c r="SK18" s="85"/>
      <c r="SL18" s="85"/>
      <c r="SM18" s="85"/>
      <c r="SN18" s="85"/>
      <c r="SO18" s="85"/>
      <c r="SP18" s="85"/>
      <c r="SQ18" s="85"/>
      <c r="SR18" s="85"/>
      <c r="SS18" s="85"/>
      <c r="ST18" s="85"/>
      <c r="SU18" s="85"/>
      <c r="SV18" s="85"/>
      <c r="SW18" s="85"/>
      <c r="SX18" s="85"/>
      <c r="SY18" s="85"/>
      <c r="SZ18" s="85"/>
      <c r="TA18" s="85"/>
      <c r="TB18" s="85"/>
      <c r="TC18" s="85"/>
      <c r="TD18" s="85"/>
      <c r="TE18" s="85"/>
      <c r="TF18" s="85"/>
      <c r="TG18" s="85"/>
      <c r="TH18" s="85"/>
      <c r="TI18" s="85"/>
      <c r="TJ18" s="85"/>
      <c r="TK18" s="85"/>
      <c r="TL18" s="85"/>
      <c r="TM18" s="85"/>
      <c r="TN18" s="85"/>
      <c r="TO18" s="85"/>
      <c r="TP18" s="85"/>
      <c r="TQ18" s="85"/>
      <c r="TR18" s="85"/>
      <c r="TS18" s="85"/>
      <c r="TT18" s="85"/>
      <c r="TU18" s="85"/>
      <c r="TV18" s="85"/>
      <c r="TW18" s="85"/>
      <c r="TX18" s="85"/>
      <c r="TY18" s="85"/>
      <c r="TZ18" s="85"/>
      <c r="UA18" s="85"/>
      <c r="UB18" s="85"/>
      <c r="UC18" s="85"/>
      <c r="UD18" s="85"/>
      <c r="UE18" s="85"/>
      <c r="UF18" s="85"/>
      <c r="UG18" s="85"/>
      <c r="UH18" s="85"/>
      <c r="UI18" s="85"/>
      <c r="UJ18" s="85"/>
      <c r="UK18" s="85"/>
      <c r="UL18" s="85"/>
      <c r="UM18" s="85"/>
      <c r="UN18" s="85"/>
      <c r="UO18" s="85"/>
      <c r="UP18" s="85"/>
      <c r="UQ18" s="85"/>
      <c r="UR18" s="85"/>
      <c r="US18" s="85"/>
      <c r="UT18" s="85"/>
      <c r="UU18" s="85"/>
      <c r="UV18" s="85"/>
      <c r="UW18" s="85"/>
      <c r="UX18" s="85"/>
      <c r="UY18" s="85"/>
      <c r="UZ18" s="85"/>
      <c r="VA18" s="85"/>
      <c r="VB18" s="85"/>
      <c r="VC18" s="85"/>
      <c r="VD18" s="85"/>
      <c r="VE18" s="85"/>
      <c r="VF18" s="85"/>
      <c r="VG18" s="85"/>
      <c r="VH18" s="85"/>
      <c r="VI18" s="85"/>
      <c r="VJ18" s="85"/>
      <c r="VK18" s="85"/>
      <c r="VL18" s="85"/>
      <c r="VM18" s="85"/>
      <c r="VN18" s="85"/>
      <c r="VO18" s="85"/>
      <c r="VP18" s="85"/>
      <c r="VQ18" s="85"/>
      <c r="VR18" s="85"/>
      <c r="VS18" s="85"/>
      <c r="VT18" s="85"/>
      <c r="VU18" s="85"/>
      <c r="VV18" s="85"/>
      <c r="VW18" s="85"/>
      <c r="VX18" s="85"/>
      <c r="VY18" s="85"/>
      <c r="VZ18" s="85"/>
      <c r="WA18" s="85"/>
      <c r="WB18" s="85"/>
      <c r="WC18" s="85"/>
      <c r="WD18" s="85"/>
      <c r="WE18" s="85"/>
      <c r="WF18" s="85"/>
      <c r="WG18" s="85"/>
      <c r="WH18" s="85"/>
      <c r="WI18" s="85"/>
      <c r="WJ18" s="85"/>
      <c r="WK18" s="85"/>
      <c r="WL18" s="85"/>
      <c r="WM18" s="85"/>
      <c r="WN18" s="85"/>
      <c r="WO18" s="85"/>
      <c r="WP18" s="85"/>
      <c r="WQ18" s="85"/>
      <c r="WR18" s="85"/>
      <c r="WS18" s="85"/>
      <c r="WT18" s="85"/>
      <c r="WU18" s="85"/>
      <c r="WV18" s="85"/>
      <c r="WW18" s="85"/>
      <c r="WX18" s="85"/>
      <c r="WY18" s="85"/>
      <c r="WZ18" s="85"/>
      <c r="XA18" s="85"/>
      <c r="XB18" s="85"/>
      <c r="XC18" s="85"/>
      <c r="XD18" s="85"/>
      <c r="XE18" s="85"/>
      <c r="XF18" s="85"/>
      <c r="XG18" s="85"/>
      <c r="XH18" s="85"/>
      <c r="XI18" s="85"/>
      <c r="XJ18" s="85"/>
      <c r="XK18" s="85"/>
      <c r="XL18" s="85"/>
      <c r="XM18" s="85"/>
      <c r="XN18" s="85"/>
      <c r="XO18" s="85"/>
      <c r="XP18" s="85"/>
      <c r="XQ18" s="85"/>
      <c r="XR18" s="85"/>
      <c r="XS18" s="85"/>
      <c r="XT18" s="85"/>
      <c r="XU18" s="85"/>
      <c r="XV18" s="85"/>
      <c r="XW18" s="85"/>
    </row>
    <row r="19" spans="1:647" s="30" customFormat="1" ht="14.25" customHeight="1">
      <c r="A19" s="88"/>
      <c r="B19" s="89"/>
      <c r="C19" s="92"/>
      <c r="D19" s="92"/>
      <c r="E19" s="94"/>
      <c r="F19" s="92"/>
      <c r="G19" s="92"/>
      <c r="H19" s="92"/>
      <c r="I19" s="274"/>
      <c r="J19" s="279"/>
      <c r="K19" s="283"/>
      <c r="L19" s="346"/>
      <c r="M19" s="159"/>
      <c r="N19" s="159"/>
      <c r="O19" s="159"/>
      <c r="P19" s="159"/>
      <c r="Q19" s="175"/>
      <c r="R19" s="91"/>
      <c r="S19" s="156"/>
      <c r="T19" s="92"/>
      <c r="U19" s="95"/>
      <c r="V19" s="92"/>
      <c r="W19" s="92"/>
      <c r="X19" s="92"/>
      <c r="Y19" s="168"/>
      <c r="Z19" s="168"/>
      <c r="AA19" s="161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85"/>
      <c r="BU19" s="85"/>
      <c r="BV19" s="85"/>
      <c r="BW19" s="85"/>
      <c r="BX19" s="85"/>
      <c r="BY19" s="85"/>
      <c r="BZ19" s="85"/>
      <c r="CA19" s="85"/>
      <c r="CB19" s="85"/>
      <c r="CC19" s="85"/>
      <c r="CD19" s="85"/>
      <c r="CE19" s="85"/>
      <c r="CF19" s="85"/>
      <c r="CG19" s="85"/>
      <c r="CH19" s="85"/>
      <c r="CI19" s="85"/>
      <c r="CJ19" s="85"/>
      <c r="CK19" s="85"/>
      <c r="CL19" s="85"/>
      <c r="CM19" s="85"/>
      <c r="CN19" s="85"/>
      <c r="CO19" s="85"/>
      <c r="CP19" s="85"/>
      <c r="CQ19" s="85"/>
      <c r="CR19" s="85"/>
      <c r="CS19" s="85"/>
      <c r="CT19" s="85"/>
      <c r="CU19" s="85"/>
      <c r="CV19" s="85"/>
      <c r="CW19" s="85"/>
      <c r="CX19" s="85"/>
      <c r="CY19" s="85"/>
      <c r="CZ19" s="85"/>
      <c r="DA19" s="85"/>
      <c r="DB19" s="85"/>
      <c r="DC19" s="85"/>
      <c r="DD19" s="85"/>
      <c r="DE19" s="85"/>
      <c r="DF19" s="85"/>
      <c r="DG19" s="85"/>
      <c r="DH19" s="85"/>
      <c r="DI19" s="85"/>
      <c r="DJ19" s="85"/>
      <c r="DK19" s="85"/>
      <c r="DL19" s="85"/>
      <c r="DM19" s="85"/>
      <c r="DN19" s="85"/>
      <c r="DO19" s="85"/>
      <c r="DP19" s="85"/>
      <c r="DQ19" s="85"/>
      <c r="DR19" s="85"/>
      <c r="DS19" s="85"/>
      <c r="DT19" s="85"/>
      <c r="DU19" s="85"/>
      <c r="DV19" s="85"/>
      <c r="DW19" s="85"/>
      <c r="DX19" s="85"/>
      <c r="DY19" s="85"/>
      <c r="DZ19" s="85"/>
      <c r="EA19" s="85"/>
      <c r="EB19" s="85"/>
      <c r="EC19" s="85"/>
      <c r="ED19" s="85"/>
      <c r="EE19" s="85"/>
      <c r="EF19" s="85"/>
      <c r="EG19" s="85"/>
      <c r="EH19" s="85"/>
      <c r="EI19" s="85"/>
      <c r="EJ19" s="85"/>
      <c r="EK19" s="85"/>
      <c r="EL19" s="85"/>
      <c r="EM19" s="85"/>
      <c r="EN19" s="85"/>
      <c r="EO19" s="85"/>
      <c r="EP19" s="85"/>
      <c r="EQ19" s="85"/>
      <c r="ER19" s="85"/>
      <c r="ES19" s="85"/>
      <c r="ET19" s="85"/>
      <c r="EU19" s="85"/>
      <c r="EV19" s="85"/>
      <c r="EW19" s="85"/>
      <c r="EX19" s="85"/>
      <c r="EY19" s="85"/>
      <c r="EZ19" s="85"/>
      <c r="FA19" s="85"/>
      <c r="FB19" s="85"/>
      <c r="FC19" s="85"/>
      <c r="FD19" s="85"/>
      <c r="FE19" s="85"/>
      <c r="FF19" s="85"/>
      <c r="FG19" s="85"/>
      <c r="FH19" s="85"/>
      <c r="FI19" s="85"/>
      <c r="FJ19" s="85"/>
      <c r="FK19" s="85"/>
      <c r="FL19" s="85"/>
      <c r="FM19" s="85"/>
      <c r="FN19" s="85"/>
      <c r="FO19" s="85"/>
      <c r="FP19" s="85"/>
      <c r="FQ19" s="85"/>
      <c r="FR19" s="85"/>
      <c r="FS19" s="85"/>
      <c r="FT19" s="85"/>
      <c r="FU19" s="85"/>
      <c r="FV19" s="85"/>
      <c r="FW19" s="85"/>
      <c r="FX19" s="85"/>
      <c r="FY19" s="85"/>
      <c r="FZ19" s="85"/>
      <c r="GA19" s="85"/>
      <c r="GB19" s="85"/>
      <c r="GC19" s="85"/>
      <c r="GD19" s="85"/>
      <c r="GE19" s="85"/>
      <c r="GF19" s="85"/>
      <c r="GG19" s="85"/>
      <c r="GH19" s="85"/>
      <c r="GI19" s="85"/>
      <c r="GJ19" s="85"/>
      <c r="GK19" s="85"/>
      <c r="GL19" s="85"/>
      <c r="GM19" s="85"/>
      <c r="GN19" s="85"/>
      <c r="GO19" s="85"/>
      <c r="GP19" s="85"/>
      <c r="GQ19" s="85"/>
      <c r="GR19" s="85"/>
      <c r="GS19" s="85"/>
      <c r="GT19" s="85"/>
      <c r="GU19" s="85"/>
      <c r="GV19" s="85"/>
      <c r="GW19" s="85"/>
      <c r="GX19" s="85"/>
      <c r="GY19" s="85"/>
      <c r="GZ19" s="85"/>
      <c r="HA19" s="85"/>
      <c r="HB19" s="85"/>
      <c r="HC19" s="85"/>
      <c r="HD19" s="85"/>
      <c r="HE19" s="85"/>
      <c r="HF19" s="85"/>
      <c r="HG19" s="85"/>
      <c r="HH19" s="85"/>
      <c r="HI19" s="85"/>
      <c r="HJ19" s="85"/>
      <c r="HK19" s="85"/>
      <c r="HL19" s="85"/>
      <c r="HM19" s="85"/>
      <c r="HN19" s="85"/>
      <c r="HO19" s="85"/>
      <c r="HP19" s="85"/>
      <c r="HQ19" s="85"/>
      <c r="HR19" s="85"/>
      <c r="HS19" s="85"/>
      <c r="HT19" s="85"/>
      <c r="HU19" s="85"/>
      <c r="HV19" s="85"/>
      <c r="HW19" s="85"/>
      <c r="HX19" s="85"/>
      <c r="HY19" s="85"/>
      <c r="HZ19" s="85"/>
      <c r="IA19" s="85"/>
      <c r="IB19" s="85"/>
      <c r="IC19" s="85"/>
      <c r="ID19" s="85"/>
      <c r="IE19" s="85"/>
      <c r="IF19" s="85"/>
      <c r="IG19" s="85"/>
      <c r="IH19" s="85"/>
      <c r="II19" s="85"/>
      <c r="IJ19" s="85"/>
      <c r="IK19" s="85"/>
      <c r="IL19" s="85"/>
      <c r="IM19" s="85"/>
      <c r="IN19" s="85"/>
      <c r="IO19" s="85"/>
      <c r="IP19" s="85"/>
      <c r="IQ19" s="85"/>
      <c r="IR19" s="85"/>
      <c r="IS19" s="85"/>
      <c r="IT19" s="85"/>
      <c r="IU19" s="85"/>
      <c r="IV19" s="85"/>
      <c r="IW19" s="85"/>
      <c r="IX19" s="85"/>
      <c r="IY19" s="85"/>
      <c r="IZ19" s="85"/>
      <c r="JA19" s="85"/>
      <c r="JB19" s="85"/>
      <c r="JC19" s="85"/>
      <c r="JD19" s="85"/>
      <c r="JE19" s="85"/>
      <c r="JF19" s="85"/>
      <c r="JG19" s="85"/>
      <c r="JH19" s="85"/>
      <c r="JI19" s="85"/>
      <c r="JJ19" s="85"/>
      <c r="JK19" s="85"/>
      <c r="JL19" s="85"/>
      <c r="JM19" s="85"/>
      <c r="JN19" s="85"/>
      <c r="JO19" s="85"/>
      <c r="JP19" s="85"/>
      <c r="JQ19" s="85"/>
      <c r="JR19" s="85"/>
      <c r="JS19" s="85"/>
      <c r="JT19" s="85"/>
      <c r="JU19" s="85"/>
      <c r="JV19" s="85"/>
      <c r="JW19" s="85"/>
      <c r="JX19" s="85"/>
      <c r="JY19" s="85"/>
      <c r="JZ19" s="85"/>
      <c r="KA19" s="85"/>
      <c r="KB19" s="85"/>
      <c r="KC19" s="85"/>
      <c r="KD19" s="85"/>
      <c r="KE19" s="85"/>
      <c r="KF19" s="85"/>
      <c r="KG19" s="85"/>
      <c r="KH19" s="85"/>
      <c r="KI19" s="85"/>
      <c r="KJ19" s="85"/>
      <c r="KK19" s="85"/>
      <c r="KL19" s="85"/>
      <c r="KM19" s="85"/>
      <c r="KN19" s="85"/>
      <c r="KO19" s="85"/>
      <c r="KP19" s="85"/>
      <c r="KQ19" s="85"/>
      <c r="KR19" s="85"/>
      <c r="KS19" s="85"/>
      <c r="KT19" s="85"/>
      <c r="KU19" s="85"/>
      <c r="KV19" s="85"/>
      <c r="KW19" s="85"/>
      <c r="KX19" s="85"/>
      <c r="KY19" s="85"/>
      <c r="KZ19" s="85"/>
      <c r="LA19" s="85"/>
      <c r="LB19" s="85"/>
      <c r="LC19" s="85"/>
      <c r="LD19" s="85"/>
      <c r="LE19" s="85"/>
      <c r="LF19" s="85"/>
      <c r="LG19" s="85"/>
      <c r="LH19" s="85"/>
      <c r="LI19" s="85"/>
      <c r="LJ19" s="85"/>
      <c r="LK19" s="85"/>
      <c r="LL19" s="85"/>
      <c r="LM19" s="85"/>
      <c r="LN19" s="85"/>
      <c r="LO19" s="85"/>
      <c r="LP19" s="85"/>
      <c r="LQ19" s="85"/>
      <c r="LR19" s="85"/>
      <c r="LS19" s="85"/>
      <c r="LT19" s="85"/>
      <c r="LU19" s="85"/>
      <c r="LV19" s="85"/>
      <c r="LW19" s="85"/>
      <c r="LX19" s="85"/>
      <c r="LY19" s="85"/>
      <c r="LZ19" s="85"/>
      <c r="MA19" s="85"/>
      <c r="MB19" s="85"/>
      <c r="MC19" s="85"/>
      <c r="MD19" s="85"/>
      <c r="ME19" s="85"/>
      <c r="MF19" s="85"/>
      <c r="MG19" s="85"/>
      <c r="MH19" s="85"/>
      <c r="MI19" s="85"/>
      <c r="MJ19" s="85"/>
      <c r="MK19" s="85"/>
      <c r="ML19" s="85"/>
      <c r="MM19" s="85"/>
      <c r="MN19" s="85"/>
      <c r="MO19" s="85"/>
      <c r="MP19" s="85"/>
      <c r="MQ19" s="85"/>
      <c r="MR19" s="85"/>
      <c r="MS19" s="85"/>
      <c r="MT19" s="85"/>
      <c r="MU19" s="85"/>
      <c r="MV19" s="85"/>
      <c r="MW19" s="85"/>
      <c r="MX19" s="85"/>
      <c r="MY19" s="85"/>
      <c r="MZ19" s="85"/>
      <c r="NA19" s="85"/>
      <c r="NB19" s="85"/>
      <c r="NC19" s="85"/>
      <c r="ND19" s="85"/>
      <c r="NE19" s="85"/>
      <c r="NF19" s="85"/>
      <c r="NG19" s="85"/>
      <c r="NH19" s="85"/>
      <c r="NI19" s="85"/>
      <c r="NJ19" s="85"/>
      <c r="NK19" s="85"/>
      <c r="NL19" s="85"/>
      <c r="NM19" s="85"/>
      <c r="NN19" s="85"/>
      <c r="NO19" s="85"/>
      <c r="NP19" s="85"/>
      <c r="NQ19" s="85"/>
      <c r="NR19" s="85"/>
      <c r="NS19" s="85"/>
      <c r="NT19" s="85"/>
      <c r="NU19" s="85"/>
      <c r="NV19" s="85"/>
      <c r="NW19" s="85"/>
      <c r="NX19" s="85"/>
      <c r="NY19" s="85"/>
      <c r="NZ19" s="85"/>
      <c r="OA19" s="85"/>
      <c r="OB19" s="85"/>
      <c r="OC19" s="85"/>
      <c r="OD19" s="85"/>
      <c r="OE19" s="85"/>
      <c r="OF19" s="85"/>
      <c r="OG19" s="85"/>
      <c r="OH19" s="85"/>
      <c r="OI19" s="85"/>
      <c r="OJ19" s="85"/>
      <c r="OK19" s="85"/>
      <c r="OL19" s="85"/>
      <c r="OM19" s="85"/>
      <c r="ON19" s="85"/>
      <c r="OO19" s="85"/>
      <c r="OP19" s="85"/>
      <c r="OQ19" s="85"/>
      <c r="OR19" s="85"/>
      <c r="OS19" s="85"/>
      <c r="OT19" s="85"/>
      <c r="OU19" s="85"/>
      <c r="OV19" s="85"/>
      <c r="OW19" s="85"/>
      <c r="OX19" s="85"/>
      <c r="OY19" s="85"/>
      <c r="OZ19" s="85"/>
      <c r="PA19" s="85"/>
      <c r="PB19" s="85"/>
      <c r="PC19" s="85"/>
      <c r="PD19" s="85"/>
      <c r="PE19" s="85"/>
      <c r="PF19" s="85"/>
      <c r="PG19" s="85"/>
      <c r="PH19" s="85"/>
      <c r="PI19" s="85"/>
      <c r="PJ19" s="85"/>
      <c r="PK19" s="85"/>
      <c r="PL19" s="85"/>
      <c r="PM19" s="85"/>
      <c r="PN19" s="85"/>
      <c r="PO19" s="85"/>
      <c r="PP19" s="85"/>
      <c r="PQ19" s="85"/>
      <c r="PR19" s="85"/>
      <c r="PS19" s="85"/>
      <c r="PT19" s="85"/>
      <c r="PU19" s="85"/>
      <c r="PV19" s="85"/>
      <c r="PW19" s="85"/>
      <c r="PX19" s="85"/>
      <c r="PY19" s="85"/>
      <c r="PZ19" s="85"/>
      <c r="QA19" s="85"/>
      <c r="QB19" s="85"/>
      <c r="QC19" s="85"/>
      <c r="QD19" s="85"/>
      <c r="QE19" s="85"/>
      <c r="QF19" s="85"/>
      <c r="QG19" s="85"/>
      <c r="QH19" s="85"/>
      <c r="QI19" s="85"/>
      <c r="QJ19" s="85"/>
      <c r="QK19" s="85"/>
      <c r="QL19" s="85"/>
      <c r="QM19" s="85"/>
      <c r="QN19" s="85"/>
      <c r="QO19" s="85"/>
      <c r="QP19" s="85"/>
      <c r="QQ19" s="85"/>
      <c r="QR19" s="85"/>
      <c r="QS19" s="85"/>
      <c r="QT19" s="85"/>
      <c r="QU19" s="85"/>
      <c r="QV19" s="85"/>
      <c r="QW19" s="85"/>
      <c r="QX19" s="85"/>
      <c r="QY19" s="85"/>
      <c r="QZ19" s="85"/>
      <c r="RA19" s="85"/>
      <c r="RB19" s="85"/>
      <c r="RC19" s="85"/>
      <c r="RD19" s="85"/>
      <c r="RE19" s="85"/>
      <c r="RF19" s="85"/>
      <c r="RG19" s="85"/>
      <c r="RH19" s="85"/>
      <c r="RI19" s="85"/>
      <c r="RJ19" s="85"/>
      <c r="RK19" s="85"/>
      <c r="RL19" s="85"/>
      <c r="RM19" s="85"/>
      <c r="RN19" s="85"/>
      <c r="RO19" s="85"/>
      <c r="RP19" s="85"/>
      <c r="RQ19" s="85"/>
      <c r="RR19" s="85"/>
      <c r="RS19" s="85"/>
      <c r="RT19" s="85"/>
      <c r="RU19" s="85"/>
      <c r="RV19" s="85"/>
      <c r="RW19" s="85"/>
      <c r="RX19" s="85"/>
      <c r="RY19" s="85"/>
      <c r="RZ19" s="85"/>
      <c r="SA19" s="85"/>
      <c r="SB19" s="85"/>
      <c r="SC19" s="85"/>
      <c r="SD19" s="85"/>
      <c r="SE19" s="85"/>
      <c r="SF19" s="85"/>
      <c r="SG19" s="85"/>
      <c r="SH19" s="85"/>
      <c r="SI19" s="85"/>
      <c r="SJ19" s="85"/>
      <c r="SK19" s="85"/>
      <c r="SL19" s="85"/>
      <c r="SM19" s="85"/>
      <c r="SN19" s="85"/>
      <c r="SO19" s="85"/>
      <c r="SP19" s="85"/>
      <c r="SQ19" s="85"/>
      <c r="SR19" s="85"/>
      <c r="SS19" s="85"/>
      <c r="ST19" s="85"/>
      <c r="SU19" s="85"/>
      <c r="SV19" s="85"/>
      <c r="SW19" s="85"/>
      <c r="SX19" s="85"/>
      <c r="SY19" s="85"/>
      <c r="SZ19" s="85"/>
      <c r="TA19" s="85"/>
      <c r="TB19" s="85"/>
      <c r="TC19" s="85"/>
      <c r="TD19" s="85"/>
      <c r="TE19" s="85"/>
      <c r="TF19" s="85"/>
      <c r="TG19" s="85"/>
      <c r="TH19" s="85"/>
      <c r="TI19" s="85"/>
      <c r="TJ19" s="85"/>
      <c r="TK19" s="85"/>
      <c r="TL19" s="85"/>
      <c r="TM19" s="85"/>
      <c r="TN19" s="85"/>
      <c r="TO19" s="85"/>
      <c r="TP19" s="85"/>
      <c r="TQ19" s="85"/>
      <c r="TR19" s="85"/>
      <c r="TS19" s="85"/>
      <c r="TT19" s="85"/>
      <c r="TU19" s="85"/>
      <c r="TV19" s="85"/>
      <c r="TW19" s="85"/>
      <c r="TX19" s="85"/>
      <c r="TY19" s="85"/>
      <c r="TZ19" s="85"/>
      <c r="UA19" s="85"/>
      <c r="UB19" s="85"/>
      <c r="UC19" s="85"/>
      <c r="UD19" s="85"/>
      <c r="UE19" s="85"/>
      <c r="UF19" s="85"/>
      <c r="UG19" s="85"/>
      <c r="UH19" s="85"/>
      <c r="UI19" s="85"/>
      <c r="UJ19" s="85"/>
      <c r="UK19" s="85"/>
      <c r="UL19" s="85"/>
      <c r="UM19" s="85"/>
      <c r="UN19" s="85"/>
      <c r="UO19" s="85"/>
      <c r="UP19" s="85"/>
      <c r="UQ19" s="85"/>
      <c r="UR19" s="85"/>
      <c r="US19" s="85"/>
      <c r="UT19" s="85"/>
      <c r="UU19" s="85"/>
      <c r="UV19" s="85"/>
      <c r="UW19" s="85"/>
      <c r="UX19" s="85"/>
      <c r="UY19" s="85"/>
      <c r="UZ19" s="85"/>
      <c r="VA19" s="85"/>
      <c r="VB19" s="85"/>
      <c r="VC19" s="85"/>
      <c r="VD19" s="85"/>
      <c r="VE19" s="85"/>
      <c r="VF19" s="85"/>
      <c r="VG19" s="85"/>
      <c r="VH19" s="85"/>
      <c r="VI19" s="85"/>
      <c r="VJ19" s="85"/>
      <c r="VK19" s="85"/>
      <c r="VL19" s="85"/>
      <c r="VM19" s="85"/>
      <c r="VN19" s="85"/>
      <c r="VO19" s="85"/>
      <c r="VP19" s="85"/>
      <c r="VQ19" s="85"/>
      <c r="VR19" s="85"/>
      <c r="VS19" s="85"/>
      <c r="VT19" s="85"/>
      <c r="VU19" s="85"/>
      <c r="VV19" s="85"/>
      <c r="VW19" s="85"/>
      <c r="VX19" s="85"/>
      <c r="VY19" s="85"/>
      <c r="VZ19" s="85"/>
      <c r="WA19" s="85"/>
      <c r="WB19" s="85"/>
      <c r="WC19" s="85"/>
      <c r="WD19" s="85"/>
      <c r="WE19" s="85"/>
      <c r="WF19" s="85"/>
      <c r="WG19" s="85"/>
      <c r="WH19" s="85"/>
      <c r="WI19" s="85"/>
      <c r="WJ19" s="85"/>
      <c r="WK19" s="85"/>
      <c r="WL19" s="85"/>
      <c r="WM19" s="85"/>
      <c r="WN19" s="85"/>
      <c r="WO19" s="85"/>
      <c r="WP19" s="85"/>
      <c r="WQ19" s="85"/>
      <c r="WR19" s="85"/>
      <c r="WS19" s="85"/>
      <c r="WT19" s="85"/>
      <c r="WU19" s="85"/>
      <c r="WV19" s="85"/>
      <c r="WW19" s="85"/>
      <c r="WX19" s="85"/>
      <c r="WY19" s="85"/>
      <c r="WZ19" s="85"/>
      <c r="XA19" s="85"/>
      <c r="XB19" s="85"/>
      <c r="XC19" s="85"/>
      <c r="XD19" s="85"/>
      <c r="XE19" s="85"/>
      <c r="XF19" s="85"/>
      <c r="XG19" s="85"/>
      <c r="XH19" s="85"/>
      <c r="XI19" s="85"/>
      <c r="XJ19" s="85"/>
      <c r="XK19" s="85"/>
      <c r="XL19" s="85"/>
      <c r="XM19" s="85"/>
      <c r="XN19" s="85"/>
      <c r="XO19" s="85"/>
      <c r="XP19" s="85"/>
      <c r="XQ19" s="85"/>
      <c r="XR19" s="85"/>
      <c r="XS19" s="85"/>
      <c r="XT19" s="85"/>
      <c r="XU19" s="85"/>
      <c r="XV19" s="85"/>
      <c r="XW19" s="85"/>
    </row>
    <row r="20" spans="1:647" s="30" customFormat="1" ht="14.25" customHeight="1">
      <c r="A20" s="88"/>
      <c r="B20" s="89"/>
      <c r="C20" s="92"/>
      <c r="D20" s="92"/>
      <c r="E20" s="94"/>
      <c r="F20" s="92"/>
      <c r="G20" s="92"/>
      <c r="H20" s="92"/>
      <c r="I20" s="274"/>
      <c r="J20" s="279"/>
      <c r="K20" s="283"/>
      <c r="L20" s="347"/>
      <c r="M20" s="159"/>
      <c r="N20" s="159"/>
      <c r="O20" s="159"/>
      <c r="P20" s="159"/>
      <c r="Q20" s="175"/>
      <c r="R20" s="91"/>
      <c r="S20" s="156"/>
      <c r="T20" s="92"/>
      <c r="U20" s="95"/>
      <c r="V20" s="92"/>
      <c r="W20" s="92"/>
      <c r="X20" s="92"/>
      <c r="Y20" s="168"/>
      <c r="Z20" s="168"/>
      <c r="AA20" s="161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85"/>
      <c r="BU20" s="85"/>
      <c r="BV20" s="85"/>
      <c r="BW20" s="85"/>
      <c r="BX20" s="85"/>
      <c r="BY20" s="85"/>
      <c r="BZ20" s="85"/>
      <c r="CA20" s="85"/>
      <c r="CB20" s="85"/>
      <c r="CC20" s="85"/>
      <c r="CD20" s="85"/>
      <c r="CE20" s="85"/>
      <c r="CF20" s="85"/>
      <c r="CG20" s="85"/>
      <c r="CH20" s="85"/>
      <c r="CI20" s="85"/>
      <c r="CJ20" s="85"/>
      <c r="CK20" s="85"/>
      <c r="CL20" s="85"/>
      <c r="CM20" s="85"/>
      <c r="CN20" s="85"/>
      <c r="CO20" s="85"/>
      <c r="CP20" s="85"/>
      <c r="CQ20" s="85"/>
      <c r="CR20" s="85"/>
      <c r="CS20" s="85"/>
      <c r="CT20" s="85"/>
      <c r="CU20" s="85"/>
      <c r="CV20" s="85"/>
      <c r="CW20" s="85"/>
      <c r="CX20" s="85"/>
      <c r="CY20" s="85"/>
      <c r="CZ20" s="85"/>
      <c r="DA20" s="85"/>
      <c r="DB20" s="85"/>
      <c r="DC20" s="85"/>
      <c r="DD20" s="85"/>
      <c r="DE20" s="85"/>
      <c r="DF20" s="85"/>
      <c r="DG20" s="85"/>
      <c r="DH20" s="85"/>
      <c r="DI20" s="85"/>
      <c r="DJ20" s="85"/>
      <c r="DK20" s="85"/>
      <c r="DL20" s="85"/>
      <c r="DM20" s="85"/>
      <c r="DN20" s="85"/>
      <c r="DO20" s="85"/>
      <c r="DP20" s="85"/>
      <c r="DQ20" s="85"/>
      <c r="DR20" s="85"/>
      <c r="DS20" s="85"/>
      <c r="DT20" s="85"/>
      <c r="DU20" s="85"/>
      <c r="DV20" s="85"/>
      <c r="DW20" s="85"/>
      <c r="DX20" s="85"/>
      <c r="DY20" s="85"/>
      <c r="DZ20" s="85"/>
      <c r="EA20" s="85"/>
      <c r="EB20" s="85"/>
      <c r="EC20" s="85"/>
      <c r="ED20" s="85"/>
      <c r="EE20" s="85"/>
      <c r="EF20" s="85"/>
      <c r="EG20" s="85"/>
      <c r="EH20" s="85"/>
      <c r="EI20" s="85"/>
      <c r="EJ20" s="85"/>
      <c r="EK20" s="85"/>
      <c r="EL20" s="85"/>
      <c r="EM20" s="85"/>
      <c r="EN20" s="85"/>
      <c r="EO20" s="85"/>
      <c r="EP20" s="85"/>
      <c r="EQ20" s="85"/>
      <c r="ER20" s="85"/>
      <c r="ES20" s="85"/>
      <c r="ET20" s="85"/>
      <c r="EU20" s="85"/>
      <c r="EV20" s="85"/>
      <c r="EW20" s="85"/>
      <c r="EX20" s="85"/>
      <c r="EY20" s="85"/>
      <c r="EZ20" s="85"/>
      <c r="FA20" s="85"/>
      <c r="FB20" s="85"/>
      <c r="FC20" s="85"/>
      <c r="FD20" s="85"/>
      <c r="FE20" s="85"/>
      <c r="FF20" s="85"/>
      <c r="FG20" s="85"/>
      <c r="FH20" s="85"/>
      <c r="FI20" s="85"/>
      <c r="FJ20" s="85"/>
      <c r="FK20" s="85"/>
      <c r="FL20" s="85"/>
      <c r="FM20" s="85"/>
      <c r="FN20" s="85"/>
      <c r="FO20" s="85"/>
      <c r="FP20" s="85"/>
      <c r="FQ20" s="85"/>
      <c r="FR20" s="85"/>
      <c r="FS20" s="85"/>
      <c r="FT20" s="85"/>
      <c r="FU20" s="85"/>
      <c r="FV20" s="85"/>
      <c r="FW20" s="85"/>
      <c r="FX20" s="85"/>
      <c r="FY20" s="85"/>
      <c r="FZ20" s="85"/>
      <c r="GA20" s="85"/>
      <c r="GB20" s="85"/>
      <c r="GC20" s="85"/>
      <c r="GD20" s="85"/>
      <c r="GE20" s="85"/>
      <c r="GF20" s="85"/>
      <c r="GG20" s="85"/>
      <c r="GH20" s="85"/>
      <c r="GI20" s="85"/>
      <c r="GJ20" s="85"/>
      <c r="GK20" s="85"/>
      <c r="GL20" s="85"/>
      <c r="GM20" s="85"/>
      <c r="GN20" s="85"/>
      <c r="GO20" s="85"/>
      <c r="GP20" s="85"/>
      <c r="GQ20" s="85"/>
      <c r="GR20" s="85"/>
      <c r="GS20" s="85"/>
      <c r="GT20" s="85"/>
      <c r="GU20" s="85"/>
      <c r="GV20" s="85"/>
      <c r="GW20" s="85"/>
      <c r="GX20" s="85"/>
      <c r="GY20" s="85"/>
      <c r="GZ20" s="85"/>
      <c r="HA20" s="85"/>
      <c r="HB20" s="85"/>
      <c r="HC20" s="85"/>
      <c r="HD20" s="85"/>
      <c r="HE20" s="85"/>
      <c r="HF20" s="85"/>
      <c r="HG20" s="85"/>
      <c r="HH20" s="85"/>
      <c r="HI20" s="85"/>
      <c r="HJ20" s="85"/>
      <c r="HK20" s="85"/>
      <c r="HL20" s="85"/>
      <c r="HM20" s="85"/>
      <c r="HN20" s="85"/>
      <c r="HO20" s="85"/>
      <c r="HP20" s="85"/>
      <c r="HQ20" s="85"/>
      <c r="HR20" s="85"/>
      <c r="HS20" s="85"/>
      <c r="HT20" s="85"/>
      <c r="HU20" s="85"/>
      <c r="HV20" s="85"/>
      <c r="HW20" s="85"/>
      <c r="HX20" s="85"/>
      <c r="HY20" s="85"/>
      <c r="HZ20" s="85"/>
      <c r="IA20" s="85"/>
      <c r="IB20" s="85"/>
      <c r="IC20" s="85"/>
      <c r="ID20" s="85"/>
      <c r="IE20" s="85"/>
      <c r="IF20" s="85"/>
      <c r="IG20" s="85"/>
      <c r="IH20" s="85"/>
      <c r="II20" s="85"/>
      <c r="IJ20" s="85"/>
      <c r="IK20" s="85"/>
      <c r="IL20" s="85"/>
      <c r="IM20" s="85"/>
      <c r="IN20" s="85"/>
      <c r="IO20" s="85"/>
      <c r="IP20" s="85"/>
      <c r="IQ20" s="85"/>
      <c r="IR20" s="85"/>
      <c r="IS20" s="85"/>
      <c r="IT20" s="85"/>
      <c r="IU20" s="85"/>
      <c r="IV20" s="85"/>
      <c r="IW20" s="85"/>
      <c r="IX20" s="85"/>
      <c r="IY20" s="85"/>
      <c r="IZ20" s="85"/>
      <c r="JA20" s="85"/>
      <c r="JB20" s="85"/>
      <c r="JC20" s="85"/>
      <c r="JD20" s="85"/>
      <c r="JE20" s="85"/>
      <c r="JF20" s="85"/>
      <c r="JG20" s="85"/>
      <c r="JH20" s="85"/>
      <c r="JI20" s="85"/>
      <c r="JJ20" s="85"/>
      <c r="JK20" s="85"/>
      <c r="JL20" s="85"/>
      <c r="JM20" s="85"/>
      <c r="JN20" s="85"/>
      <c r="JO20" s="85"/>
      <c r="JP20" s="85"/>
      <c r="JQ20" s="85"/>
      <c r="JR20" s="85"/>
      <c r="JS20" s="85"/>
      <c r="JT20" s="85"/>
      <c r="JU20" s="85"/>
      <c r="JV20" s="85"/>
      <c r="JW20" s="85"/>
      <c r="JX20" s="85"/>
      <c r="JY20" s="85"/>
      <c r="JZ20" s="85"/>
      <c r="KA20" s="85"/>
      <c r="KB20" s="85"/>
      <c r="KC20" s="85"/>
      <c r="KD20" s="85"/>
      <c r="KE20" s="85"/>
      <c r="KF20" s="85"/>
      <c r="KG20" s="85"/>
      <c r="KH20" s="85"/>
      <c r="KI20" s="85"/>
      <c r="KJ20" s="85"/>
      <c r="KK20" s="85"/>
      <c r="KL20" s="85"/>
      <c r="KM20" s="85"/>
      <c r="KN20" s="85"/>
      <c r="KO20" s="85"/>
      <c r="KP20" s="85"/>
      <c r="KQ20" s="85"/>
      <c r="KR20" s="85"/>
      <c r="KS20" s="85"/>
      <c r="KT20" s="85"/>
      <c r="KU20" s="85"/>
      <c r="KV20" s="85"/>
      <c r="KW20" s="85"/>
      <c r="KX20" s="85"/>
      <c r="KY20" s="85"/>
      <c r="KZ20" s="85"/>
      <c r="LA20" s="85"/>
      <c r="LB20" s="85"/>
      <c r="LC20" s="85"/>
      <c r="LD20" s="85"/>
      <c r="LE20" s="85"/>
      <c r="LF20" s="85"/>
      <c r="LG20" s="85"/>
      <c r="LH20" s="85"/>
      <c r="LI20" s="85"/>
      <c r="LJ20" s="85"/>
      <c r="LK20" s="85"/>
      <c r="LL20" s="85"/>
      <c r="LM20" s="85"/>
      <c r="LN20" s="85"/>
      <c r="LO20" s="85"/>
      <c r="LP20" s="85"/>
      <c r="LQ20" s="85"/>
      <c r="LR20" s="85"/>
      <c r="LS20" s="85"/>
      <c r="LT20" s="85"/>
      <c r="LU20" s="85"/>
      <c r="LV20" s="85"/>
      <c r="LW20" s="85"/>
      <c r="LX20" s="85"/>
      <c r="LY20" s="85"/>
      <c r="LZ20" s="85"/>
      <c r="MA20" s="85"/>
      <c r="MB20" s="85"/>
      <c r="MC20" s="85"/>
      <c r="MD20" s="85"/>
      <c r="ME20" s="85"/>
      <c r="MF20" s="85"/>
      <c r="MG20" s="85"/>
      <c r="MH20" s="85"/>
      <c r="MI20" s="85"/>
      <c r="MJ20" s="85"/>
      <c r="MK20" s="85"/>
      <c r="ML20" s="85"/>
      <c r="MM20" s="85"/>
      <c r="MN20" s="85"/>
      <c r="MO20" s="85"/>
      <c r="MP20" s="85"/>
      <c r="MQ20" s="85"/>
      <c r="MR20" s="85"/>
      <c r="MS20" s="85"/>
      <c r="MT20" s="85"/>
      <c r="MU20" s="85"/>
      <c r="MV20" s="85"/>
      <c r="MW20" s="85"/>
      <c r="MX20" s="85"/>
      <c r="MY20" s="85"/>
      <c r="MZ20" s="85"/>
      <c r="NA20" s="85"/>
      <c r="NB20" s="85"/>
      <c r="NC20" s="85"/>
      <c r="ND20" s="85"/>
      <c r="NE20" s="85"/>
      <c r="NF20" s="85"/>
      <c r="NG20" s="85"/>
      <c r="NH20" s="85"/>
      <c r="NI20" s="85"/>
      <c r="NJ20" s="85"/>
      <c r="NK20" s="85"/>
      <c r="NL20" s="85"/>
      <c r="NM20" s="85"/>
      <c r="NN20" s="85"/>
      <c r="NO20" s="85"/>
      <c r="NP20" s="85"/>
      <c r="NQ20" s="85"/>
      <c r="NR20" s="85"/>
      <c r="NS20" s="85"/>
      <c r="NT20" s="85"/>
      <c r="NU20" s="85"/>
      <c r="NV20" s="85"/>
      <c r="NW20" s="85"/>
      <c r="NX20" s="85"/>
      <c r="NY20" s="85"/>
      <c r="NZ20" s="85"/>
      <c r="OA20" s="85"/>
      <c r="OB20" s="85"/>
      <c r="OC20" s="85"/>
      <c r="OD20" s="85"/>
      <c r="OE20" s="85"/>
      <c r="OF20" s="85"/>
      <c r="OG20" s="85"/>
      <c r="OH20" s="85"/>
      <c r="OI20" s="85"/>
      <c r="OJ20" s="85"/>
      <c r="OK20" s="85"/>
      <c r="OL20" s="85"/>
      <c r="OM20" s="85"/>
      <c r="ON20" s="85"/>
      <c r="OO20" s="85"/>
      <c r="OP20" s="85"/>
      <c r="OQ20" s="85"/>
      <c r="OR20" s="85"/>
      <c r="OS20" s="85"/>
      <c r="OT20" s="85"/>
      <c r="OU20" s="85"/>
      <c r="OV20" s="85"/>
      <c r="OW20" s="85"/>
      <c r="OX20" s="85"/>
      <c r="OY20" s="85"/>
      <c r="OZ20" s="85"/>
      <c r="PA20" s="85"/>
      <c r="PB20" s="85"/>
      <c r="PC20" s="85"/>
      <c r="PD20" s="85"/>
      <c r="PE20" s="85"/>
      <c r="PF20" s="85"/>
      <c r="PG20" s="85"/>
      <c r="PH20" s="85"/>
      <c r="PI20" s="85"/>
      <c r="PJ20" s="85"/>
      <c r="PK20" s="85"/>
      <c r="PL20" s="85"/>
      <c r="PM20" s="85"/>
      <c r="PN20" s="85"/>
      <c r="PO20" s="85"/>
      <c r="PP20" s="85"/>
      <c r="PQ20" s="85"/>
      <c r="PR20" s="85"/>
      <c r="PS20" s="85"/>
      <c r="PT20" s="85"/>
      <c r="PU20" s="85"/>
      <c r="PV20" s="85"/>
      <c r="PW20" s="85"/>
      <c r="PX20" s="85"/>
      <c r="PY20" s="85"/>
      <c r="PZ20" s="85"/>
      <c r="QA20" s="85"/>
      <c r="QB20" s="85"/>
      <c r="QC20" s="85"/>
      <c r="QD20" s="85"/>
      <c r="QE20" s="85"/>
      <c r="QF20" s="85"/>
      <c r="QG20" s="85"/>
      <c r="QH20" s="85"/>
      <c r="QI20" s="85"/>
      <c r="QJ20" s="85"/>
      <c r="QK20" s="85"/>
      <c r="QL20" s="85"/>
      <c r="QM20" s="85"/>
      <c r="QN20" s="85"/>
      <c r="QO20" s="85"/>
      <c r="QP20" s="85"/>
      <c r="QQ20" s="85"/>
      <c r="QR20" s="85"/>
      <c r="QS20" s="85"/>
      <c r="QT20" s="85"/>
      <c r="QU20" s="85"/>
      <c r="QV20" s="85"/>
      <c r="QW20" s="85"/>
      <c r="QX20" s="85"/>
      <c r="QY20" s="85"/>
      <c r="QZ20" s="85"/>
      <c r="RA20" s="85"/>
      <c r="RB20" s="85"/>
      <c r="RC20" s="85"/>
      <c r="RD20" s="85"/>
      <c r="RE20" s="85"/>
      <c r="RF20" s="85"/>
      <c r="RG20" s="85"/>
      <c r="RH20" s="85"/>
      <c r="RI20" s="85"/>
      <c r="RJ20" s="85"/>
      <c r="RK20" s="85"/>
      <c r="RL20" s="85"/>
      <c r="RM20" s="85"/>
      <c r="RN20" s="85"/>
      <c r="RO20" s="85"/>
      <c r="RP20" s="85"/>
      <c r="RQ20" s="85"/>
      <c r="RR20" s="85"/>
      <c r="RS20" s="85"/>
      <c r="RT20" s="85"/>
      <c r="RU20" s="85"/>
      <c r="RV20" s="85"/>
      <c r="RW20" s="85"/>
      <c r="RX20" s="85"/>
      <c r="RY20" s="85"/>
      <c r="RZ20" s="85"/>
      <c r="SA20" s="85"/>
      <c r="SB20" s="85"/>
      <c r="SC20" s="85"/>
      <c r="SD20" s="85"/>
      <c r="SE20" s="85"/>
      <c r="SF20" s="85"/>
      <c r="SG20" s="85"/>
      <c r="SH20" s="85"/>
      <c r="SI20" s="85"/>
      <c r="SJ20" s="85"/>
      <c r="SK20" s="85"/>
      <c r="SL20" s="85"/>
      <c r="SM20" s="85"/>
      <c r="SN20" s="85"/>
      <c r="SO20" s="85"/>
      <c r="SP20" s="85"/>
      <c r="SQ20" s="85"/>
      <c r="SR20" s="85"/>
      <c r="SS20" s="85"/>
      <c r="ST20" s="85"/>
      <c r="SU20" s="85"/>
      <c r="SV20" s="85"/>
      <c r="SW20" s="85"/>
      <c r="SX20" s="85"/>
      <c r="SY20" s="85"/>
      <c r="SZ20" s="85"/>
      <c r="TA20" s="85"/>
      <c r="TB20" s="85"/>
      <c r="TC20" s="85"/>
      <c r="TD20" s="85"/>
      <c r="TE20" s="85"/>
      <c r="TF20" s="85"/>
      <c r="TG20" s="85"/>
      <c r="TH20" s="85"/>
      <c r="TI20" s="85"/>
      <c r="TJ20" s="85"/>
      <c r="TK20" s="85"/>
      <c r="TL20" s="85"/>
      <c r="TM20" s="85"/>
      <c r="TN20" s="85"/>
      <c r="TO20" s="85"/>
      <c r="TP20" s="85"/>
      <c r="TQ20" s="85"/>
      <c r="TR20" s="85"/>
      <c r="TS20" s="85"/>
      <c r="TT20" s="85"/>
      <c r="TU20" s="85"/>
      <c r="TV20" s="85"/>
      <c r="TW20" s="85"/>
      <c r="TX20" s="85"/>
      <c r="TY20" s="85"/>
      <c r="TZ20" s="85"/>
      <c r="UA20" s="85"/>
      <c r="UB20" s="85"/>
      <c r="UC20" s="85"/>
      <c r="UD20" s="85"/>
      <c r="UE20" s="85"/>
      <c r="UF20" s="85"/>
      <c r="UG20" s="85"/>
      <c r="UH20" s="85"/>
      <c r="UI20" s="85"/>
      <c r="UJ20" s="85"/>
      <c r="UK20" s="85"/>
      <c r="UL20" s="85"/>
      <c r="UM20" s="85"/>
      <c r="UN20" s="85"/>
      <c r="UO20" s="85"/>
      <c r="UP20" s="85"/>
      <c r="UQ20" s="85"/>
      <c r="UR20" s="85"/>
      <c r="US20" s="85"/>
      <c r="UT20" s="85"/>
      <c r="UU20" s="85"/>
      <c r="UV20" s="85"/>
      <c r="UW20" s="85"/>
      <c r="UX20" s="85"/>
      <c r="UY20" s="85"/>
      <c r="UZ20" s="85"/>
      <c r="VA20" s="85"/>
      <c r="VB20" s="85"/>
      <c r="VC20" s="85"/>
      <c r="VD20" s="85"/>
      <c r="VE20" s="85"/>
      <c r="VF20" s="85"/>
      <c r="VG20" s="85"/>
      <c r="VH20" s="85"/>
      <c r="VI20" s="85"/>
      <c r="VJ20" s="85"/>
      <c r="VK20" s="85"/>
      <c r="VL20" s="85"/>
      <c r="VM20" s="85"/>
      <c r="VN20" s="85"/>
      <c r="VO20" s="85"/>
      <c r="VP20" s="85"/>
      <c r="VQ20" s="85"/>
      <c r="VR20" s="85"/>
      <c r="VS20" s="85"/>
      <c r="VT20" s="85"/>
      <c r="VU20" s="85"/>
      <c r="VV20" s="85"/>
      <c r="VW20" s="85"/>
      <c r="VX20" s="85"/>
      <c r="VY20" s="85"/>
      <c r="VZ20" s="85"/>
      <c r="WA20" s="85"/>
      <c r="WB20" s="85"/>
      <c r="WC20" s="85"/>
      <c r="WD20" s="85"/>
      <c r="WE20" s="85"/>
      <c r="WF20" s="85"/>
      <c r="WG20" s="85"/>
      <c r="WH20" s="85"/>
      <c r="WI20" s="85"/>
      <c r="WJ20" s="85"/>
      <c r="WK20" s="85"/>
      <c r="WL20" s="85"/>
      <c r="WM20" s="85"/>
      <c r="WN20" s="85"/>
      <c r="WO20" s="85"/>
      <c r="WP20" s="85"/>
      <c r="WQ20" s="85"/>
      <c r="WR20" s="85"/>
      <c r="WS20" s="85"/>
      <c r="WT20" s="85"/>
      <c r="WU20" s="85"/>
      <c r="WV20" s="85"/>
      <c r="WW20" s="85"/>
      <c r="WX20" s="85"/>
      <c r="WY20" s="85"/>
      <c r="WZ20" s="85"/>
      <c r="XA20" s="85"/>
      <c r="XB20" s="85"/>
      <c r="XC20" s="85"/>
      <c r="XD20" s="85"/>
      <c r="XE20" s="85"/>
      <c r="XF20" s="85"/>
      <c r="XG20" s="85"/>
      <c r="XH20" s="85"/>
      <c r="XI20" s="85"/>
      <c r="XJ20" s="85"/>
      <c r="XK20" s="85"/>
      <c r="XL20" s="85"/>
      <c r="XM20" s="85"/>
      <c r="XN20" s="85"/>
      <c r="XO20" s="85"/>
      <c r="XP20" s="85"/>
      <c r="XQ20" s="85"/>
      <c r="XR20" s="85"/>
      <c r="XS20" s="85"/>
      <c r="XT20" s="85"/>
      <c r="XU20" s="85"/>
      <c r="XV20" s="85"/>
      <c r="XW20" s="85"/>
    </row>
    <row r="21" spans="1:647" s="30" customFormat="1" ht="14.25" customHeight="1">
      <c r="A21" s="88"/>
      <c r="B21" s="89"/>
      <c r="C21" s="92"/>
      <c r="D21" s="92"/>
      <c r="E21" s="94"/>
      <c r="F21" s="92"/>
      <c r="G21" s="92"/>
      <c r="H21" s="92"/>
      <c r="I21" s="274"/>
      <c r="J21" s="279"/>
      <c r="K21" s="283"/>
      <c r="L21" s="347"/>
      <c r="M21" s="159"/>
      <c r="N21" s="159"/>
      <c r="O21" s="159"/>
      <c r="P21" s="159"/>
      <c r="Q21" s="175"/>
      <c r="R21" s="91"/>
      <c r="S21" s="156"/>
      <c r="T21" s="92"/>
      <c r="U21" s="95"/>
      <c r="V21" s="92"/>
      <c r="W21" s="92"/>
      <c r="X21" s="92"/>
      <c r="Y21" s="168"/>
      <c r="Z21" s="168"/>
      <c r="AA21" s="161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85"/>
      <c r="BU21" s="85"/>
      <c r="BV21" s="85"/>
      <c r="BW21" s="85"/>
      <c r="BX21" s="85"/>
      <c r="BY21" s="85"/>
      <c r="BZ21" s="85"/>
      <c r="CA21" s="85"/>
      <c r="CB21" s="85"/>
      <c r="CC21" s="85"/>
      <c r="CD21" s="85"/>
      <c r="CE21" s="85"/>
      <c r="CF21" s="85"/>
      <c r="CG21" s="85"/>
      <c r="CH21" s="85"/>
      <c r="CI21" s="85"/>
      <c r="CJ21" s="85"/>
      <c r="CK21" s="85"/>
      <c r="CL21" s="85"/>
      <c r="CM21" s="85"/>
      <c r="CN21" s="85"/>
      <c r="CO21" s="85"/>
      <c r="CP21" s="85"/>
      <c r="CQ21" s="85"/>
      <c r="CR21" s="85"/>
      <c r="CS21" s="85"/>
      <c r="CT21" s="85"/>
      <c r="CU21" s="85"/>
      <c r="CV21" s="85"/>
      <c r="CW21" s="85"/>
      <c r="CX21" s="85"/>
      <c r="CY21" s="85"/>
      <c r="CZ21" s="85"/>
      <c r="DA21" s="85"/>
      <c r="DB21" s="85"/>
      <c r="DC21" s="85"/>
      <c r="DD21" s="85"/>
      <c r="DE21" s="85"/>
      <c r="DF21" s="85"/>
      <c r="DG21" s="85"/>
      <c r="DH21" s="85"/>
      <c r="DI21" s="85"/>
      <c r="DJ21" s="85"/>
      <c r="DK21" s="85"/>
      <c r="DL21" s="85"/>
      <c r="DM21" s="85"/>
      <c r="DN21" s="85"/>
      <c r="DO21" s="85"/>
      <c r="DP21" s="85"/>
      <c r="DQ21" s="85"/>
      <c r="DR21" s="85"/>
      <c r="DS21" s="85"/>
      <c r="DT21" s="85"/>
      <c r="DU21" s="85"/>
      <c r="DV21" s="85"/>
      <c r="DW21" s="85"/>
      <c r="DX21" s="85"/>
      <c r="DY21" s="85"/>
      <c r="DZ21" s="85"/>
      <c r="EA21" s="85"/>
      <c r="EB21" s="85"/>
      <c r="EC21" s="85"/>
      <c r="ED21" s="85"/>
      <c r="EE21" s="85"/>
      <c r="EF21" s="85"/>
      <c r="EG21" s="85"/>
      <c r="EH21" s="85"/>
      <c r="EI21" s="85"/>
      <c r="EJ21" s="85"/>
      <c r="EK21" s="85"/>
      <c r="EL21" s="85"/>
      <c r="EM21" s="85"/>
      <c r="EN21" s="85"/>
      <c r="EO21" s="85"/>
      <c r="EP21" s="85"/>
      <c r="EQ21" s="85"/>
      <c r="ER21" s="85"/>
      <c r="ES21" s="85"/>
      <c r="ET21" s="85"/>
      <c r="EU21" s="85"/>
      <c r="EV21" s="85"/>
      <c r="EW21" s="85"/>
      <c r="EX21" s="85"/>
      <c r="EY21" s="85"/>
      <c r="EZ21" s="85"/>
      <c r="FA21" s="85"/>
      <c r="FB21" s="85"/>
      <c r="FC21" s="85"/>
      <c r="FD21" s="85"/>
      <c r="FE21" s="85"/>
      <c r="FF21" s="85"/>
      <c r="FG21" s="85"/>
      <c r="FH21" s="85"/>
      <c r="FI21" s="85"/>
      <c r="FJ21" s="85"/>
      <c r="FK21" s="85"/>
      <c r="FL21" s="85"/>
      <c r="FM21" s="85"/>
      <c r="FN21" s="85"/>
      <c r="FO21" s="85"/>
      <c r="FP21" s="85"/>
      <c r="FQ21" s="85"/>
      <c r="FR21" s="85"/>
      <c r="FS21" s="85"/>
      <c r="FT21" s="85"/>
      <c r="FU21" s="85"/>
      <c r="FV21" s="85"/>
      <c r="FW21" s="85"/>
      <c r="FX21" s="85"/>
      <c r="FY21" s="85"/>
      <c r="FZ21" s="85"/>
      <c r="GA21" s="85"/>
      <c r="GB21" s="85"/>
      <c r="GC21" s="85"/>
      <c r="GD21" s="85"/>
      <c r="GE21" s="85"/>
      <c r="GF21" s="85"/>
      <c r="GG21" s="85"/>
      <c r="GH21" s="85"/>
      <c r="GI21" s="85"/>
      <c r="GJ21" s="85"/>
      <c r="GK21" s="85"/>
      <c r="GL21" s="85"/>
      <c r="GM21" s="85"/>
      <c r="GN21" s="85"/>
      <c r="GO21" s="85"/>
      <c r="GP21" s="85"/>
      <c r="GQ21" s="85"/>
      <c r="GR21" s="85"/>
      <c r="GS21" s="85"/>
      <c r="GT21" s="85"/>
      <c r="GU21" s="85"/>
      <c r="GV21" s="85"/>
      <c r="GW21" s="85"/>
      <c r="GX21" s="85"/>
      <c r="GY21" s="85"/>
      <c r="GZ21" s="85"/>
      <c r="HA21" s="85"/>
      <c r="HB21" s="85"/>
      <c r="HC21" s="85"/>
      <c r="HD21" s="85"/>
      <c r="HE21" s="85"/>
      <c r="HF21" s="85"/>
      <c r="HG21" s="85"/>
      <c r="HH21" s="85"/>
      <c r="HI21" s="85"/>
      <c r="HJ21" s="85"/>
      <c r="HK21" s="85"/>
      <c r="HL21" s="85"/>
      <c r="HM21" s="85"/>
      <c r="HN21" s="85"/>
      <c r="HO21" s="85"/>
      <c r="HP21" s="85"/>
      <c r="HQ21" s="85"/>
      <c r="HR21" s="85"/>
      <c r="HS21" s="85"/>
      <c r="HT21" s="85"/>
      <c r="HU21" s="85"/>
      <c r="HV21" s="85"/>
      <c r="HW21" s="85"/>
      <c r="HX21" s="85"/>
      <c r="HY21" s="85"/>
      <c r="HZ21" s="85"/>
      <c r="IA21" s="85"/>
      <c r="IB21" s="85"/>
      <c r="IC21" s="85"/>
      <c r="ID21" s="85"/>
      <c r="IE21" s="85"/>
      <c r="IF21" s="85"/>
      <c r="IG21" s="85"/>
      <c r="IH21" s="85"/>
      <c r="II21" s="85"/>
      <c r="IJ21" s="85"/>
      <c r="IK21" s="85"/>
      <c r="IL21" s="85"/>
      <c r="IM21" s="85"/>
      <c r="IN21" s="85"/>
      <c r="IO21" s="85"/>
      <c r="IP21" s="85"/>
      <c r="IQ21" s="85"/>
      <c r="IR21" s="85"/>
      <c r="IS21" s="85"/>
      <c r="IT21" s="85"/>
      <c r="IU21" s="85"/>
      <c r="IV21" s="85"/>
      <c r="IW21" s="85"/>
      <c r="IX21" s="85"/>
      <c r="IY21" s="85"/>
      <c r="IZ21" s="85"/>
      <c r="JA21" s="85"/>
      <c r="JB21" s="85"/>
      <c r="JC21" s="85"/>
      <c r="JD21" s="85"/>
      <c r="JE21" s="85"/>
      <c r="JF21" s="85"/>
      <c r="JG21" s="85"/>
      <c r="JH21" s="85"/>
      <c r="JI21" s="85"/>
      <c r="JJ21" s="85"/>
      <c r="JK21" s="85"/>
      <c r="JL21" s="85"/>
      <c r="JM21" s="85"/>
      <c r="JN21" s="85"/>
      <c r="JO21" s="85"/>
      <c r="JP21" s="85"/>
      <c r="JQ21" s="85"/>
      <c r="JR21" s="85"/>
      <c r="JS21" s="85"/>
      <c r="JT21" s="85"/>
      <c r="JU21" s="85"/>
      <c r="JV21" s="85"/>
      <c r="JW21" s="85"/>
      <c r="JX21" s="85"/>
      <c r="JY21" s="85"/>
      <c r="JZ21" s="85"/>
      <c r="KA21" s="85"/>
      <c r="KB21" s="85"/>
      <c r="KC21" s="85"/>
      <c r="KD21" s="85"/>
      <c r="KE21" s="85"/>
      <c r="KF21" s="85"/>
      <c r="KG21" s="85"/>
      <c r="KH21" s="85"/>
      <c r="KI21" s="85"/>
      <c r="KJ21" s="85"/>
      <c r="KK21" s="85"/>
      <c r="KL21" s="85"/>
      <c r="KM21" s="85"/>
      <c r="KN21" s="85"/>
      <c r="KO21" s="85"/>
      <c r="KP21" s="85"/>
      <c r="KQ21" s="85"/>
      <c r="KR21" s="85"/>
      <c r="KS21" s="85"/>
      <c r="KT21" s="85"/>
      <c r="KU21" s="85"/>
      <c r="KV21" s="85"/>
      <c r="KW21" s="85"/>
      <c r="KX21" s="85"/>
      <c r="KY21" s="85"/>
      <c r="KZ21" s="85"/>
      <c r="LA21" s="85"/>
      <c r="LB21" s="85"/>
      <c r="LC21" s="85"/>
      <c r="LD21" s="85"/>
      <c r="LE21" s="85"/>
      <c r="LF21" s="85"/>
      <c r="LG21" s="85"/>
      <c r="LH21" s="85"/>
      <c r="LI21" s="85"/>
      <c r="LJ21" s="85"/>
      <c r="LK21" s="85"/>
      <c r="LL21" s="85"/>
      <c r="LM21" s="85"/>
      <c r="LN21" s="85"/>
      <c r="LO21" s="85"/>
      <c r="LP21" s="85"/>
      <c r="LQ21" s="85"/>
      <c r="LR21" s="85"/>
      <c r="LS21" s="85"/>
      <c r="LT21" s="85"/>
      <c r="LU21" s="85"/>
      <c r="LV21" s="85"/>
      <c r="LW21" s="85"/>
      <c r="LX21" s="85"/>
      <c r="LY21" s="85"/>
      <c r="LZ21" s="85"/>
      <c r="MA21" s="85"/>
      <c r="MB21" s="85"/>
      <c r="MC21" s="85"/>
      <c r="MD21" s="85"/>
      <c r="ME21" s="85"/>
      <c r="MF21" s="85"/>
      <c r="MG21" s="85"/>
      <c r="MH21" s="85"/>
      <c r="MI21" s="85"/>
      <c r="MJ21" s="85"/>
      <c r="MK21" s="85"/>
      <c r="ML21" s="85"/>
      <c r="MM21" s="85"/>
      <c r="MN21" s="85"/>
      <c r="MO21" s="85"/>
      <c r="MP21" s="85"/>
      <c r="MQ21" s="85"/>
      <c r="MR21" s="85"/>
      <c r="MS21" s="85"/>
      <c r="MT21" s="85"/>
      <c r="MU21" s="85"/>
      <c r="MV21" s="85"/>
      <c r="MW21" s="85"/>
      <c r="MX21" s="85"/>
      <c r="MY21" s="85"/>
      <c r="MZ21" s="85"/>
      <c r="NA21" s="85"/>
      <c r="NB21" s="85"/>
      <c r="NC21" s="85"/>
      <c r="ND21" s="85"/>
      <c r="NE21" s="85"/>
      <c r="NF21" s="85"/>
      <c r="NG21" s="85"/>
      <c r="NH21" s="85"/>
      <c r="NI21" s="85"/>
      <c r="NJ21" s="85"/>
      <c r="NK21" s="85"/>
      <c r="NL21" s="85"/>
      <c r="NM21" s="85"/>
      <c r="NN21" s="85"/>
      <c r="NO21" s="85"/>
      <c r="NP21" s="85"/>
      <c r="NQ21" s="85"/>
      <c r="NR21" s="85"/>
      <c r="NS21" s="85"/>
      <c r="NT21" s="85"/>
      <c r="NU21" s="85"/>
      <c r="NV21" s="85"/>
      <c r="NW21" s="85"/>
      <c r="NX21" s="85"/>
      <c r="NY21" s="85"/>
      <c r="NZ21" s="85"/>
      <c r="OA21" s="85"/>
      <c r="OB21" s="85"/>
      <c r="OC21" s="85"/>
      <c r="OD21" s="85"/>
      <c r="OE21" s="85"/>
      <c r="OF21" s="85"/>
      <c r="OG21" s="85"/>
      <c r="OH21" s="85"/>
      <c r="OI21" s="85"/>
      <c r="OJ21" s="85"/>
      <c r="OK21" s="85"/>
      <c r="OL21" s="85"/>
      <c r="OM21" s="85"/>
      <c r="ON21" s="85"/>
      <c r="OO21" s="85"/>
      <c r="OP21" s="85"/>
      <c r="OQ21" s="85"/>
      <c r="OR21" s="85"/>
      <c r="OS21" s="85"/>
      <c r="OT21" s="85"/>
      <c r="OU21" s="85"/>
      <c r="OV21" s="85"/>
      <c r="OW21" s="85"/>
      <c r="OX21" s="85"/>
      <c r="OY21" s="85"/>
      <c r="OZ21" s="85"/>
      <c r="PA21" s="85"/>
      <c r="PB21" s="85"/>
      <c r="PC21" s="85"/>
      <c r="PD21" s="85"/>
      <c r="PE21" s="85"/>
      <c r="PF21" s="85"/>
      <c r="PG21" s="85"/>
      <c r="PH21" s="85"/>
      <c r="PI21" s="85"/>
      <c r="PJ21" s="85"/>
      <c r="PK21" s="85"/>
      <c r="PL21" s="85"/>
      <c r="PM21" s="85"/>
      <c r="PN21" s="85"/>
      <c r="PO21" s="85"/>
      <c r="PP21" s="85"/>
      <c r="PQ21" s="85"/>
      <c r="PR21" s="85"/>
      <c r="PS21" s="85"/>
      <c r="PT21" s="85"/>
      <c r="PU21" s="85"/>
      <c r="PV21" s="85"/>
      <c r="PW21" s="85"/>
      <c r="PX21" s="85"/>
      <c r="PY21" s="85"/>
      <c r="PZ21" s="85"/>
      <c r="QA21" s="85"/>
      <c r="QB21" s="85"/>
      <c r="QC21" s="85"/>
      <c r="QD21" s="85"/>
      <c r="QE21" s="85"/>
      <c r="QF21" s="85"/>
      <c r="QG21" s="85"/>
      <c r="QH21" s="85"/>
      <c r="QI21" s="85"/>
      <c r="QJ21" s="85"/>
      <c r="QK21" s="85"/>
      <c r="QL21" s="85"/>
      <c r="QM21" s="85"/>
      <c r="QN21" s="85"/>
      <c r="QO21" s="85"/>
      <c r="QP21" s="85"/>
      <c r="QQ21" s="85"/>
      <c r="QR21" s="85"/>
      <c r="QS21" s="85"/>
      <c r="QT21" s="85"/>
      <c r="QU21" s="85"/>
      <c r="QV21" s="85"/>
      <c r="QW21" s="85"/>
      <c r="QX21" s="85"/>
      <c r="QY21" s="85"/>
      <c r="QZ21" s="85"/>
      <c r="RA21" s="85"/>
      <c r="RB21" s="85"/>
      <c r="RC21" s="85"/>
      <c r="RD21" s="85"/>
      <c r="RE21" s="85"/>
      <c r="RF21" s="85"/>
      <c r="RG21" s="85"/>
      <c r="RH21" s="85"/>
      <c r="RI21" s="85"/>
      <c r="RJ21" s="85"/>
      <c r="RK21" s="85"/>
      <c r="RL21" s="85"/>
      <c r="RM21" s="85"/>
      <c r="RN21" s="85"/>
      <c r="RO21" s="85"/>
      <c r="RP21" s="85"/>
      <c r="RQ21" s="85"/>
      <c r="RR21" s="85"/>
      <c r="RS21" s="85"/>
      <c r="RT21" s="85"/>
      <c r="RU21" s="85"/>
      <c r="RV21" s="85"/>
      <c r="RW21" s="85"/>
      <c r="RX21" s="85"/>
      <c r="RY21" s="85"/>
      <c r="RZ21" s="85"/>
      <c r="SA21" s="85"/>
      <c r="SB21" s="85"/>
      <c r="SC21" s="85"/>
      <c r="SD21" s="85"/>
      <c r="SE21" s="85"/>
      <c r="SF21" s="85"/>
      <c r="SG21" s="85"/>
      <c r="SH21" s="85"/>
      <c r="SI21" s="85"/>
      <c r="SJ21" s="85"/>
      <c r="SK21" s="85"/>
      <c r="SL21" s="85"/>
      <c r="SM21" s="85"/>
      <c r="SN21" s="85"/>
      <c r="SO21" s="85"/>
      <c r="SP21" s="85"/>
      <c r="SQ21" s="85"/>
      <c r="SR21" s="85"/>
      <c r="SS21" s="85"/>
      <c r="ST21" s="85"/>
      <c r="SU21" s="85"/>
      <c r="SV21" s="85"/>
      <c r="SW21" s="85"/>
      <c r="SX21" s="85"/>
      <c r="SY21" s="85"/>
      <c r="SZ21" s="85"/>
      <c r="TA21" s="85"/>
      <c r="TB21" s="85"/>
      <c r="TC21" s="85"/>
      <c r="TD21" s="85"/>
      <c r="TE21" s="85"/>
      <c r="TF21" s="85"/>
      <c r="TG21" s="85"/>
      <c r="TH21" s="85"/>
      <c r="TI21" s="85"/>
      <c r="TJ21" s="85"/>
      <c r="TK21" s="85"/>
      <c r="TL21" s="85"/>
      <c r="TM21" s="85"/>
      <c r="TN21" s="85"/>
      <c r="TO21" s="85"/>
      <c r="TP21" s="85"/>
      <c r="TQ21" s="85"/>
      <c r="TR21" s="85"/>
      <c r="TS21" s="85"/>
      <c r="TT21" s="85"/>
      <c r="TU21" s="85"/>
      <c r="TV21" s="85"/>
      <c r="TW21" s="85"/>
      <c r="TX21" s="85"/>
      <c r="TY21" s="85"/>
      <c r="TZ21" s="85"/>
      <c r="UA21" s="85"/>
      <c r="UB21" s="85"/>
      <c r="UC21" s="85"/>
      <c r="UD21" s="85"/>
      <c r="UE21" s="85"/>
      <c r="UF21" s="85"/>
      <c r="UG21" s="85"/>
      <c r="UH21" s="85"/>
      <c r="UI21" s="85"/>
      <c r="UJ21" s="85"/>
      <c r="UK21" s="85"/>
      <c r="UL21" s="85"/>
      <c r="UM21" s="85"/>
      <c r="UN21" s="85"/>
      <c r="UO21" s="85"/>
      <c r="UP21" s="85"/>
      <c r="UQ21" s="85"/>
      <c r="UR21" s="85"/>
      <c r="US21" s="85"/>
      <c r="UT21" s="85"/>
      <c r="UU21" s="85"/>
      <c r="UV21" s="85"/>
      <c r="UW21" s="85"/>
      <c r="UX21" s="85"/>
      <c r="UY21" s="85"/>
      <c r="UZ21" s="85"/>
      <c r="VA21" s="85"/>
      <c r="VB21" s="85"/>
      <c r="VC21" s="85"/>
      <c r="VD21" s="85"/>
      <c r="VE21" s="85"/>
      <c r="VF21" s="85"/>
      <c r="VG21" s="85"/>
      <c r="VH21" s="85"/>
      <c r="VI21" s="85"/>
      <c r="VJ21" s="85"/>
      <c r="VK21" s="85"/>
      <c r="VL21" s="85"/>
      <c r="VM21" s="85"/>
      <c r="VN21" s="85"/>
      <c r="VO21" s="85"/>
      <c r="VP21" s="85"/>
      <c r="VQ21" s="85"/>
      <c r="VR21" s="85"/>
      <c r="VS21" s="85"/>
      <c r="VT21" s="85"/>
      <c r="VU21" s="85"/>
      <c r="VV21" s="85"/>
      <c r="VW21" s="85"/>
      <c r="VX21" s="85"/>
      <c r="VY21" s="85"/>
      <c r="VZ21" s="85"/>
      <c r="WA21" s="85"/>
      <c r="WB21" s="85"/>
      <c r="WC21" s="85"/>
      <c r="WD21" s="85"/>
      <c r="WE21" s="85"/>
      <c r="WF21" s="85"/>
      <c r="WG21" s="85"/>
      <c r="WH21" s="85"/>
      <c r="WI21" s="85"/>
      <c r="WJ21" s="85"/>
      <c r="WK21" s="85"/>
      <c r="WL21" s="85"/>
      <c r="WM21" s="85"/>
      <c r="WN21" s="85"/>
      <c r="WO21" s="85"/>
      <c r="WP21" s="85"/>
      <c r="WQ21" s="85"/>
      <c r="WR21" s="85"/>
      <c r="WS21" s="85"/>
      <c r="WT21" s="85"/>
      <c r="WU21" s="85"/>
      <c r="WV21" s="85"/>
      <c r="WW21" s="85"/>
      <c r="WX21" s="85"/>
      <c r="WY21" s="85"/>
      <c r="WZ21" s="85"/>
      <c r="XA21" s="85"/>
      <c r="XB21" s="85"/>
      <c r="XC21" s="85"/>
      <c r="XD21" s="85"/>
      <c r="XE21" s="85"/>
      <c r="XF21" s="85"/>
      <c r="XG21" s="85"/>
      <c r="XH21" s="85"/>
      <c r="XI21" s="85"/>
      <c r="XJ21" s="85"/>
      <c r="XK21" s="85"/>
      <c r="XL21" s="85"/>
      <c r="XM21" s="85"/>
      <c r="XN21" s="85"/>
      <c r="XO21" s="85"/>
      <c r="XP21" s="85"/>
      <c r="XQ21" s="85"/>
      <c r="XR21" s="85"/>
      <c r="XS21" s="85"/>
      <c r="XT21" s="85"/>
      <c r="XU21" s="85"/>
      <c r="XV21" s="85"/>
      <c r="XW21" s="85"/>
    </row>
    <row r="22" spans="1:647" s="30" customFormat="1" ht="14.25" customHeight="1">
      <c r="A22" s="88"/>
      <c r="B22" s="89"/>
      <c r="C22" s="92"/>
      <c r="D22" s="92"/>
      <c r="E22" s="94"/>
      <c r="F22" s="92"/>
      <c r="G22" s="92"/>
      <c r="H22" s="92"/>
      <c r="I22" s="274"/>
      <c r="J22" s="279"/>
      <c r="K22" s="283"/>
      <c r="L22" s="347"/>
      <c r="M22" s="159"/>
      <c r="N22" s="159"/>
      <c r="O22" s="159"/>
      <c r="P22" s="159"/>
      <c r="Q22" s="175"/>
      <c r="R22" s="91"/>
      <c r="S22" s="156"/>
      <c r="T22" s="92"/>
      <c r="U22" s="95"/>
      <c r="V22" s="92"/>
      <c r="W22" s="92"/>
      <c r="X22" s="92"/>
      <c r="Y22" s="168"/>
      <c r="Z22" s="168"/>
      <c r="AA22" s="161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85"/>
      <c r="BU22" s="85"/>
      <c r="BV22" s="85"/>
      <c r="BW22" s="85"/>
      <c r="BX22" s="85"/>
      <c r="BY22" s="85"/>
      <c r="BZ22" s="85"/>
      <c r="CA22" s="85"/>
      <c r="CB22" s="85"/>
      <c r="CC22" s="85"/>
      <c r="CD22" s="85"/>
      <c r="CE22" s="85"/>
      <c r="CF22" s="85"/>
      <c r="CG22" s="85"/>
      <c r="CH22" s="85"/>
      <c r="CI22" s="85"/>
      <c r="CJ22" s="85"/>
      <c r="CK22" s="85"/>
      <c r="CL22" s="85"/>
      <c r="CM22" s="85"/>
      <c r="CN22" s="85"/>
      <c r="CO22" s="85"/>
      <c r="CP22" s="85"/>
      <c r="CQ22" s="85"/>
      <c r="CR22" s="85"/>
      <c r="CS22" s="85"/>
      <c r="CT22" s="85"/>
      <c r="CU22" s="85"/>
      <c r="CV22" s="85"/>
      <c r="CW22" s="85"/>
      <c r="CX22" s="85"/>
      <c r="CY22" s="85"/>
      <c r="CZ22" s="85"/>
      <c r="DA22" s="85"/>
      <c r="DB22" s="85"/>
      <c r="DC22" s="85"/>
      <c r="DD22" s="85"/>
      <c r="DE22" s="85"/>
      <c r="DF22" s="85"/>
      <c r="DG22" s="85"/>
      <c r="DH22" s="85"/>
      <c r="DI22" s="85"/>
      <c r="DJ22" s="85"/>
      <c r="DK22" s="85"/>
      <c r="DL22" s="85"/>
      <c r="DM22" s="85"/>
      <c r="DN22" s="85"/>
      <c r="DO22" s="85"/>
      <c r="DP22" s="85"/>
      <c r="DQ22" s="85"/>
      <c r="DR22" s="85"/>
      <c r="DS22" s="85"/>
      <c r="DT22" s="85"/>
      <c r="DU22" s="85"/>
      <c r="DV22" s="85"/>
      <c r="DW22" s="85"/>
      <c r="DX22" s="85"/>
      <c r="DY22" s="85"/>
      <c r="DZ22" s="85"/>
      <c r="EA22" s="85"/>
      <c r="EB22" s="85"/>
      <c r="EC22" s="85"/>
      <c r="ED22" s="85"/>
      <c r="EE22" s="85"/>
      <c r="EF22" s="85"/>
      <c r="EG22" s="85"/>
      <c r="EH22" s="85"/>
      <c r="EI22" s="85"/>
      <c r="EJ22" s="85"/>
      <c r="EK22" s="85"/>
      <c r="EL22" s="85"/>
      <c r="EM22" s="85"/>
      <c r="EN22" s="85"/>
      <c r="EO22" s="85"/>
      <c r="EP22" s="85"/>
      <c r="EQ22" s="85"/>
      <c r="ER22" s="85"/>
      <c r="ES22" s="85"/>
      <c r="ET22" s="85"/>
      <c r="EU22" s="85"/>
      <c r="EV22" s="85"/>
      <c r="EW22" s="85"/>
      <c r="EX22" s="85"/>
      <c r="EY22" s="85"/>
      <c r="EZ22" s="85"/>
      <c r="FA22" s="85"/>
      <c r="FB22" s="85"/>
      <c r="FC22" s="85"/>
      <c r="FD22" s="85"/>
      <c r="FE22" s="85"/>
      <c r="FF22" s="85"/>
      <c r="FG22" s="85"/>
      <c r="FH22" s="85"/>
      <c r="FI22" s="85"/>
      <c r="FJ22" s="85"/>
      <c r="FK22" s="85"/>
      <c r="FL22" s="85"/>
      <c r="FM22" s="85"/>
      <c r="FN22" s="85"/>
      <c r="FO22" s="85"/>
      <c r="FP22" s="85"/>
      <c r="FQ22" s="85"/>
      <c r="FR22" s="85"/>
      <c r="FS22" s="85"/>
      <c r="FT22" s="85"/>
      <c r="FU22" s="85"/>
      <c r="FV22" s="85"/>
      <c r="FW22" s="85"/>
      <c r="FX22" s="85"/>
      <c r="FY22" s="85"/>
      <c r="FZ22" s="85"/>
      <c r="GA22" s="85"/>
      <c r="GB22" s="85"/>
      <c r="GC22" s="85"/>
      <c r="GD22" s="85"/>
      <c r="GE22" s="85"/>
      <c r="GF22" s="85"/>
      <c r="GG22" s="85"/>
      <c r="GH22" s="85"/>
      <c r="GI22" s="85"/>
      <c r="GJ22" s="85"/>
      <c r="GK22" s="85"/>
      <c r="GL22" s="85"/>
      <c r="GM22" s="85"/>
      <c r="GN22" s="85"/>
      <c r="GO22" s="85"/>
      <c r="GP22" s="85"/>
      <c r="GQ22" s="85"/>
      <c r="GR22" s="85"/>
      <c r="GS22" s="85"/>
      <c r="GT22" s="85"/>
      <c r="GU22" s="85"/>
      <c r="GV22" s="85"/>
      <c r="GW22" s="85"/>
      <c r="GX22" s="85"/>
      <c r="GY22" s="85"/>
      <c r="GZ22" s="85"/>
      <c r="HA22" s="85"/>
      <c r="HB22" s="85"/>
      <c r="HC22" s="85"/>
      <c r="HD22" s="85"/>
      <c r="HE22" s="85"/>
      <c r="HF22" s="85"/>
      <c r="HG22" s="85"/>
      <c r="HH22" s="85"/>
      <c r="HI22" s="85"/>
      <c r="HJ22" s="85"/>
      <c r="HK22" s="85"/>
      <c r="HL22" s="85"/>
      <c r="HM22" s="85"/>
      <c r="HN22" s="85"/>
      <c r="HO22" s="85"/>
      <c r="HP22" s="85"/>
      <c r="HQ22" s="85"/>
      <c r="HR22" s="85"/>
      <c r="HS22" s="85"/>
      <c r="HT22" s="85"/>
      <c r="HU22" s="85"/>
      <c r="HV22" s="85"/>
      <c r="HW22" s="85"/>
      <c r="HX22" s="85"/>
      <c r="HY22" s="85"/>
      <c r="HZ22" s="85"/>
      <c r="IA22" s="85"/>
      <c r="IB22" s="85"/>
      <c r="IC22" s="85"/>
      <c r="ID22" s="85"/>
      <c r="IE22" s="85"/>
      <c r="IF22" s="85"/>
      <c r="IG22" s="85"/>
      <c r="IH22" s="85"/>
      <c r="II22" s="85"/>
      <c r="IJ22" s="85"/>
      <c r="IK22" s="85"/>
      <c r="IL22" s="85"/>
      <c r="IM22" s="85"/>
      <c r="IN22" s="85"/>
      <c r="IO22" s="85"/>
      <c r="IP22" s="85"/>
      <c r="IQ22" s="85"/>
      <c r="IR22" s="85"/>
      <c r="IS22" s="85"/>
      <c r="IT22" s="85"/>
      <c r="IU22" s="85"/>
      <c r="IV22" s="85"/>
      <c r="IW22" s="85"/>
      <c r="IX22" s="85"/>
      <c r="IY22" s="85"/>
      <c r="IZ22" s="85"/>
      <c r="JA22" s="85"/>
      <c r="JB22" s="85"/>
      <c r="JC22" s="85"/>
      <c r="JD22" s="85"/>
      <c r="JE22" s="85"/>
      <c r="JF22" s="85"/>
      <c r="JG22" s="85"/>
      <c r="JH22" s="85"/>
      <c r="JI22" s="85"/>
      <c r="JJ22" s="85"/>
      <c r="JK22" s="85"/>
      <c r="JL22" s="85"/>
      <c r="JM22" s="85"/>
      <c r="JN22" s="85"/>
      <c r="JO22" s="85"/>
      <c r="JP22" s="85"/>
      <c r="JQ22" s="85"/>
      <c r="JR22" s="85"/>
      <c r="JS22" s="85"/>
      <c r="JT22" s="85"/>
      <c r="JU22" s="85"/>
      <c r="JV22" s="85"/>
      <c r="JW22" s="85"/>
      <c r="JX22" s="85"/>
      <c r="JY22" s="85"/>
      <c r="JZ22" s="85"/>
      <c r="KA22" s="85"/>
      <c r="KB22" s="85"/>
      <c r="KC22" s="85"/>
      <c r="KD22" s="85"/>
      <c r="KE22" s="85"/>
      <c r="KF22" s="85"/>
      <c r="KG22" s="85"/>
      <c r="KH22" s="85"/>
      <c r="KI22" s="85"/>
      <c r="KJ22" s="85"/>
      <c r="KK22" s="85"/>
      <c r="KL22" s="85"/>
      <c r="KM22" s="85"/>
      <c r="KN22" s="85"/>
      <c r="KO22" s="85"/>
      <c r="KP22" s="85"/>
      <c r="KQ22" s="85"/>
      <c r="KR22" s="85"/>
      <c r="KS22" s="85"/>
      <c r="KT22" s="85"/>
      <c r="KU22" s="85"/>
      <c r="KV22" s="85"/>
      <c r="KW22" s="85"/>
      <c r="KX22" s="85"/>
      <c r="KY22" s="85"/>
      <c r="KZ22" s="85"/>
      <c r="LA22" s="85"/>
      <c r="LB22" s="85"/>
      <c r="LC22" s="85"/>
      <c r="LD22" s="85"/>
      <c r="LE22" s="85"/>
      <c r="LF22" s="85"/>
      <c r="LG22" s="85"/>
      <c r="LH22" s="85"/>
      <c r="LI22" s="85"/>
      <c r="LJ22" s="85"/>
      <c r="LK22" s="85"/>
      <c r="LL22" s="85"/>
      <c r="LM22" s="85"/>
      <c r="LN22" s="85"/>
      <c r="LO22" s="85"/>
      <c r="LP22" s="85"/>
      <c r="LQ22" s="85"/>
      <c r="LR22" s="85"/>
      <c r="LS22" s="85"/>
      <c r="LT22" s="85"/>
      <c r="LU22" s="85"/>
      <c r="LV22" s="85"/>
      <c r="LW22" s="85"/>
      <c r="LX22" s="85"/>
      <c r="LY22" s="85"/>
      <c r="LZ22" s="85"/>
      <c r="MA22" s="85"/>
      <c r="MB22" s="85"/>
      <c r="MC22" s="85"/>
      <c r="MD22" s="85"/>
      <c r="ME22" s="85"/>
      <c r="MF22" s="85"/>
      <c r="MG22" s="85"/>
      <c r="MH22" s="85"/>
      <c r="MI22" s="85"/>
      <c r="MJ22" s="85"/>
      <c r="MK22" s="85"/>
      <c r="ML22" s="85"/>
      <c r="MM22" s="85"/>
      <c r="MN22" s="85"/>
      <c r="MO22" s="85"/>
      <c r="MP22" s="85"/>
      <c r="MQ22" s="85"/>
      <c r="MR22" s="85"/>
      <c r="MS22" s="85"/>
      <c r="MT22" s="85"/>
      <c r="MU22" s="85"/>
      <c r="MV22" s="85"/>
      <c r="MW22" s="85"/>
      <c r="MX22" s="85"/>
      <c r="MY22" s="85"/>
      <c r="MZ22" s="85"/>
      <c r="NA22" s="85"/>
      <c r="NB22" s="85"/>
      <c r="NC22" s="85"/>
      <c r="ND22" s="85"/>
      <c r="NE22" s="85"/>
      <c r="NF22" s="85"/>
      <c r="NG22" s="85"/>
      <c r="NH22" s="85"/>
      <c r="NI22" s="85"/>
      <c r="NJ22" s="85"/>
      <c r="NK22" s="85"/>
      <c r="NL22" s="85"/>
      <c r="NM22" s="85"/>
      <c r="NN22" s="85"/>
      <c r="NO22" s="85"/>
      <c r="NP22" s="85"/>
      <c r="NQ22" s="85"/>
      <c r="NR22" s="85"/>
      <c r="NS22" s="85"/>
      <c r="NT22" s="85"/>
      <c r="NU22" s="85"/>
      <c r="NV22" s="85"/>
      <c r="NW22" s="85"/>
      <c r="NX22" s="85"/>
      <c r="NY22" s="85"/>
      <c r="NZ22" s="85"/>
      <c r="OA22" s="85"/>
      <c r="OB22" s="85"/>
      <c r="OC22" s="85"/>
      <c r="OD22" s="85"/>
      <c r="OE22" s="85"/>
      <c r="OF22" s="85"/>
      <c r="OG22" s="85"/>
      <c r="OH22" s="85"/>
      <c r="OI22" s="85"/>
      <c r="OJ22" s="85"/>
      <c r="OK22" s="85"/>
      <c r="OL22" s="85"/>
      <c r="OM22" s="85"/>
      <c r="ON22" s="85"/>
      <c r="OO22" s="85"/>
      <c r="OP22" s="85"/>
      <c r="OQ22" s="85"/>
      <c r="OR22" s="85"/>
      <c r="OS22" s="85"/>
      <c r="OT22" s="85"/>
      <c r="OU22" s="85"/>
      <c r="OV22" s="85"/>
      <c r="OW22" s="85"/>
      <c r="OX22" s="85"/>
      <c r="OY22" s="85"/>
      <c r="OZ22" s="85"/>
      <c r="PA22" s="85"/>
      <c r="PB22" s="85"/>
      <c r="PC22" s="85"/>
      <c r="PD22" s="85"/>
      <c r="PE22" s="85"/>
      <c r="PF22" s="85"/>
      <c r="PG22" s="85"/>
      <c r="PH22" s="85"/>
      <c r="PI22" s="85"/>
      <c r="PJ22" s="85"/>
      <c r="PK22" s="85"/>
      <c r="PL22" s="85"/>
      <c r="PM22" s="85"/>
      <c r="PN22" s="85"/>
      <c r="PO22" s="85"/>
      <c r="PP22" s="85"/>
      <c r="PQ22" s="85"/>
      <c r="PR22" s="85"/>
      <c r="PS22" s="85"/>
      <c r="PT22" s="85"/>
      <c r="PU22" s="85"/>
      <c r="PV22" s="85"/>
      <c r="PW22" s="85"/>
      <c r="PX22" s="85"/>
      <c r="PY22" s="85"/>
      <c r="PZ22" s="85"/>
      <c r="QA22" s="85"/>
      <c r="QB22" s="85"/>
      <c r="QC22" s="85"/>
      <c r="QD22" s="85"/>
      <c r="QE22" s="85"/>
      <c r="QF22" s="85"/>
      <c r="QG22" s="85"/>
      <c r="QH22" s="85"/>
      <c r="QI22" s="85"/>
      <c r="QJ22" s="85"/>
      <c r="QK22" s="85"/>
      <c r="QL22" s="85"/>
      <c r="QM22" s="85"/>
      <c r="QN22" s="85"/>
      <c r="QO22" s="85"/>
      <c r="QP22" s="85"/>
      <c r="QQ22" s="85"/>
      <c r="QR22" s="85"/>
      <c r="QS22" s="85"/>
      <c r="QT22" s="85"/>
      <c r="QU22" s="85"/>
      <c r="QV22" s="85"/>
      <c r="QW22" s="85"/>
      <c r="QX22" s="85"/>
      <c r="QY22" s="85"/>
      <c r="QZ22" s="85"/>
      <c r="RA22" s="85"/>
      <c r="RB22" s="85"/>
      <c r="RC22" s="85"/>
      <c r="RD22" s="85"/>
      <c r="RE22" s="85"/>
      <c r="RF22" s="85"/>
      <c r="RG22" s="85"/>
      <c r="RH22" s="85"/>
      <c r="RI22" s="85"/>
      <c r="RJ22" s="85"/>
      <c r="RK22" s="85"/>
      <c r="RL22" s="85"/>
      <c r="RM22" s="85"/>
      <c r="RN22" s="85"/>
      <c r="RO22" s="85"/>
      <c r="RP22" s="85"/>
      <c r="RQ22" s="85"/>
      <c r="RR22" s="85"/>
      <c r="RS22" s="85"/>
      <c r="RT22" s="85"/>
      <c r="RU22" s="85"/>
      <c r="RV22" s="85"/>
      <c r="RW22" s="85"/>
      <c r="RX22" s="85"/>
      <c r="RY22" s="85"/>
      <c r="RZ22" s="85"/>
      <c r="SA22" s="85"/>
      <c r="SB22" s="85"/>
      <c r="SC22" s="85"/>
      <c r="SD22" s="85"/>
      <c r="SE22" s="85"/>
      <c r="SF22" s="85"/>
      <c r="SG22" s="85"/>
      <c r="SH22" s="85"/>
      <c r="SI22" s="85"/>
      <c r="SJ22" s="85"/>
      <c r="SK22" s="85"/>
      <c r="SL22" s="85"/>
      <c r="SM22" s="85"/>
      <c r="SN22" s="85"/>
      <c r="SO22" s="85"/>
      <c r="SP22" s="85"/>
      <c r="SQ22" s="85"/>
      <c r="SR22" s="85"/>
      <c r="SS22" s="85"/>
      <c r="ST22" s="85"/>
      <c r="SU22" s="85"/>
      <c r="SV22" s="85"/>
      <c r="SW22" s="85"/>
      <c r="SX22" s="85"/>
      <c r="SY22" s="85"/>
      <c r="SZ22" s="85"/>
      <c r="TA22" s="85"/>
      <c r="TB22" s="85"/>
      <c r="TC22" s="85"/>
      <c r="TD22" s="85"/>
      <c r="TE22" s="85"/>
      <c r="TF22" s="85"/>
      <c r="TG22" s="85"/>
      <c r="TH22" s="85"/>
      <c r="TI22" s="85"/>
      <c r="TJ22" s="85"/>
      <c r="TK22" s="85"/>
      <c r="TL22" s="85"/>
      <c r="TM22" s="85"/>
      <c r="TN22" s="85"/>
      <c r="TO22" s="85"/>
      <c r="TP22" s="85"/>
      <c r="TQ22" s="85"/>
      <c r="TR22" s="85"/>
      <c r="TS22" s="85"/>
      <c r="TT22" s="85"/>
      <c r="TU22" s="85"/>
      <c r="TV22" s="85"/>
      <c r="TW22" s="85"/>
      <c r="TX22" s="85"/>
      <c r="TY22" s="85"/>
      <c r="TZ22" s="85"/>
      <c r="UA22" s="85"/>
      <c r="UB22" s="85"/>
      <c r="UC22" s="85"/>
      <c r="UD22" s="85"/>
      <c r="UE22" s="85"/>
      <c r="UF22" s="85"/>
      <c r="UG22" s="85"/>
      <c r="UH22" s="85"/>
      <c r="UI22" s="85"/>
      <c r="UJ22" s="85"/>
      <c r="UK22" s="85"/>
      <c r="UL22" s="85"/>
      <c r="UM22" s="85"/>
      <c r="UN22" s="85"/>
      <c r="UO22" s="85"/>
      <c r="UP22" s="85"/>
      <c r="UQ22" s="85"/>
      <c r="UR22" s="85"/>
      <c r="US22" s="85"/>
      <c r="UT22" s="85"/>
      <c r="UU22" s="85"/>
      <c r="UV22" s="85"/>
      <c r="UW22" s="85"/>
      <c r="UX22" s="85"/>
      <c r="UY22" s="85"/>
      <c r="UZ22" s="85"/>
      <c r="VA22" s="85"/>
      <c r="VB22" s="85"/>
      <c r="VC22" s="85"/>
      <c r="VD22" s="85"/>
      <c r="VE22" s="85"/>
      <c r="VF22" s="85"/>
      <c r="VG22" s="85"/>
      <c r="VH22" s="85"/>
      <c r="VI22" s="85"/>
      <c r="VJ22" s="85"/>
      <c r="VK22" s="85"/>
      <c r="VL22" s="85"/>
      <c r="VM22" s="85"/>
      <c r="VN22" s="85"/>
      <c r="VO22" s="85"/>
      <c r="VP22" s="85"/>
      <c r="VQ22" s="85"/>
      <c r="VR22" s="85"/>
      <c r="VS22" s="85"/>
      <c r="VT22" s="85"/>
      <c r="VU22" s="85"/>
      <c r="VV22" s="85"/>
      <c r="VW22" s="85"/>
      <c r="VX22" s="85"/>
      <c r="VY22" s="85"/>
      <c r="VZ22" s="85"/>
      <c r="WA22" s="85"/>
      <c r="WB22" s="85"/>
      <c r="WC22" s="85"/>
      <c r="WD22" s="85"/>
      <c r="WE22" s="85"/>
      <c r="WF22" s="85"/>
      <c r="WG22" s="85"/>
      <c r="WH22" s="85"/>
      <c r="WI22" s="85"/>
      <c r="WJ22" s="85"/>
      <c r="WK22" s="85"/>
      <c r="WL22" s="85"/>
      <c r="WM22" s="85"/>
      <c r="WN22" s="85"/>
      <c r="WO22" s="85"/>
      <c r="WP22" s="85"/>
      <c r="WQ22" s="85"/>
      <c r="WR22" s="85"/>
      <c r="WS22" s="85"/>
      <c r="WT22" s="85"/>
      <c r="WU22" s="85"/>
      <c r="WV22" s="85"/>
      <c r="WW22" s="85"/>
      <c r="WX22" s="85"/>
      <c r="WY22" s="85"/>
      <c r="WZ22" s="85"/>
      <c r="XA22" s="85"/>
      <c r="XB22" s="85"/>
      <c r="XC22" s="85"/>
      <c r="XD22" s="85"/>
      <c r="XE22" s="85"/>
      <c r="XF22" s="85"/>
      <c r="XG22" s="85"/>
      <c r="XH22" s="85"/>
      <c r="XI22" s="85"/>
      <c r="XJ22" s="85"/>
      <c r="XK22" s="85"/>
      <c r="XL22" s="85"/>
      <c r="XM22" s="85"/>
      <c r="XN22" s="85"/>
      <c r="XO22" s="85"/>
      <c r="XP22" s="85"/>
      <c r="XQ22" s="85"/>
      <c r="XR22" s="85"/>
      <c r="XS22" s="85"/>
      <c r="XT22" s="85"/>
      <c r="XU22" s="85"/>
      <c r="XV22" s="85"/>
      <c r="XW22" s="85"/>
    </row>
    <row r="23" spans="1:647" s="30" customFormat="1" ht="14.25" customHeight="1">
      <c r="A23" s="88"/>
      <c r="B23" s="89"/>
      <c r="C23" s="92"/>
      <c r="D23" s="92"/>
      <c r="E23" s="94"/>
      <c r="F23" s="92"/>
      <c r="G23" s="92"/>
      <c r="H23" s="92"/>
      <c r="I23" s="274"/>
      <c r="J23" s="279"/>
      <c r="K23" s="283"/>
      <c r="L23" s="347"/>
      <c r="M23" s="159"/>
      <c r="N23" s="159"/>
      <c r="O23" s="159"/>
      <c r="P23" s="159"/>
      <c r="Q23" s="175"/>
      <c r="R23" s="91"/>
      <c r="S23" s="156"/>
      <c r="T23" s="92"/>
      <c r="U23" s="95"/>
      <c r="V23" s="92"/>
      <c r="W23" s="92"/>
      <c r="X23" s="92"/>
      <c r="Y23" s="168"/>
      <c r="Z23" s="168"/>
      <c r="AA23" s="161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85"/>
      <c r="BU23" s="85"/>
      <c r="BV23" s="85"/>
      <c r="BW23" s="85"/>
      <c r="BX23" s="85"/>
      <c r="BY23" s="85"/>
      <c r="BZ23" s="85"/>
      <c r="CA23" s="85"/>
      <c r="CB23" s="85"/>
      <c r="CC23" s="85"/>
      <c r="CD23" s="85"/>
      <c r="CE23" s="85"/>
      <c r="CF23" s="85"/>
      <c r="CG23" s="85"/>
      <c r="CH23" s="85"/>
      <c r="CI23" s="85"/>
      <c r="CJ23" s="85"/>
      <c r="CK23" s="85"/>
      <c r="CL23" s="85"/>
      <c r="CM23" s="85"/>
      <c r="CN23" s="85"/>
      <c r="CO23" s="85"/>
      <c r="CP23" s="85"/>
      <c r="CQ23" s="85"/>
      <c r="CR23" s="85"/>
      <c r="CS23" s="85"/>
      <c r="CT23" s="85"/>
      <c r="CU23" s="85"/>
      <c r="CV23" s="85"/>
      <c r="CW23" s="85"/>
      <c r="CX23" s="85"/>
      <c r="CY23" s="85"/>
      <c r="CZ23" s="85"/>
      <c r="DA23" s="85"/>
      <c r="DB23" s="85"/>
      <c r="DC23" s="85"/>
      <c r="DD23" s="85"/>
      <c r="DE23" s="85"/>
      <c r="DF23" s="85"/>
      <c r="DG23" s="85"/>
      <c r="DH23" s="85"/>
      <c r="DI23" s="85"/>
      <c r="DJ23" s="85"/>
      <c r="DK23" s="85"/>
      <c r="DL23" s="85"/>
      <c r="DM23" s="85"/>
      <c r="DN23" s="85"/>
      <c r="DO23" s="85"/>
      <c r="DP23" s="85"/>
      <c r="DQ23" s="85"/>
      <c r="DR23" s="85"/>
      <c r="DS23" s="85"/>
      <c r="DT23" s="85"/>
      <c r="DU23" s="85"/>
      <c r="DV23" s="85"/>
      <c r="DW23" s="85"/>
      <c r="DX23" s="85"/>
      <c r="DY23" s="85"/>
      <c r="DZ23" s="85"/>
      <c r="EA23" s="85"/>
      <c r="EB23" s="85"/>
      <c r="EC23" s="85"/>
      <c r="ED23" s="85"/>
      <c r="EE23" s="85"/>
      <c r="EF23" s="85"/>
      <c r="EG23" s="85"/>
      <c r="EH23" s="85"/>
      <c r="EI23" s="85"/>
      <c r="EJ23" s="85"/>
      <c r="EK23" s="85"/>
      <c r="EL23" s="85"/>
      <c r="EM23" s="85"/>
      <c r="EN23" s="85"/>
      <c r="EO23" s="85"/>
      <c r="EP23" s="85"/>
      <c r="EQ23" s="85"/>
      <c r="ER23" s="85"/>
      <c r="ES23" s="85"/>
      <c r="ET23" s="85"/>
      <c r="EU23" s="85"/>
      <c r="EV23" s="85"/>
      <c r="EW23" s="85"/>
      <c r="EX23" s="85"/>
      <c r="EY23" s="85"/>
      <c r="EZ23" s="85"/>
      <c r="FA23" s="85"/>
      <c r="FB23" s="85"/>
      <c r="FC23" s="85"/>
      <c r="FD23" s="85"/>
      <c r="FE23" s="85"/>
      <c r="FF23" s="85"/>
      <c r="FG23" s="85"/>
      <c r="FH23" s="85"/>
      <c r="FI23" s="85"/>
      <c r="FJ23" s="85"/>
      <c r="FK23" s="85"/>
      <c r="FL23" s="85"/>
      <c r="FM23" s="85"/>
      <c r="FN23" s="85"/>
      <c r="FO23" s="85"/>
      <c r="FP23" s="85"/>
      <c r="FQ23" s="85"/>
      <c r="FR23" s="85"/>
      <c r="FS23" s="85"/>
      <c r="FT23" s="85"/>
      <c r="FU23" s="85"/>
      <c r="FV23" s="85"/>
      <c r="FW23" s="85"/>
      <c r="FX23" s="85"/>
      <c r="FY23" s="85"/>
      <c r="FZ23" s="85"/>
      <c r="GA23" s="85"/>
      <c r="GB23" s="85"/>
      <c r="GC23" s="85"/>
      <c r="GD23" s="85"/>
      <c r="GE23" s="85"/>
      <c r="GF23" s="85"/>
      <c r="GG23" s="85"/>
      <c r="GH23" s="85"/>
      <c r="GI23" s="85"/>
      <c r="GJ23" s="85"/>
      <c r="GK23" s="85"/>
      <c r="GL23" s="85"/>
      <c r="GM23" s="85"/>
      <c r="GN23" s="85"/>
      <c r="GO23" s="85"/>
      <c r="GP23" s="85"/>
      <c r="GQ23" s="85"/>
      <c r="GR23" s="85"/>
      <c r="GS23" s="85"/>
      <c r="GT23" s="85"/>
      <c r="GU23" s="85"/>
      <c r="GV23" s="85"/>
      <c r="GW23" s="85"/>
      <c r="GX23" s="85"/>
      <c r="GY23" s="85"/>
      <c r="GZ23" s="85"/>
      <c r="HA23" s="85"/>
      <c r="HB23" s="85"/>
      <c r="HC23" s="85"/>
      <c r="HD23" s="85"/>
      <c r="HE23" s="85"/>
      <c r="HF23" s="85"/>
      <c r="HG23" s="85"/>
      <c r="HH23" s="85"/>
      <c r="HI23" s="85"/>
      <c r="HJ23" s="85"/>
      <c r="HK23" s="85"/>
      <c r="HL23" s="85"/>
      <c r="HM23" s="85"/>
      <c r="HN23" s="85"/>
      <c r="HO23" s="85"/>
      <c r="HP23" s="85"/>
      <c r="HQ23" s="85"/>
      <c r="HR23" s="85"/>
      <c r="HS23" s="85"/>
      <c r="HT23" s="85"/>
      <c r="HU23" s="85"/>
      <c r="HV23" s="85"/>
      <c r="HW23" s="85"/>
      <c r="HX23" s="85"/>
      <c r="HY23" s="85"/>
      <c r="HZ23" s="85"/>
      <c r="IA23" s="85"/>
      <c r="IB23" s="85"/>
      <c r="IC23" s="85"/>
      <c r="ID23" s="85"/>
      <c r="IE23" s="85"/>
      <c r="IF23" s="85"/>
      <c r="IG23" s="85"/>
      <c r="IH23" s="85"/>
      <c r="II23" s="85"/>
      <c r="IJ23" s="85"/>
      <c r="IK23" s="85"/>
      <c r="IL23" s="85"/>
      <c r="IM23" s="85"/>
      <c r="IN23" s="85"/>
      <c r="IO23" s="85"/>
      <c r="IP23" s="85"/>
      <c r="IQ23" s="85"/>
      <c r="IR23" s="85"/>
      <c r="IS23" s="85"/>
      <c r="IT23" s="85"/>
      <c r="IU23" s="85"/>
      <c r="IV23" s="85"/>
      <c r="IW23" s="85"/>
      <c r="IX23" s="85"/>
      <c r="IY23" s="85"/>
      <c r="IZ23" s="85"/>
      <c r="JA23" s="85"/>
      <c r="JB23" s="85"/>
      <c r="JC23" s="85"/>
      <c r="JD23" s="85"/>
      <c r="JE23" s="85"/>
      <c r="JF23" s="85"/>
      <c r="JG23" s="85"/>
      <c r="JH23" s="85"/>
      <c r="JI23" s="85"/>
      <c r="JJ23" s="85"/>
      <c r="JK23" s="85"/>
      <c r="JL23" s="85"/>
      <c r="JM23" s="85"/>
      <c r="JN23" s="85"/>
      <c r="JO23" s="85"/>
      <c r="JP23" s="85"/>
      <c r="JQ23" s="85"/>
      <c r="JR23" s="85"/>
      <c r="JS23" s="85"/>
      <c r="JT23" s="85"/>
      <c r="JU23" s="85"/>
      <c r="JV23" s="85"/>
      <c r="JW23" s="85"/>
      <c r="JX23" s="85"/>
      <c r="JY23" s="85"/>
      <c r="JZ23" s="85"/>
      <c r="KA23" s="85"/>
      <c r="KB23" s="85"/>
      <c r="KC23" s="85"/>
      <c r="KD23" s="85"/>
      <c r="KE23" s="85"/>
      <c r="KF23" s="85"/>
      <c r="KG23" s="85"/>
      <c r="KH23" s="85"/>
      <c r="KI23" s="85"/>
      <c r="KJ23" s="85"/>
      <c r="KK23" s="85"/>
      <c r="KL23" s="85"/>
      <c r="KM23" s="85"/>
      <c r="KN23" s="85"/>
      <c r="KO23" s="85"/>
      <c r="KP23" s="85"/>
      <c r="KQ23" s="85"/>
      <c r="KR23" s="85"/>
      <c r="KS23" s="85"/>
      <c r="KT23" s="85"/>
      <c r="KU23" s="85"/>
      <c r="KV23" s="85"/>
      <c r="KW23" s="85"/>
      <c r="KX23" s="85"/>
      <c r="KY23" s="85"/>
      <c r="KZ23" s="85"/>
      <c r="LA23" s="85"/>
      <c r="LB23" s="85"/>
      <c r="LC23" s="85"/>
      <c r="LD23" s="85"/>
      <c r="LE23" s="85"/>
      <c r="LF23" s="85"/>
      <c r="LG23" s="85"/>
      <c r="LH23" s="85"/>
      <c r="LI23" s="85"/>
      <c r="LJ23" s="85"/>
      <c r="LK23" s="85"/>
      <c r="LL23" s="85"/>
      <c r="LM23" s="85"/>
      <c r="LN23" s="85"/>
      <c r="LO23" s="85"/>
      <c r="LP23" s="85"/>
      <c r="LQ23" s="85"/>
      <c r="LR23" s="85"/>
      <c r="LS23" s="85"/>
      <c r="LT23" s="85"/>
      <c r="LU23" s="85"/>
      <c r="LV23" s="85"/>
      <c r="LW23" s="85"/>
      <c r="LX23" s="85"/>
      <c r="LY23" s="85"/>
      <c r="LZ23" s="85"/>
      <c r="MA23" s="85"/>
      <c r="MB23" s="85"/>
      <c r="MC23" s="85"/>
      <c r="MD23" s="85"/>
      <c r="ME23" s="85"/>
      <c r="MF23" s="85"/>
      <c r="MG23" s="85"/>
      <c r="MH23" s="85"/>
      <c r="MI23" s="85"/>
      <c r="MJ23" s="85"/>
      <c r="MK23" s="85"/>
      <c r="ML23" s="85"/>
      <c r="MM23" s="85"/>
      <c r="MN23" s="85"/>
      <c r="MO23" s="85"/>
      <c r="MP23" s="85"/>
      <c r="MQ23" s="85"/>
      <c r="MR23" s="85"/>
      <c r="MS23" s="85"/>
      <c r="MT23" s="85"/>
      <c r="MU23" s="85"/>
      <c r="MV23" s="85"/>
      <c r="MW23" s="85"/>
      <c r="MX23" s="85"/>
      <c r="MY23" s="85"/>
      <c r="MZ23" s="85"/>
      <c r="NA23" s="85"/>
      <c r="NB23" s="85"/>
      <c r="NC23" s="85"/>
      <c r="ND23" s="85"/>
      <c r="NE23" s="85"/>
      <c r="NF23" s="85"/>
      <c r="NG23" s="85"/>
      <c r="NH23" s="85"/>
      <c r="NI23" s="85"/>
      <c r="NJ23" s="85"/>
      <c r="NK23" s="85"/>
      <c r="NL23" s="85"/>
      <c r="NM23" s="85"/>
      <c r="NN23" s="85"/>
      <c r="NO23" s="85"/>
      <c r="NP23" s="85"/>
      <c r="NQ23" s="85"/>
      <c r="NR23" s="85"/>
      <c r="NS23" s="85"/>
      <c r="NT23" s="85"/>
      <c r="NU23" s="85"/>
      <c r="NV23" s="85"/>
      <c r="NW23" s="85"/>
      <c r="NX23" s="85"/>
      <c r="NY23" s="85"/>
      <c r="NZ23" s="85"/>
      <c r="OA23" s="85"/>
      <c r="OB23" s="85"/>
      <c r="OC23" s="85"/>
      <c r="OD23" s="85"/>
      <c r="OE23" s="85"/>
      <c r="OF23" s="85"/>
      <c r="OG23" s="85"/>
      <c r="OH23" s="85"/>
      <c r="OI23" s="85"/>
      <c r="OJ23" s="85"/>
      <c r="OK23" s="85"/>
      <c r="OL23" s="85"/>
      <c r="OM23" s="85"/>
      <c r="ON23" s="85"/>
      <c r="OO23" s="85"/>
      <c r="OP23" s="85"/>
      <c r="OQ23" s="85"/>
      <c r="OR23" s="85"/>
      <c r="OS23" s="85"/>
      <c r="OT23" s="85"/>
      <c r="OU23" s="85"/>
      <c r="OV23" s="85"/>
      <c r="OW23" s="85"/>
      <c r="OX23" s="85"/>
      <c r="OY23" s="85"/>
      <c r="OZ23" s="85"/>
      <c r="PA23" s="85"/>
      <c r="PB23" s="85"/>
      <c r="PC23" s="85"/>
      <c r="PD23" s="85"/>
      <c r="PE23" s="85"/>
      <c r="PF23" s="85"/>
      <c r="PG23" s="85"/>
      <c r="PH23" s="85"/>
      <c r="PI23" s="85"/>
      <c r="PJ23" s="85"/>
      <c r="PK23" s="85"/>
      <c r="PL23" s="85"/>
      <c r="PM23" s="85"/>
      <c r="PN23" s="85"/>
      <c r="PO23" s="85"/>
      <c r="PP23" s="85"/>
      <c r="PQ23" s="85"/>
      <c r="PR23" s="85"/>
      <c r="PS23" s="85"/>
      <c r="PT23" s="85"/>
      <c r="PU23" s="85"/>
      <c r="PV23" s="85"/>
      <c r="PW23" s="85"/>
      <c r="PX23" s="85"/>
      <c r="PY23" s="85"/>
      <c r="PZ23" s="85"/>
      <c r="QA23" s="85"/>
      <c r="QB23" s="85"/>
      <c r="QC23" s="85"/>
      <c r="QD23" s="85"/>
      <c r="QE23" s="85"/>
      <c r="QF23" s="85"/>
      <c r="QG23" s="85"/>
      <c r="QH23" s="85"/>
      <c r="QI23" s="85"/>
      <c r="QJ23" s="85"/>
      <c r="QK23" s="85"/>
      <c r="QL23" s="85"/>
      <c r="QM23" s="85"/>
      <c r="QN23" s="85"/>
      <c r="QO23" s="85"/>
      <c r="QP23" s="85"/>
      <c r="QQ23" s="85"/>
      <c r="QR23" s="85"/>
      <c r="QS23" s="85"/>
      <c r="QT23" s="85"/>
      <c r="QU23" s="85"/>
      <c r="QV23" s="85"/>
      <c r="QW23" s="85"/>
      <c r="QX23" s="85"/>
      <c r="QY23" s="85"/>
      <c r="QZ23" s="85"/>
      <c r="RA23" s="85"/>
      <c r="RB23" s="85"/>
      <c r="RC23" s="85"/>
      <c r="RD23" s="85"/>
      <c r="RE23" s="85"/>
      <c r="RF23" s="85"/>
      <c r="RG23" s="85"/>
      <c r="RH23" s="85"/>
      <c r="RI23" s="85"/>
      <c r="RJ23" s="85"/>
      <c r="RK23" s="85"/>
      <c r="RL23" s="85"/>
      <c r="RM23" s="85"/>
      <c r="RN23" s="85"/>
      <c r="RO23" s="85"/>
      <c r="RP23" s="85"/>
      <c r="RQ23" s="85"/>
      <c r="RR23" s="85"/>
      <c r="RS23" s="85"/>
      <c r="RT23" s="85"/>
      <c r="RU23" s="85"/>
      <c r="RV23" s="85"/>
      <c r="RW23" s="85"/>
      <c r="RX23" s="85"/>
      <c r="RY23" s="85"/>
      <c r="RZ23" s="85"/>
      <c r="SA23" s="85"/>
      <c r="SB23" s="85"/>
      <c r="SC23" s="85"/>
      <c r="SD23" s="85"/>
      <c r="SE23" s="85"/>
      <c r="SF23" s="85"/>
      <c r="SG23" s="85"/>
      <c r="SH23" s="85"/>
      <c r="SI23" s="85"/>
      <c r="SJ23" s="85"/>
      <c r="SK23" s="85"/>
      <c r="SL23" s="85"/>
      <c r="SM23" s="85"/>
      <c r="SN23" s="85"/>
      <c r="SO23" s="85"/>
      <c r="SP23" s="85"/>
      <c r="SQ23" s="85"/>
      <c r="SR23" s="85"/>
      <c r="SS23" s="85"/>
      <c r="ST23" s="85"/>
      <c r="SU23" s="85"/>
      <c r="SV23" s="85"/>
      <c r="SW23" s="85"/>
      <c r="SX23" s="85"/>
      <c r="SY23" s="85"/>
      <c r="SZ23" s="85"/>
      <c r="TA23" s="85"/>
      <c r="TB23" s="85"/>
      <c r="TC23" s="85"/>
      <c r="TD23" s="85"/>
      <c r="TE23" s="85"/>
      <c r="TF23" s="85"/>
      <c r="TG23" s="85"/>
      <c r="TH23" s="85"/>
      <c r="TI23" s="85"/>
      <c r="TJ23" s="85"/>
      <c r="TK23" s="85"/>
      <c r="TL23" s="85"/>
      <c r="TM23" s="85"/>
      <c r="TN23" s="85"/>
      <c r="TO23" s="85"/>
      <c r="TP23" s="85"/>
      <c r="TQ23" s="85"/>
      <c r="TR23" s="85"/>
      <c r="TS23" s="85"/>
      <c r="TT23" s="85"/>
      <c r="TU23" s="85"/>
      <c r="TV23" s="85"/>
      <c r="TW23" s="85"/>
      <c r="TX23" s="85"/>
      <c r="TY23" s="85"/>
      <c r="TZ23" s="85"/>
      <c r="UA23" s="85"/>
      <c r="UB23" s="85"/>
      <c r="UC23" s="85"/>
      <c r="UD23" s="85"/>
      <c r="UE23" s="85"/>
      <c r="UF23" s="85"/>
      <c r="UG23" s="85"/>
      <c r="UH23" s="85"/>
      <c r="UI23" s="85"/>
      <c r="UJ23" s="85"/>
      <c r="UK23" s="85"/>
      <c r="UL23" s="85"/>
      <c r="UM23" s="85"/>
      <c r="UN23" s="85"/>
      <c r="UO23" s="85"/>
      <c r="UP23" s="85"/>
      <c r="UQ23" s="85"/>
      <c r="UR23" s="85"/>
      <c r="US23" s="85"/>
      <c r="UT23" s="85"/>
      <c r="UU23" s="85"/>
      <c r="UV23" s="85"/>
      <c r="UW23" s="85"/>
      <c r="UX23" s="85"/>
      <c r="UY23" s="85"/>
      <c r="UZ23" s="85"/>
      <c r="VA23" s="85"/>
      <c r="VB23" s="85"/>
      <c r="VC23" s="85"/>
      <c r="VD23" s="85"/>
      <c r="VE23" s="85"/>
      <c r="VF23" s="85"/>
      <c r="VG23" s="85"/>
      <c r="VH23" s="85"/>
      <c r="VI23" s="85"/>
      <c r="VJ23" s="85"/>
      <c r="VK23" s="85"/>
      <c r="VL23" s="85"/>
      <c r="VM23" s="85"/>
      <c r="VN23" s="85"/>
      <c r="VO23" s="85"/>
      <c r="VP23" s="85"/>
      <c r="VQ23" s="85"/>
      <c r="VR23" s="85"/>
      <c r="VS23" s="85"/>
      <c r="VT23" s="85"/>
      <c r="VU23" s="85"/>
      <c r="VV23" s="85"/>
      <c r="VW23" s="85"/>
      <c r="VX23" s="85"/>
      <c r="VY23" s="85"/>
      <c r="VZ23" s="85"/>
      <c r="WA23" s="85"/>
      <c r="WB23" s="85"/>
      <c r="WC23" s="85"/>
      <c r="WD23" s="85"/>
      <c r="WE23" s="85"/>
      <c r="WF23" s="85"/>
      <c r="WG23" s="85"/>
      <c r="WH23" s="85"/>
      <c r="WI23" s="85"/>
      <c r="WJ23" s="85"/>
      <c r="WK23" s="85"/>
      <c r="WL23" s="85"/>
      <c r="WM23" s="85"/>
      <c r="WN23" s="85"/>
      <c r="WO23" s="85"/>
      <c r="WP23" s="85"/>
      <c r="WQ23" s="85"/>
      <c r="WR23" s="85"/>
      <c r="WS23" s="85"/>
      <c r="WT23" s="85"/>
      <c r="WU23" s="85"/>
      <c r="WV23" s="85"/>
      <c r="WW23" s="85"/>
      <c r="WX23" s="85"/>
      <c r="WY23" s="85"/>
      <c r="WZ23" s="85"/>
      <c r="XA23" s="85"/>
      <c r="XB23" s="85"/>
      <c r="XC23" s="85"/>
      <c r="XD23" s="85"/>
      <c r="XE23" s="85"/>
      <c r="XF23" s="85"/>
      <c r="XG23" s="85"/>
      <c r="XH23" s="85"/>
      <c r="XI23" s="85"/>
      <c r="XJ23" s="85"/>
      <c r="XK23" s="85"/>
      <c r="XL23" s="85"/>
      <c r="XM23" s="85"/>
      <c r="XN23" s="85"/>
      <c r="XO23" s="85"/>
      <c r="XP23" s="85"/>
      <c r="XQ23" s="85"/>
      <c r="XR23" s="85"/>
      <c r="XS23" s="85"/>
      <c r="XT23" s="85"/>
      <c r="XU23" s="85"/>
      <c r="XV23" s="85"/>
      <c r="XW23" s="85"/>
    </row>
    <row r="24" spans="1:647" s="30" customFormat="1" ht="14.25" customHeight="1">
      <c r="A24" s="88"/>
      <c r="B24" s="89"/>
      <c r="C24" s="92"/>
      <c r="D24" s="92"/>
      <c r="E24" s="94"/>
      <c r="F24" s="92"/>
      <c r="G24" s="92"/>
      <c r="H24" s="92"/>
      <c r="I24" s="274"/>
      <c r="J24" s="279"/>
      <c r="K24" s="283"/>
      <c r="L24" s="347"/>
      <c r="M24" s="159"/>
      <c r="N24" s="159"/>
      <c r="O24" s="159"/>
      <c r="P24" s="159"/>
      <c r="Q24" s="175"/>
      <c r="R24" s="91"/>
      <c r="S24" s="156"/>
      <c r="T24" s="92"/>
      <c r="U24" s="95"/>
      <c r="V24" s="92"/>
      <c r="W24" s="92"/>
      <c r="X24" s="92"/>
      <c r="Y24" s="168"/>
      <c r="Z24" s="168"/>
      <c r="AA24" s="161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85"/>
      <c r="BU24" s="85"/>
      <c r="BV24" s="85"/>
      <c r="BW24" s="85"/>
      <c r="BX24" s="85"/>
      <c r="BY24" s="85"/>
      <c r="BZ24" s="85"/>
      <c r="CA24" s="85"/>
      <c r="CB24" s="85"/>
      <c r="CC24" s="85"/>
      <c r="CD24" s="85"/>
      <c r="CE24" s="85"/>
      <c r="CF24" s="85"/>
      <c r="CG24" s="85"/>
      <c r="CH24" s="85"/>
      <c r="CI24" s="85"/>
      <c r="CJ24" s="85"/>
      <c r="CK24" s="85"/>
      <c r="CL24" s="85"/>
      <c r="CM24" s="85"/>
      <c r="CN24" s="85"/>
      <c r="CO24" s="85"/>
      <c r="CP24" s="85"/>
      <c r="CQ24" s="85"/>
      <c r="CR24" s="85"/>
      <c r="CS24" s="85"/>
      <c r="CT24" s="85"/>
      <c r="CU24" s="85"/>
      <c r="CV24" s="85"/>
      <c r="CW24" s="85"/>
      <c r="CX24" s="85"/>
      <c r="CY24" s="85"/>
      <c r="CZ24" s="85"/>
      <c r="DA24" s="85"/>
      <c r="DB24" s="85"/>
      <c r="DC24" s="85"/>
      <c r="DD24" s="85"/>
      <c r="DE24" s="85"/>
      <c r="DF24" s="85"/>
      <c r="DG24" s="85"/>
      <c r="DH24" s="85"/>
      <c r="DI24" s="85"/>
      <c r="DJ24" s="85"/>
      <c r="DK24" s="85"/>
      <c r="DL24" s="85"/>
      <c r="DM24" s="85"/>
      <c r="DN24" s="85"/>
      <c r="DO24" s="85"/>
      <c r="DP24" s="85"/>
      <c r="DQ24" s="85"/>
      <c r="DR24" s="85"/>
      <c r="DS24" s="85"/>
      <c r="DT24" s="85"/>
      <c r="DU24" s="85"/>
      <c r="DV24" s="85"/>
      <c r="DW24" s="85"/>
      <c r="DX24" s="85"/>
      <c r="DY24" s="85"/>
      <c r="DZ24" s="85"/>
      <c r="EA24" s="85"/>
      <c r="EB24" s="85"/>
      <c r="EC24" s="85"/>
      <c r="ED24" s="85"/>
      <c r="EE24" s="85"/>
      <c r="EF24" s="85"/>
      <c r="EG24" s="85"/>
      <c r="EH24" s="85"/>
      <c r="EI24" s="85"/>
      <c r="EJ24" s="85"/>
      <c r="EK24" s="85"/>
      <c r="EL24" s="85"/>
      <c r="EM24" s="85"/>
      <c r="EN24" s="85"/>
      <c r="EO24" s="85"/>
      <c r="EP24" s="85"/>
      <c r="EQ24" s="85"/>
      <c r="ER24" s="85"/>
      <c r="ES24" s="85"/>
      <c r="ET24" s="85"/>
      <c r="EU24" s="85"/>
      <c r="EV24" s="85"/>
      <c r="EW24" s="85"/>
      <c r="EX24" s="85"/>
      <c r="EY24" s="85"/>
      <c r="EZ24" s="85"/>
      <c r="FA24" s="85"/>
      <c r="FB24" s="85"/>
      <c r="FC24" s="85"/>
      <c r="FD24" s="85"/>
      <c r="FE24" s="85"/>
      <c r="FF24" s="85"/>
      <c r="FG24" s="85"/>
      <c r="FH24" s="85"/>
      <c r="FI24" s="85"/>
      <c r="FJ24" s="85"/>
      <c r="FK24" s="85"/>
      <c r="FL24" s="85"/>
      <c r="FM24" s="85"/>
      <c r="FN24" s="85"/>
      <c r="FO24" s="85"/>
      <c r="FP24" s="85"/>
      <c r="FQ24" s="85"/>
      <c r="FR24" s="85"/>
      <c r="FS24" s="85"/>
      <c r="FT24" s="85"/>
      <c r="FU24" s="85"/>
      <c r="FV24" s="85"/>
      <c r="FW24" s="85"/>
      <c r="FX24" s="85"/>
      <c r="FY24" s="85"/>
      <c r="FZ24" s="85"/>
      <c r="GA24" s="85"/>
      <c r="GB24" s="85"/>
      <c r="GC24" s="85"/>
      <c r="GD24" s="85"/>
      <c r="GE24" s="85"/>
      <c r="GF24" s="85"/>
      <c r="GG24" s="85"/>
      <c r="GH24" s="85"/>
      <c r="GI24" s="85"/>
      <c r="GJ24" s="85"/>
      <c r="GK24" s="85"/>
      <c r="GL24" s="85"/>
      <c r="GM24" s="85"/>
      <c r="GN24" s="85"/>
      <c r="GO24" s="85"/>
      <c r="GP24" s="85"/>
      <c r="GQ24" s="85"/>
      <c r="GR24" s="85"/>
      <c r="GS24" s="85"/>
      <c r="GT24" s="85"/>
      <c r="GU24" s="85"/>
      <c r="GV24" s="85"/>
      <c r="GW24" s="85"/>
      <c r="GX24" s="85"/>
      <c r="GY24" s="85"/>
      <c r="GZ24" s="85"/>
      <c r="HA24" s="85"/>
      <c r="HB24" s="85"/>
      <c r="HC24" s="85"/>
      <c r="HD24" s="85"/>
      <c r="HE24" s="85"/>
      <c r="HF24" s="85"/>
      <c r="HG24" s="85"/>
      <c r="HH24" s="85"/>
      <c r="HI24" s="85"/>
      <c r="HJ24" s="85"/>
      <c r="HK24" s="85"/>
      <c r="HL24" s="85"/>
      <c r="HM24" s="85"/>
      <c r="HN24" s="85"/>
      <c r="HO24" s="85"/>
      <c r="HP24" s="85"/>
      <c r="HQ24" s="85"/>
      <c r="HR24" s="85"/>
      <c r="HS24" s="85"/>
      <c r="HT24" s="85"/>
      <c r="HU24" s="85"/>
      <c r="HV24" s="85"/>
      <c r="HW24" s="85"/>
      <c r="HX24" s="85"/>
      <c r="HY24" s="85"/>
      <c r="HZ24" s="85"/>
      <c r="IA24" s="85"/>
      <c r="IB24" s="85"/>
      <c r="IC24" s="85"/>
      <c r="ID24" s="85"/>
      <c r="IE24" s="85"/>
      <c r="IF24" s="85"/>
      <c r="IG24" s="85"/>
      <c r="IH24" s="85"/>
      <c r="II24" s="85"/>
      <c r="IJ24" s="85"/>
      <c r="IK24" s="85"/>
      <c r="IL24" s="85"/>
      <c r="IM24" s="85"/>
      <c r="IN24" s="85"/>
      <c r="IO24" s="85"/>
      <c r="IP24" s="85"/>
      <c r="IQ24" s="85"/>
      <c r="IR24" s="85"/>
      <c r="IS24" s="85"/>
      <c r="IT24" s="85"/>
      <c r="IU24" s="85"/>
      <c r="IV24" s="85"/>
      <c r="IW24" s="85"/>
      <c r="IX24" s="85"/>
      <c r="IY24" s="85"/>
      <c r="IZ24" s="85"/>
      <c r="JA24" s="85"/>
      <c r="JB24" s="85"/>
      <c r="JC24" s="85"/>
      <c r="JD24" s="85"/>
      <c r="JE24" s="85"/>
      <c r="JF24" s="85"/>
      <c r="JG24" s="85"/>
      <c r="JH24" s="85"/>
      <c r="JI24" s="85"/>
      <c r="JJ24" s="85"/>
      <c r="JK24" s="85"/>
      <c r="JL24" s="85"/>
      <c r="JM24" s="85"/>
      <c r="JN24" s="85"/>
      <c r="JO24" s="85"/>
      <c r="JP24" s="85"/>
      <c r="JQ24" s="85"/>
      <c r="JR24" s="85"/>
      <c r="JS24" s="85"/>
      <c r="JT24" s="85"/>
      <c r="JU24" s="85"/>
      <c r="JV24" s="85"/>
      <c r="JW24" s="85"/>
      <c r="JX24" s="85"/>
      <c r="JY24" s="85"/>
      <c r="JZ24" s="85"/>
      <c r="KA24" s="85"/>
      <c r="KB24" s="85"/>
      <c r="KC24" s="85"/>
      <c r="KD24" s="85"/>
      <c r="KE24" s="85"/>
      <c r="KF24" s="85"/>
      <c r="KG24" s="85"/>
      <c r="KH24" s="85"/>
      <c r="KI24" s="85"/>
      <c r="KJ24" s="85"/>
      <c r="KK24" s="85"/>
      <c r="KL24" s="85"/>
      <c r="KM24" s="85"/>
      <c r="KN24" s="85"/>
      <c r="KO24" s="85"/>
      <c r="KP24" s="85"/>
      <c r="KQ24" s="85"/>
      <c r="KR24" s="85"/>
      <c r="KS24" s="85"/>
      <c r="KT24" s="85"/>
      <c r="KU24" s="85"/>
      <c r="KV24" s="85"/>
      <c r="KW24" s="85"/>
      <c r="KX24" s="85"/>
      <c r="KY24" s="85"/>
      <c r="KZ24" s="85"/>
      <c r="LA24" s="85"/>
      <c r="LB24" s="85"/>
      <c r="LC24" s="85"/>
      <c r="LD24" s="85"/>
      <c r="LE24" s="85"/>
      <c r="LF24" s="85"/>
      <c r="LG24" s="85"/>
      <c r="LH24" s="85"/>
      <c r="LI24" s="85"/>
      <c r="LJ24" s="85"/>
      <c r="LK24" s="85"/>
      <c r="LL24" s="85"/>
      <c r="LM24" s="85"/>
      <c r="LN24" s="85"/>
      <c r="LO24" s="85"/>
      <c r="LP24" s="85"/>
      <c r="LQ24" s="85"/>
      <c r="LR24" s="85"/>
      <c r="LS24" s="85"/>
      <c r="LT24" s="85"/>
      <c r="LU24" s="85"/>
      <c r="LV24" s="85"/>
      <c r="LW24" s="85"/>
      <c r="LX24" s="85"/>
      <c r="LY24" s="85"/>
      <c r="LZ24" s="85"/>
      <c r="MA24" s="85"/>
      <c r="MB24" s="85"/>
      <c r="MC24" s="85"/>
      <c r="MD24" s="85"/>
      <c r="ME24" s="85"/>
      <c r="MF24" s="85"/>
      <c r="MG24" s="85"/>
      <c r="MH24" s="85"/>
      <c r="MI24" s="85"/>
      <c r="MJ24" s="85"/>
      <c r="MK24" s="85"/>
      <c r="ML24" s="85"/>
      <c r="MM24" s="85"/>
      <c r="MN24" s="85"/>
      <c r="MO24" s="85"/>
      <c r="MP24" s="85"/>
      <c r="MQ24" s="85"/>
      <c r="MR24" s="85"/>
      <c r="MS24" s="85"/>
      <c r="MT24" s="85"/>
      <c r="MU24" s="85"/>
      <c r="MV24" s="85"/>
      <c r="MW24" s="85"/>
      <c r="MX24" s="85"/>
      <c r="MY24" s="85"/>
      <c r="MZ24" s="85"/>
      <c r="NA24" s="85"/>
      <c r="NB24" s="85"/>
      <c r="NC24" s="85"/>
      <c r="ND24" s="85"/>
      <c r="NE24" s="85"/>
      <c r="NF24" s="85"/>
      <c r="NG24" s="85"/>
      <c r="NH24" s="85"/>
      <c r="NI24" s="85"/>
      <c r="NJ24" s="85"/>
      <c r="NK24" s="85"/>
      <c r="NL24" s="85"/>
      <c r="NM24" s="85"/>
      <c r="NN24" s="85"/>
      <c r="NO24" s="85"/>
      <c r="NP24" s="85"/>
      <c r="NQ24" s="85"/>
      <c r="NR24" s="85"/>
      <c r="NS24" s="85"/>
      <c r="NT24" s="85"/>
      <c r="NU24" s="85"/>
      <c r="NV24" s="85"/>
      <c r="NW24" s="85"/>
      <c r="NX24" s="85"/>
      <c r="NY24" s="85"/>
      <c r="NZ24" s="85"/>
      <c r="OA24" s="85"/>
      <c r="OB24" s="85"/>
      <c r="OC24" s="85"/>
      <c r="OD24" s="85"/>
      <c r="OE24" s="85"/>
      <c r="OF24" s="85"/>
      <c r="OG24" s="85"/>
      <c r="OH24" s="85"/>
      <c r="OI24" s="85"/>
      <c r="OJ24" s="85"/>
      <c r="OK24" s="85"/>
      <c r="OL24" s="85"/>
      <c r="OM24" s="85"/>
      <c r="ON24" s="85"/>
      <c r="OO24" s="85"/>
      <c r="OP24" s="85"/>
      <c r="OQ24" s="85"/>
      <c r="OR24" s="85"/>
      <c r="OS24" s="85"/>
      <c r="OT24" s="85"/>
      <c r="OU24" s="85"/>
      <c r="OV24" s="85"/>
      <c r="OW24" s="85"/>
      <c r="OX24" s="85"/>
      <c r="OY24" s="85"/>
      <c r="OZ24" s="85"/>
      <c r="PA24" s="85"/>
      <c r="PB24" s="85"/>
      <c r="PC24" s="85"/>
      <c r="PD24" s="85"/>
      <c r="PE24" s="85"/>
      <c r="PF24" s="85"/>
      <c r="PG24" s="85"/>
      <c r="PH24" s="85"/>
      <c r="PI24" s="85"/>
      <c r="PJ24" s="85"/>
      <c r="PK24" s="85"/>
      <c r="PL24" s="85"/>
      <c r="PM24" s="85"/>
      <c r="PN24" s="85"/>
      <c r="PO24" s="85"/>
      <c r="PP24" s="85"/>
      <c r="PQ24" s="85"/>
      <c r="PR24" s="85"/>
      <c r="PS24" s="85"/>
      <c r="PT24" s="85"/>
      <c r="PU24" s="85"/>
      <c r="PV24" s="85"/>
      <c r="PW24" s="85"/>
      <c r="PX24" s="85"/>
      <c r="PY24" s="85"/>
      <c r="PZ24" s="85"/>
      <c r="QA24" s="85"/>
      <c r="QB24" s="85"/>
      <c r="QC24" s="85"/>
      <c r="QD24" s="85"/>
      <c r="QE24" s="85"/>
      <c r="QF24" s="85"/>
      <c r="QG24" s="85"/>
      <c r="QH24" s="85"/>
      <c r="QI24" s="85"/>
      <c r="QJ24" s="85"/>
      <c r="QK24" s="85"/>
      <c r="QL24" s="85"/>
      <c r="QM24" s="85"/>
      <c r="QN24" s="85"/>
      <c r="QO24" s="85"/>
      <c r="QP24" s="85"/>
      <c r="QQ24" s="85"/>
      <c r="QR24" s="85"/>
      <c r="QS24" s="85"/>
      <c r="QT24" s="85"/>
      <c r="QU24" s="85"/>
      <c r="QV24" s="85"/>
      <c r="QW24" s="85"/>
      <c r="QX24" s="85"/>
      <c r="QY24" s="85"/>
      <c r="QZ24" s="85"/>
      <c r="RA24" s="85"/>
      <c r="RB24" s="85"/>
      <c r="RC24" s="85"/>
      <c r="RD24" s="85"/>
      <c r="RE24" s="85"/>
      <c r="RF24" s="85"/>
      <c r="RG24" s="85"/>
      <c r="RH24" s="85"/>
      <c r="RI24" s="85"/>
      <c r="RJ24" s="85"/>
      <c r="RK24" s="85"/>
      <c r="RL24" s="85"/>
      <c r="RM24" s="85"/>
      <c r="RN24" s="85"/>
      <c r="RO24" s="85"/>
      <c r="RP24" s="85"/>
      <c r="RQ24" s="85"/>
      <c r="RR24" s="85"/>
      <c r="RS24" s="85"/>
      <c r="RT24" s="85"/>
      <c r="RU24" s="85"/>
      <c r="RV24" s="85"/>
      <c r="RW24" s="85"/>
      <c r="RX24" s="85"/>
      <c r="RY24" s="85"/>
      <c r="RZ24" s="85"/>
      <c r="SA24" s="85"/>
      <c r="SB24" s="85"/>
      <c r="SC24" s="85"/>
      <c r="SD24" s="85"/>
      <c r="SE24" s="85"/>
      <c r="SF24" s="85"/>
      <c r="SG24" s="85"/>
      <c r="SH24" s="85"/>
      <c r="SI24" s="85"/>
      <c r="SJ24" s="85"/>
      <c r="SK24" s="85"/>
      <c r="SL24" s="85"/>
      <c r="SM24" s="85"/>
      <c r="SN24" s="85"/>
      <c r="SO24" s="85"/>
      <c r="SP24" s="85"/>
      <c r="SQ24" s="85"/>
      <c r="SR24" s="85"/>
      <c r="SS24" s="85"/>
      <c r="ST24" s="85"/>
      <c r="SU24" s="85"/>
      <c r="SV24" s="85"/>
      <c r="SW24" s="85"/>
      <c r="SX24" s="85"/>
      <c r="SY24" s="85"/>
      <c r="SZ24" s="85"/>
      <c r="TA24" s="85"/>
      <c r="TB24" s="85"/>
      <c r="TC24" s="85"/>
      <c r="TD24" s="85"/>
      <c r="TE24" s="85"/>
      <c r="TF24" s="85"/>
      <c r="TG24" s="85"/>
      <c r="TH24" s="85"/>
      <c r="TI24" s="85"/>
      <c r="TJ24" s="85"/>
      <c r="TK24" s="85"/>
      <c r="TL24" s="85"/>
      <c r="TM24" s="85"/>
      <c r="TN24" s="85"/>
      <c r="TO24" s="85"/>
      <c r="TP24" s="85"/>
      <c r="TQ24" s="85"/>
      <c r="TR24" s="85"/>
      <c r="TS24" s="85"/>
      <c r="TT24" s="85"/>
      <c r="TU24" s="85"/>
      <c r="TV24" s="85"/>
      <c r="TW24" s="85"/>
      <c r="TX24" s="85"/>
      <c r="TY24" s="85"/>
      <c r="TZ24" s="85"/>
      <c r="UA24" s="85"/>
      <c r="UB24" s="85"/>
      <c r="UC24" s="85"/>
      <c r="UD24" s="85"/>
      <c r="UE24" s="85"/>
      <c r="UF24" s="85"/>
      <c r="UG24" s="85"/>
      <c r="UH24" s="85"/>
      <c r="UI24" s="85"/>
      <c r="UJ24" s="85"/>
      <c r="UK24" s="85"/>
      <c r="UL24" s="85"/>
      <c r="UM24" s="85"/>
      <c r="UN24" s="85"/>
      <c r="UO24" s="85"/>
      <c r="UP24" s="85"/>
      <c r="UQ24" s="85"/>
      <c r="UR24" s="85"/>
      <c r="US24" s="85"/>
      <c r="UT24" s="85"/>
      <c r="UU24" s="85"/>
      <c r="UV24" s="85"/>
      <c r="UW24" s="85"/>
      <c r="UX24" s="85"/>
      <c r="UY24" s="85"/>
      <c r="UZ24" s="85"/>
      <c r="VA24" s="85"/>
      <c r="VB24" s="85"/>
      <c r="VC24" s="85"/>
      <c r="VD24" s="85"/>
      <c r="VE24" s="85"/>
      <c r="VF24" s="85"/>
      <c r="VG24" s="85"/>
      <c r="VH24" s="85"/>
      <c r="VI24" s="85"/>
      <c r="VJ24" s="85"/>
      <c r="VK24" s="85"/>
      <c r="VL24" s="85"/>
      <c r="VM24" s="85"/>
      <c r="VN24" s="85"/>
      <c r="VO24" s="85"/>
      <c r="VP24" s="85"/>
      <c r="VQ24" s="85"/>
      <c r="VR24" s="85"/>
      <c r="VS24" s="85"/>
      <c r="VT24" s="85"/>
      <c r="VU24" s="85"/>
      <c r="VV24" s="85"/>
      <c r="VW24" s="85"/>
      <c r="VX24" s="85"/>
      <c r="VY24" s="85"/>
      <c r="VZ24" s="85"/>
      <c r="WA24" s="85"/>
      <c r="WB24" s="85"/>
      <c r="WC24" s="85"/>
      <c r="WD24" s="85"/>
      <c r="WE24" s="85"/>
      <c r="WF24" s="85"/>
      <c r="WG24" s="85"/>
      <c r="WH24" s="85"/>
      <c r="WI24" s="85"/>
      <c r="WJ24" s="85"/>
      <c r="WK24" s="85"/>
      <c r="WL24" s="85"/>
      <c r="WM24" s="85"/>
      <c r="WN24" s="85"/>
      <c r="WO24" s="85"/>
      <c r="WP24" s="85"/>
      <c r="WQ24" s="85"/>
      <c r="WR24" s="85"/>
      <c r="WS24" s="85"/>
      <c r="WT24" s="85"/>
      <c r="WU24" s="85"/>
      <c r="WV24" s="85"/>
      <c r="WW24" s="85"/>
      <c r="WX24" s="85"/>
      <c r="WY24" s="85"/>
      <c r="WZ24" s="85"/>
      <c r="XA24" s="85"/>
      <c r="XB24" s="85"/>
      <c r="XC24" s="85"/>
      <c r="XD24" s="85"/>
      <c r="XE24" s="85"/>
      <c r="XF24" s="85"/>
      <c r="XG24" s="85"/>
      <c r="XH24" s="85"/>
      <c r="XI24" s="85"/>
      <c r="XJ24" s="85"/>
      <c r="XK24" s="85"/>
      <c r="XL24" s="85"/>
      <c r="XM24" s="85"/>
      <c r="XN24" s="85"/>
      <c r="XO24" s="85"/>
      <c r="XP24" s="85"/>
      <c r="XQ24" s="85"/>
      <c r="XR24" s="85"/>
      <c r="XS24" s="85"/>
      <c r="XT24" s="85"/>
      <c r="XU24" s="85"/>
      <c r="XV24" s="85"/>
      <c r="XW24" s="85"/>
    </row>
    <row r="25" spans="1:647" s="30" customFormat="1" ht="14.25" customHeight="1">
      <c r="A25" s="88"/>
      <c r="B25" s="89"/>
      <c r="C25" s="92"/>
      <c r="D25" s="92"/>
      <c r="E25" s="94"/>
      <c r="F25" s="92"/>
      <c r="G25" s="92"/>
      <c r="H25" s="92"/>
      <c r="I25" s="274"/>
      <c r="J25" s="279"/>
      <c r="K25" s="283"/>
      <c r="L25" s="347"/>
      <c r="M25" s="159"/>
      <c r="N25" s="159"/>
      <c r="O25" s="159"/>
      <c r="P25" s="159"/>
      <c r="Q25" s="175"/>
      <c r="R25" s="91"/>
      <c r="S25" s="156"/>
      <c r="T25" s="92"/>
      <c r="U25" s="95"/>
      <c r="V25" s="92"/>
      <c r="W25" s="92"/>
      <c r="X25" s="92"/>
      <c r="Y25" s="168"/>
      <c r="Z25" s="168"/>
      <c r="AA25" s="161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85"/>
      <c r="BU25" s="85"/>
      <c r="BV25" s="85"/>
      <c r="BW25" s="85"/>
      <c r="BX25" s="85"/>
      <c r="BY25" s="85"/>
      <c r="BZ25" s="85"/>
      <c r="CA25" s="85"/>
      <c r="CB25" s="85"/>
      <c r="CC25" s="85"/>
      <c r="CD25" s="85"/>
      <c r="CE25" s="85"/>
      <c r="CF25" s="85"/>
      <c r="CG25" s="85"/>
      <c r="CH25" s="85"/>
      <c r="CI25" s="85"/>
      <c r="CJ25" s="85"/>
      <c r="CK25" s="85"/>
      <c r="CL25" s="85"/>
      <c r="CM25" s="85"/>
      <c r="CN25" s="85"/>
      <c r="CO25" s="85"/>
      <c r="CP25" s="85"/>
      <c r="CQ25" s="85"/>
      <c r="CR25" s="85"/>
      <c r="CS25" s="85"/>
      <c r="CT25" s="85"/>
      <c r="CU25" s="85"/>
      <c r="CV25" s="85"/>
      <c r="CW25" s="85"/>
      <c r="CX25" s="85"/>
      <c r="CY25" s="85"/>
      <c r="CZ25" s="85"/>
      <c r="DA25" s="85"/>
      <c r="DB25" s="85"/>
      <c r="DC25" s="85"/>
      <c r="DD25" s="85"/>
      <c r="DE25" s="85"/>
      <c r="DF25" s="85"/>
      <c r="DG25" s="85"/>
      <c r="DH25" s="85"/>
      <c r="DI25" s="85"/>
      <c r="DJ25" s="85"/>
      <c r="DK25" s="85"/>
      <c r="DL25" s="85"/>
      <c r="DM25" s="85"/>
      <c r="DN25" s="85"/>
      <c r="DO25" s="85"/>
      <c r="DP25" s="85"/>
      <c r="DQ25" s="85"/>
      <c r="DR25" s="85"/>
      <c r="DS25" s="85"/>
      <c r="DT25" s="85"/>
      <c r="DU25" s="85"/>
      <c r="DV25" s="85"/>
      <c r="DW25" s="85"/>
      <c r="DX25" s="85"/>
      <c r="DY25" s="85"/>
      <c r="DZ25" s="85"/>
      <c r="EA25" s="85"/>
      <c r="EB25" s="85"/>
      <c r="EC25" s="85"/>
      <c r="ED25" s="85"/>
      <c r="EE25" s="85"/>
      <c r="EF25" s="85"/>
      <c r="EG25" s="85"/>
      <c r="EH25" s="85"/>
      <c r="EI25" s="85"/>
      <c r="EJ25" s="85"/>
      <c r="EK25" s="85"/>
      <c r="EL25" s="85"/>
      <c r="EM25" s="85"/>
      <c r="EN25" s="85"/>
      <c r="EO25" s="85"/>
      <c r="EP25" s="85"/>
      <c r="EQ25" s="85"/>
      <c r="ER25" s="85"/>
      <c r="ES25" s="85"/>
      <c r="ET25" s="85"/>
      <c r="EU25" s="85"/>
      <c r="EV25" s="85"/>
      <c r="EW25" s="85"/>
      <c r="EX25" s="85"/>
      <c r="EY25" s="85"/>
      <c r="EZ25" s="85"/>
      <c r="FA25" s="85"/>
      <c r="FB25" s="85"/>
      <c r="FC25" s="85"/>
      <c r="FD25" s="85"/>
      <c r="FE25" s="85"/>
      <c r="FF25" s="85"/>
      <c r="FG25" s="85"/>
      <c r="FH25" s="85"/>
      <c r="FI25" s="85"/>
      <c r="FJ25" s="85"/>
      <c r="FK25" s="85"/>
      <c r="FL25" s="85"/>
      <c r="FM25" s="85"/>
      <c r="FN25" s="85"/>
      <c r="FO25" s="85"/>
      <c r="FP25" s="85"/>
      <c r="FQ25" s="85"/>
      <c r="FR25" s="85"/>
      <c r="FS25" s="85"/>
      <c r="FT25" s="85"/>
      <c r="FU25" s="85"/>
      <c r="FV25" s="85"/>
      <c r="FW25" s="85"/>
      <c r="FX25" s="85"/>
      <c r="FY25" s="85"/>
      <c r="FZ25" s="85"/>
      <c r="GA25" s="85"/>
      <c r="GB25" s="85"/>
      <c r="GC25" s="85"/>
      <c r="GD25" s="85"/>
      <c r="GE25" s="85"/>
      <c r="GF25" s="85"/>
      <c r="GG25" s="85"/>
      <c r="GH25" s="85"/>
      <c r="GI25" s="85"/>
      <c r="GJ25" s="85"/>
      <c r="GK25" s="85"/>
      <c r="GL25" s="85"/>
      <c r="GM25" s="85"/>
      <c r="GN25" s="85"/>
      <c r="GO25" s="85"/>
      <c r="GP25" s="85"/>
      <c r="GQ25" s="85"/>
      <c r="GR25" s="85"/>
      <c r="GS25" s="85"/>
      <c r="GT25" s="85"/>
      <c r="GU25" s="85"/>
      <c r="GV25" s="85"/>
      <c r="GW25" s="85"/>
      <c r="GX25" s="85"/>
      <c r="GY25" s="85"/>
      <c r="GZ25" s="85"/>
      <c r="HA25" s="85"/>
      <c r="HB25" s="85"/>
      <c r="HC25" s="85"/>
      <c r="HD25" s="85"/>
      <c r="HE25" s="85"/>
      <c r="HF25" s="85"/>
      <c r="HG25" s="85"/>
      <c r="HH25" s="85"/>
      <c r="HI25" s="85"/>
      <c r="HJ25" s="85"/>
      <c r="HK25" s="85"/>
      <c r="HL25" s="85"/>
      <c r="HM25" s="85"/>
      <c r="HN25" s="85"/>
      <c r="HO25" s="85"/>
      <c r="HP25" s="85"/>
      <c r="HQ25" s="85"/>
      <c r="HR25" s="85"/>
      <c r="HS25" s="85"/>
      <c r="HT25" s="85"/>
      <c r="HU25" s="85"/>
      <c r="HV25" s="85"/>
      <c r="HW25" s="85"/>
      <c r="HX25" s="85"/>
      <c r="HY25" s="85"/>
      <c r="HZ25" s="85"/>
      <c r="IA25" s="85"/>
      <c r="IB25" s="85"/>
      <c r="IC25" s="85"/>
      <c r="ID25" s="85"/>
      <c r="IE25" s="85"/>
      <c r="IF25" s="85"/>
      <c r="IG25" s="85"/>
      <c r="IH25" s="85"/>
      <c r="II25" s="85"/>
      <c r="IJ25" s="85"/>
      <c r="IK25" s="85"/>
      <c r="IL25" s="85"/>
      <c r="IM25" s="85"/>
      <c r="IN25" s="85"/>
      <c r="IO25" s="85"/>
      <c r="IP25" s="85"/>
      <c r="IQ25" s="85"/>
      <c r="IR25" s="85"/>
      <c r="IS25" s="85"/>
      <c r="IT25" s="85"/>
      <c r="IU25" s="85"/>
      <c r="IV25" s="85"/>
      <c r="IW25" s="85"/>
      <c r="IX25" s="85"/>
      <c r="IY25" s="85"/>
      <c r="IZ25" s="85"/>
      <c r="JA25" s="85"/>
      <c r="JB25" s="85"/>
      <c r="JC25" s="85"/>
      <c r="JD25" s="85"/>
      <c r="JE25" s="85"/>
      <c r="JF25" s="85"/>
      <c r="JG25" s="85"/>
      <c r="JH25" s="85"/>
      <c r="JI25" s="85"/>
      <c r="JJ25" s="85"/>
      <c r="JK25" s="85"/>
      <c r="JL25" s="85"/>
      <c r="JM25" s="85"/>
      <c r="JN25" s="85"/>
      <c r="JO25" s="85"/>
      <c r="JP25" s="85"/>
      <c r="JQ25" s="85"/>
      <c r="JR25" s="85"/>
      <c r="JS25" s="85"/>
      <c r="JT25" s="85"/>
      <c r="JU25" s="85"/>
      <c r="JV25" s="85"/>
      <c r="JW25" s="85"/>
      <c r="JX25" s="85"/>
      <c r="JY25" s="85"/>
      <c r="JZ25" s="85"/>
      <c r="KA25" s="85"/>
      <c r="KB25" s="85"/>
      <c r="KC25" s="85"/>
      <c r="KD25" s="85"/>
      <c r="KE25" s="85"/>
      <c r="KF25" s="85"/>
      <c r="KG25" s="85"/>
      <c r="KH25" s="85"/>
      <c r="KI25" s="85"/>
      <c r="KJ25" s="85"/>
      <c r="KK25" s="85"/>
      <c r="KL25" s="85"/>
      <c r="KM25" s="85"/>
      <c r="KN25" s="85"/>
      <c r="KO25" s="85"/>
      <c r="KP25" s="85"/>
      <c r="KQ25" s="85"/>
      <c r="KR25" s="85"/>
      <c r="KS25" s="85"/>
      <c r="KT25" s="85"/>
      <c r="KU25" s="85"/>
      <c r="KV25" s="85"/>
      <c r="KW25" s="85"/>
      <c r="KX25" s="85"/>
      <c r="KY25" s="85"/>
      <c r="KZ25" s="85"/>
      <c r="LA25" s="85"/>
      <c r="LB25" s="85"/>
      <c r="LC25" s="85"/>
      <c r="LD25" s="85"/>
      <c r="LE25" s="85"/>
      <c r="LF25" s="85"/>
      <c r="LG25" s="85"/>
      <c r="LH25" s="85"/>
      <c r="LI25" s="85"/>
      <c r="LJ25" s="85"/>
      <c r="LK25" s="85"/>
      <c r="LL25" s="85"/>
      <c r="LM25" s="85"/>
      <c r="LN25" s="85"/>
      <c r="LO25" s="85"/>
      <c r="LP25" s="85"/>
      <c r="LQ25" s="85"/>
      <c r="LR25" s="85"/>
      <c r="LS25" s="85"/>
      <c r="LT25" s="85"/>
      <c r="LU25" s="85"/>
      <c r="LV25" s="85"/>
      <c r="LW25" s="85"/>
      <c r="LX25" s="85"/>
      <c r="LY25" s="85"/>
      <c r="LZ25" s="85"/>
      <c r="MA25" s="85"/>
      <c r="MB25" s="85"/>
      <c r="MC25" s="85"/>
      <c r="MD25" s="85"/>
      <c r="ME25" s="85"/>
      <c r="MF25" s="85"/>
      <c r="MG25" s="85"/>
      <c r="MH25" s="85"/>
      <c r="MI25" s="85"/>
      <c r="MJ25" s="85"/>
      <c r="MK25" s="85"/>
      <c r="ML25" s="85"/>
      <c r="MM25" s="85"/>
      <c r="MN25" s="85"/>
      <c r="MO25" s="85"/>
      <c r="MP25" s="85"/>
      <c r="MQ25" s="85"/>
      <c r="MR25" s="85"/>
      <c r="MS25" s="85"/>
      <c r="MT25" s="85"/>
      <c r="MU25" s="85"/>
      <c r="MV25" s="85"/>
      <c r="MW25" s="85"/>
      <c r="MX25" s="85"/>
      <c r="MY25" s="85"/>
      <c r="MZ25" s="85"/>
      <c r="NA25" s="85"/>
      <c r="NB25" s="85"/>
      <c r="NC25" s="85"/>
      <c r="ND25" s="85"/>
      <c r="NE25" s="85"/>
      <c r="NF25" s="85"/>
      <c r="NG25" s="85"/>
      <c r="NH25" s="85"/>
      <c r="NI25" s="85"/>
      <c r="NJ25" s="85"/>
      <c r="NK25" s="85"/>
      <c r="NL25" s="85"/>
      <c r="NM25" s="85"/>
      <c r="NN25" s="85"/>
      <c r="NO25" s="85"/>
      <c r="NP25" s="85"/>
      <c r="NQ25" s="85"/>
      <c r="NR25" s="85"/>
      <c r="NS25" s="85"/>
      <c r="NT25" s="85"/>
      <c r="NU25" s="85"/>
      <c r="NV25" s="85"/>
      <c r="NW25" s="85"/>
      <c r="NX25" s="85"/>
      <c r="NY25" s="85"/>
      <c r="NZ25" s="85"/>
      <c r="OA25" s="85"/>
      <c r="OB25" s="85"/>
      <c r="OC25" s="85"/>
      <c r="OD25" s="85"/>
      <c r="OE25" s="85"/>
      <c r="OF25" s="85"/>
      <c r="OG25" s="85"/>
      <c r="OH25" s="85"/>
      <c r="OI25" s="85"/>
      <c r="OJ25" s="85"/>
      <c r="OK25" s="85"/>
      <c r="OL25" s="85"/>
      <c r="OM25" s="85"/>
      <c r="ON25" s="85"/>
      <c r="OO25" s="85"/>
      <c r="OP25" s="85"/>
      <c r="OQ25" s="85"/>
      <c r="OR25" s="85"/>
      <c r="OS25" s="85"/>
      <c r="OT25" s="85"/>
      <c r="OU25" s="85"/>
      <c r="OV25" s="85"/>
      <c r="OW25" s="85"/>
      <c r="OX25" s="85"/>
      <c r="OY25" s="85"/>
      <c r="OZ25" s="85"/>
      <c r="PA25" s="85"/>
      <c r="PB25" s="85"/>
      <c r="PC25" s="85"/>
      <c r="PD25" s="85"/>
      <c r="PE25" s="85"/>
      <c r="PF25" s="85"/>
      <c r="PG25" s="85"/>
      <c r="PH25" s="85"/>
      <c r="PI25" s="85"/>
      <c r="PJ25" s="85"/>
      <c r="PK25" s="85"/>
      <c r="PL25" s="85"/>
      <c r="PM25" s="85"/>
      <c r="PN25" s="85"/>
      <c r="PO25" s="85"/>
      <c r="PP25" s="85"/>
      <c r="PQ25" s="85"/>
      <c r="PR25" s="85"/>
      <c r="PS25" s="85"/>
      <c r="PT25" s="85"/>
      <c r="PU25" s="85"/>
      <c r="PV25" s="85"/>
      <c r="PW25" s="85"/>
      <c r="PX25" s="85"/>
      <c r="PY25" s="85"/>
      <c r="PZ25" s="85"/>
      <c r="QA25" s="85"/>
      <c r="QB25" s="85"/>
      <c r="QC25" s="85"/>
      <c r="QD25" s="85"/>
      <c r="QE25" s="85"/>
      <c r="QF25" s="85"/>
      <c r="QG25" s="85"/>
      <c r="QH25" s="85"/>
      <c r="QI25" s="85"/>
      <c r="QJ25" s="85"/>
      <c r="QK25" s="85"/>
      <c r="QL25" s="85"/>
      <c r="QM25" s="85"/>
      <c r="QN25" s="85"/>
      <c r="QO25" s="85"/>
      <c r="QP25" s="85"/>
      <c r="QQ25" s="85"/>
      <c r="QR25" s="85"/>
      <c r="QS25" s="85"/>
      <c r="QT25" s="85"/>
      <c r="QU25" s="85"/>
      <c r="QV25" s="85"/>
      <c r="QW25" s="85"/>
      <c r="QX25" s="85"/>
      <c r="QY25" s="85"/>
      <c r="QZ25" s="85"/>
      <c r="RA25" s="85"/>
      <c r="RB25" s="85"/>
      <c r="RC25" s="85"/>
      <c r="RD25" s="85"/>
      <c r="RE25" s="85"/>
      <c r="RF25" s="85"/>
      <c r="RG25" s="85"/>
      <c r="RH25" s="85"/>
      <c r="RI25" s="85"/>
      <c r="RJ25" s="85"/>
      <c r="RK25" s="85"/>
      <c r="RL25" s="85"/>
      <c r="RM25" s="85"/>
      <c r="RN25" s="85"/>
      <c r="RO25" s="85"/>
      <c r="RP25" s="85"/>
      <c r="RQ25" s="85"/>
      <c r="RR25" s="85"/>
      <c r="RS25" s="85"/>
      <c r="RT25" s="85"/>
      <c r="RU25" s="85"/>
      <c r="RV25" s="85"/>
      <c r="RW25" s="85"/>
      <c r="RX25" s="85"/>
      <c r="RY25" s="85"/>
      <c r="RZ25" s="85"/>
      <c r="SA25" s="85"/>
      <c r="SB25" s="85"/>
      <c r="SC25" s="85"/>
      <c r="SD25" s="85"/>
      <c r="SE25" s="85"/>
      <c r="SF25" s="85"/>
      <c r="SG25" s="85"/>
      <c r="SH25" s="85"/>
      <c r="SI25" s="85"/>
      <c r="SJ25" s="85"/>
      <c r="SK25" s="85"/>
      <c r="SL25" s="85"/>
      <c r="SM25" s="85"/>
      <c r="SN25" s="85"/>
      <c r="SO25" s="85"/>
      <c r="SP25" s="85"/>
      <c r="SQ25" s="85"/>
      <c r="SR25" s="85"/>
      <c r="SS25" s="85"/>
      <c r="ST25" s="85"/>
      <c r="SU25" s="85"/>
      <c r="SV25" s="85"/>
      <c r="SW25" s="85"/>
      <c r="SX25" s="85"/>
      <c r="SY25" s="85"/>
      <c r="SZ25" s="85"/>
      <c r="TA25" s="85"/>
      <c r="TB25" s="85"/>
      <c r="TC25" s="85"/>
      <c r="TD25" s="85"/>
      <c r="TE25" s="85"/>
      <c r="TF25" s="85"/>
      <c r="TG25" s="85"/>
      <c r="TH25" s="85"/>
      <c r="TI25" s="85"/>
      <c r="TJ25" s="85"/>
      <c r="TK25" s="85"/>
      <c r="TL25" s="85"/>
      <c r="TM25" s="85"/>
      <c r="TN25" s="85"/>
      <c r="TO25" s="85"/>
      <c r="TP25" s="85"/>
      <c r="TQ25" s="85"/>
      <c r="TR25" s="85"/>
      <c r="TS25" s="85"/>
      <c r="TT25" s="85"/>
      <c r="TU25" s="85"/>
      <c r="TV25" s="85"/>
      <c r="TW25" s="85"/>
      <c r="TX25" s="85"/>
      <c r="TY25" s="85"/>
      <c r="TZ25" s="85"/>
      <c r="UA25" s="85"/>
      <c r="UB25" s="85"/>
      <c r="UC25" s="85"/>
      <c r="UD25" s="85"/>
      <c r="UE25" s="85"/>
      <c r="UF25" s="85"/>
      <c r="UG25" s="85"/>
      <c r="UH25" s="85"/>
      <c r="UI25" s="85"/>
      <c r="UJ25" s="85"/>
      <c r="UK25" s="85"/>
      <c r="UL25" s="85"/>
      <c r="UM25" s="85"/>
      <c r="UN25" s="85"/>
      <c r="UO25" s="85"/>
      <c r="UP25" s="85"/>
      <c r="UQ25" s="85"/>
      <c r="UR25" s="85"/>
      <c r="US25" s="85"/>
      <c r="UT25" s="85"/>
      <c r="UU25" s="85"/>
      <c r="UV25" s="85"/>
      <c r="UW25" s="85"/>
      <c r="UX25" s="85"/>
      <c r="UY25" s="85"/>
      <c r="UZ25" s="85"/>
      <c r="VA25" s="85"/>
      <c r="VB25" s="85"/>
      <c r="VC25" s="85"/>
      <c r="VD25" s="85"/>
      <c r="VE25" s="85"/>
      <c r="VF25" s="85"/>
      <c r="VG25" s="85"/>
      <c r="VH25" s="85"/>
      <c r="VI25" s="85"/>
      <c r="VJ25" s="85"/>
      <c r="VK25" s="85"/>
      <c r="VL25" s="85"/>
      <c r="VM25" s="85"/>
      <c r="VN25" s="85"/>
      <c r="VO25" s="85"/>
      <c r="VP25" s="85"/>
      <c r="VQ25" s="85"/>
      <c r="VR25" s="85"/>
      <c r="VS25" s="85"/>
      <c r="VT25" s="85"/>
      <c r="VU25" s="85"/>
      <c r="VV25" s="85"/>
      <c r="VW25" s="85"/>
      <c r="VX25" s="85"/>
      <c r="VY25" s="85"/>
      <c r="VZ25" s="85"/>
      <c r="WA25" s="85"/>
      <c r="WB25" s="85"/>
      <c r="WC25" s="85"/>
      <c r="WD25" s="85"/>
      <c r="WE25" s="85"/>
      <c r="WF25" s="85"/>
      <c r="WG25" s="85"/>
      <c r="WH25" s="85"/>
      <c r="WI25" s="85"/>
      <c r="WJ25" s="85"/>
      <c r="WK25" s="85"/>
      <c r="WL25" s="85"/>
      <c r="WM25" s="85"/>
      <c r="WN25" s="85"/>
      <c r="WO25" s="85"/>
      <c r="WP25" s="85"/>
      <c r="WQ25" s="85"/>
      <c r="WR25" s="85"/>
      <c r="WS25" s="85"/>
      <c r="WT25" s="85"/>
      <c r="WU25" s="85"/>
      <c r="WV25" s="85"/>
      <c r="WW25" s="85"/>
      <c r="WX25" s="85"/>
      <c r="WY25" s="85"/>
      <c r="WZ25" s="85"/>
      <c r="XA25" s="85"/>
      <c r="XB25" s="85"/>
      <c r="XC25" s="85"/>
      <c r="XD25" s="85"/>
      <c r="XE25" s="85"/>
      <c r="XF25" s="85"/>
      <c r="XG25" s="85"/>
      <c r="XH25" s="85"/>
      <c r="XI25" s="85"/>
      <c r="XJ25" s="85"/>
      <c r="XK25" s="85"/>
      <c r="XL25" s="85"/>
      <c r="XM25" s="85"/>
      <c r="XN25" s="85"/>
      <c r="XO25" s="85"/>
      <c r="XP25" s="85"/>
      <c r="XQ25" s="85"/>
      <c r="XR25" s="85"/>
      <c r="XS25" s="85"/>
      <c r="XT25" s="85"/>
      <c r="XU25" s="85"/>
      <c r="XV25" s="85"/>
      <c r="XW25" s="85"/>
    </row>
    <row r="26" spans="1:647" s="30" customFormat="1" ht="14.25" customHeight="1">
      <c r="A26" s="88"/>
      <c r="B26" s="89"/>
      <c r="C26" s="92"/>
      <c r="D26" s="92"/>
      <c r="E26" s="94"/>
      <c r="F26" s="92"/>
      <c r="G26" s="92"/>
      <c r="H26" s="92"/>
      <c r="I26" s="275"/>
      <c r="J26" s="280"/>
      <c r="K26" s="284"/>
      <c r="L26" s="346"/>
      <c r="M26" s="159"/>
      <c r="N26" s="159"/>
      <c r="O26" s="159"/>
      <c r="P26" s="159"/>
      <c r="Q26" s="175"/>
      <c r="R26" s="91"/>
      <c r="S26" s="156"/>
      <c r="T26" s="92"/>
      <c r="U26" s="95"/>
      <c r="V26" s="92"/>
      <c r="W26" s="92"/>
      <c r="X26" s="92"/>
      <c r="Y26" s="168"/>
      <c r="Z26" s="168"/>
      <c r="AA26" s="161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85"/>
      <c r="BU26" s="85"/>
      <c r="BV26" s="85"/>
      <c r="BW26" s="85"/>
      <c r="BX26" s="85"/>
      <c r="BY26" s="85"/>
      <c r="BZ26" s="85"/>
      <c r="CA26" s="85"/>
      <c r="CB26" s="85"/>
      <c r="CC26" s="85"/>
      <c r="CD26" s="85"/>
      <c r="CE26" s="85"/>
      <c r="CF26" s="85"/>
      <c r="CG26" s="85"/>
      <c r="CH26" s="85"/>
      <c r="CI26" s="85"/>
      <c r="CJ26" s="85"/>
      <c r="CK26" s="85"/>
      <c r="CL26" s="85"/>
      <c r="CM26" s="85"/>
      <c r="CN26" s="85"/>
      <c r="CO26" s="85"/>
      <c r="CP26" s="85"/>
      <c r="CQ26" s="85"/>
      <c r="CR26" s="85"/>
      <c r="CS26" s="85"/>
      <c r="CT26" s="85"/>
      <c r="CU26" s="85"/>
      <c r="CV26" s="85"/>
      <c r="CW26" s="85"/>
      <c r="CX26" s="85"/>
      <c r="CY26" s="85"/>
      <c r="CZ26" s="85"/>
      <c r="DA26" s="85"/>
      <c r="DB26" s="85"/>
      <c r="DC26" s="85"/>
      <c r="DD26" s="85"/>
      <c r="DE26" s="85"/>
      <c r="DF26" s="85"/>
      <c r="DG26" s="85"/>
      <c r="DH26" s="85"/>
      <c r="DI26" s="85"/>
      <c r="DJ26" s="85"/>
      <c r="DK26" s="85"/>
      <c r="DL26" s="85"/>
      <c r="DM26" s="85"/>
      <c r="DN26" s="85"/>
      <c r="DO26" s="85"/>
      <c r="DP26" s="85"/>
      <c r="DQ26" s="85"/>
      <c r="DR26" s="85"/>
      <c r="DS26" s="85"/>
      <c r="DT26" s="85"/>
      <c r="DU26" s="85"/>
      <c r="DV26" s="85"/>
      <c r="DW26" s="85"/>
      <c r="DX26" s="85"/>
      <c r="DY26" s="85"/>
      <c r="DZ26" s="85"/>
      <c r="EA26" s="85"/>
      <c r="EB26" s="85"/>
      <c r="EC26" s="85"/>
      <c r="ED26" s="85"/>
      <c r="EE26" s="85"/>
      <c r="EF26" s="85"/>
      <c r="EG26" s="85"/>
      <c r="EH26" s="85"/>
      <c r="EI26" s="85"/>
      <c r="EJ26" s="85"/>
      <c r="EK26" s="85"/>
      <c r="EL26" s="85"/>
      <c r="EM26" s="85"/>
      <c r="EN26" s="85"/>
      <c r="EO26" s="85"/>
      <c r="EP26" s="85"/>
      <c r="EQ26" s="85"/>
      <c r="ER26" s="85"/>
      <c r="ES26" s="85"/>
      <c r="ET26" s="85"/>
      <c r="EU26" s="85"/>
      <c r="EV26" s="85"/>
      <c r="EW26" s="85"/>
      <c r="EX26" s="85"/>
      <c r="EY26" s="85"/>
      <c r="EZ26" s="85"/>
      <c r="FA26" s="85"/>
      <c r="FB26" s="85"/>
      <c r="FC26" s="85"/>
      <c r="FD26" s="85"/>
      <c r="FE26" s="85"/>
      <c r="FF26" s="85"/>
      <c r="FG26" s="85"/>
      <c r="FH26" s="85"/>
      <c r="FI26" s="85"/>
      <c r="FJ26" s="85"/>
      <c r="FK26" s="85"/>
      <c r="FL26" s="85"/>
      <c r="FM26" s="85"/>
      <c r="FN26" s="85"/>
      <c r="FO26" s="85"/>
      <c r="FP26" s="85"/>
      <c r="FQ26" s="85"/>
      <c r="FR26" s="85"/>
      <c r="FS26" s="85"/>
      <c r="FT26" s="85"/>
      <c r="FU26" s="85"/>
      <c r="FV26" s="85"/>
      <c r="FW26" s="85"/>
      <c r="FX26" s="85"/>
      <c r="FY26" s="85"/>
      <c r="FZ26" s="85"/>
      <c r="GA26" s="85"/>
      <c r="GB26" s="85"/>
      <c r="GC26" s="85"/>
      <c r="GD26" s="85"/>
      <c r="GE26" s="85"/>
      <c r="GF26" s="85"/>
      <c r="GG26" s="85"/>
      <c r="GH26" s="85"/>
      <c r="GI26" s="85"/>
      <c r="GJ26" s="85"/>
      <c r="GK26" s="85"/>
      <c r="GL26" s="85"/>
      <c r="GM26" s="85"/>
      <c r="GN26" s="85"/>
      <c r="GO26" s="85"/>
      <c r="GP26" s="85"/>
      <c r="GQ26" s="85"/>
      <c r="GR26" s="85"/>
      <c r="GS26" s="85"/>
      <c r="GT26" s="85"/>
      <c r="GU26" s="85"/>
      <c r="GV26" s="85"/>
      <c r="GW26" s="85"/>
      <c r="GX26" s="85"/>
      <c r="GY26" s="85"/>
      <c r="GZ26" s="85"/>
      <c r="HA26" s="85"/>
      <c r="HB26" s="85"/>
      <c r="HC26" s="85"/>
      <c r="HD26" s="85"/>
      <c r="HE26" s="85"/>
      <c r="HF26" s="85"/>
      <c r="HG26" s="85"/>
      <c r="HH26" s="85"/>
      <c r="HI26" s="85"/>
      <c r="HJ26" s="85"/>
      <c r="HK26" s="85"/>
      <c r="HL26" s="85"/>
      <c r="HM26" s="85"/>
      <c r="HN26" s="85"/>
      <c r="HO26" s="85"/>
      <c r="HP26" s="85"/>
      <c r="HQ26" s="85"/>
      <c r="HR26" s="85"/>
      <c r="HS26" s="85"/>
      <c r="HT26" s="85"/>
      <c r="HU26" s="85"/>
      <c r="HV26" s="85"/>
      <c r="HW26" s="85"/>
      <c r="HX26" s="85"/>
      <c r="HY26" s="85"/>
      <c r="HZ26" s="85"/>
      <c r="IA26" s="85"/>
      <c r="IB26" s="85"/>
      <c r="IC26" s="85"/>
      <c r="ID26" s="85"/>
      <c r="IE26" s="85"/>
      <c r="IF26" s="85"/>
      <c r="IG26" s="85"/>
      <c r="IH26" s="85"/>
      <c r="II26" s="85"/>
      <c r="IJ26" s="85"/>
      <c r="IK26" s="85"/>
      <c r="IL26" s="85"/>
      <c r="IM26" s="85"/>
      <c r="IN26" s="85"/>
      <c r="IO26" s="85"/>
      <c r="IP26" s="85"/>
      <c r="IQ26" s="85"/>
      <c r="IR26" s="85"/>
      <c r="IS26" s="85"/>
      <c r="IT26" s="85"/>
      <c r="IU26" s="85"/>
      <c r="IV26" s="85"/>
      <c r="IW26" s="85"/>
      <c r="IX26" s="85"/>
      <c r="IY26" s="85"/>
      <c r="IZ26" s="85"/>
      <c r="JA26" s="85"/>
      <c r="JB26" s="85"/>
      <c r="JC26" s="85"/>
      <c r="JD26" s="85"/>
      <c r="JE26" s="85"/>
      <c r="JF26" s="85"/>
      <c r="JG26" s="85"/>
      <c r="JH26" s="85"/>
      <c r="JI26" s="85"/>
      <c r="JJ26" s="85"/>
      <c r="JK26" s="85"/>
      <c r="JL26" s="85"/>
      <c r="JM26" s="85"/>
      <c r="JN26" s="85"/>
      <c r="JO26" s="85"/>
      <c r="JP26" s="85"/>
      <c r="JQ26" s="85"/>
      <c r="JR26" s="85"/>
      <c r="JS26" s="85"/>
      <c r="JT26" s="85"/>
      <c r="JU26" s="85"/>
      <c r="JV26" s="85"/>
      <c r="JW26" s="85"/>
      <c r="JX26" s="85"/>
      <c r="JY26" s="85"/>
      <c r="JZ26" s="85"/>
      <c r="KA26" s="85"/>
      <c r="KB26" s="85"/>
      <c r="KC26" s="85"/>
      <c r="KD26" s="85"/>
      <c r="KE26" s="85"/>
      <c r="KF26" s="85"/>
      <c r="KG26" s="85"/>
      <c r="KH26" s="85"/>
      <c r="KI26" s="85"/>
      <c r="KJ26" s="85"/>
      <c r="KK26" s="85"/>
      <c r="KL26" s="85"/>
      <c r="KM26" s="85"/>
      <c r="KN26" s="85"/>
      <c r="KO26" s="85"/>
      <c r="KP26" s="85"/>
      <c r="KQ26" s="85"/>
      <c r="KR26" s="85"/>
      <c r="KS26" s="85"/>
      <c r="KT26" s="85"/>
      <c r="KU26" s="85"/>
      <c r="KV26" s="85"/>
      <c r="KW26" s="85"/>
      <c r="KX26" s="85"/>
      <c r="KY26" s="85"/>
      <c r="KZ26" s="85"/>
      <c r="LA26" s="85"/>
      <c r="LB26" s="85"/>
      <c r="LC26" s="85"/>
      <c r="LD26" s="85"/>
      <c r="LE26" s="85"/>
      <c r="LF26" s="85"/>
      <c r="LG26" s="85"/>
      <c r="LH26" s="85"/>
      <c r="LI26" s="85"/>
      <c r="LJ26" s="85"/>
      <c r="LK26" s="85"/>
      <c r="LL26" s="85"/>
      <c r="LM26" s="85"/>
      <c r="LN26" s="85"/>
      <c r="LO26" s="85"/>
      <c r="LP26" s="85"/>
      <c r="LQ26" s="85"/>
      <c r="LR26" s="85"/>
      <c r="LS26" s="85"/>
      <c r="LT26" s="85"/>
      <c r="LU26" s="85"/>
      <c r="LV26" s="85"/>
      <c r="LW26" s="85"/>
      <c r="LX26" s="85"/>
      <c r="LY26" s="85"/>
      <c r="LZ26" s="85"/>
      <c r="MA26" s="85"/>
      <c r="MB26" s="85"/>
      <c r="MC26" s="85"/>
      <c r="MD26" s="85"/>
      <c r="ME26" s="85"/>
      <c r="MF26" s="85"/>
      <c r="MG26" s="85"/>
      <c r="MH26" s="85"/>
      <c r="MI26" s="85"/>
      <c r="MJ26" s="85"/>
      <c r="MK26" s="85"/>
      <c r="ML26" s="85"/>
      <c r="MM26" s="85"/>
      <c r="MN26" s="85"/>
      <c r="MO26" s="85"/>
      <c r="MP26" s="85"/>
      <c r="MQ26" s="85"/>
      <c r="MR26" s="85"/>
      <c r="MS26" s="85"/>
      <c r="MT26" s="85"/>
      <c r="MU26" s="85"/>
      <c r="MV26" s="85"/>
      <c r="MW26" s="85"/>
      <c r="MX26" s="85"/>
      <c r="MY26" s="85"/>
      <c r="MZ26" s="85"/>
      <c r="NA26" s="85"/>
      <c r="NB26" s="85"/>
      <c r="NC26" s="85"/>
      <c r="ND26" s="85"/>
      <c r="NE26" s="85"/>
      <c r="NF26" s="85"/>
      <c r="NG26" s="85"/>
      <c r="NH26" s="85"/>
      <c r="NI26" s="85"/>
      <c r="NJ26" s="85"/>
      <c r="NK26" s="85"/>
      <c r="NL26" s="85"/>
      <c r="NM26" s="85"/>
      <c r="NN26" s="85"/>
      <c r="NO26" s="85"/>
      <c r="NP26" s="85"/>
      <c r="NQ26" s="85"/>
      <c r="NR26" s="85"/>
      <c r="NS26" s="85"/>
      <c r="NT26" s="85"/>
      <c r="NU26" s="85"/>
      <c r="NV26" s="85"/>
      <c r="NW26" s="85"/>
      <c r="NX26" s="85"/>
      <c r="NY26" s="85"/>
      <c r="NZ26" s="85"/>
      <c r="OA26" s="85"/>
      <c r="OB26" s="85"/>
      <c r="OC26" s="85"/>
      <c r="OD26" s="85"/>
      <c r="OE26" s="85"/>
      <c r="OF26" s="85"/>
      <c r="OG26" s="85"/>
      <c r="OH26" s="85"/>
      <c r="OI26" s="85"/>
      <c r="OJ26" s="85"/>
      <c r="OK26" s="85"/>
      <c r="OL26" s="85"/>
      <c r="OM26" s="85"/>
      <c r="ON26" s="85"/>
      <c r="OO26" s="85"/>
      <c r="OP26" s="85"/>
      <c r="OQ26" s="85"/>
      <c r="OR26" s="85"/>
      <c r="OS26" s="85"/>
      <c r="OT26" s="85"/>
      <c r="OU26" s="85"/>
      <c r="OV26" s="85"/>
      <c r="OW26" s="85"/>
      <c r="OX26" s="85"/>
      <c r="OY26" s="85"/>
      <c r="OZ26" s="85"/>
      <c r="PA26" s="85"/>
      <c r="PB26" s="85"/>
      <c r="PC26" s="85"/>
      <c r="PD26" s="85"/>
      <c r="PE26" s="85"/>
      <c r="PF26" s="85"/>
      <c r="PG26" s="85"/>
      <c r="PH26" s="85"/>
      <c r="PI26" s="85"/>
      <c r="PJ26" s="85"/>
      <c r="PK26" s="85"/>
      <c r="PL26" s="85"/>
      <c r="PM26" s="85"/>
      <c r="PN26" s="85"/>
      <c r="PO26" s="85"/>
      <c r="PP26" s="85"/>
      <c r="PQ26" s="85"/>
      <c r="PR26" s="85"/>
      <c r="PS26" s="85"/>
      <c r="PT26" s="85"/>
      <c r="PU26" s="85"/>
      <c r="PV26" s="85"/>
      <c r="PW26" s="85"/>
      <c r="PX26" s="85"/>
      <c r="PY26" s="85"/>
      <c r="PZ26" s="85"/>
      <c r="QA26" s="85"/>
      <c r="QB26" s="85"/>
      <c r="QC26" s="85"/>
      <c r="QD26" s="85"/>
      <c r="QE26" s="85"/>
      <c r="QF26" s="85"/>
      <c r="QG26" s="85"/>
      <c r="QH26" s="85"/>
      <c r="QI26" s="85"/>
      <c r="QJ26" s="85"/>
      <c r="QK26" s="85"/>
      <c r="QL26" s="85"/>
      <c r="QM26" s="85"/>
      <c r="QN26" s="85"/>
      <c r="QO26" s="85"/>
      <c r="QP26" s="85"/>
      <c r="QQ26" s="85"/>
      <c r="QR26" s="85"/>
      <c r="QS26" s="85"/>
      <c r="QT26" s="85"/>
      <c r="QU26" s="85"/>
      <c r="QV26" s="85"/>
      <c r="QW26" s="85"/>
      <c r="QX26" s="85"/>
      <c r="QY26" s="85"/>
      <c r="QZ26" s="85"/>
      <c r="RA26" s="85"/>
      <c r="RB26" s="85"/>
      <c r="RC26" s="85"/>
      <c r="RD26" s="85"/>
      <c r="RE26" s="85"/>
      <c r="RF26" s="85"/>
      <c r="RG26" s="85"/>
      <c r="RH26" s="85"/>
      <c r="RI26" s="85"/>
      <c r="RJ26" s="85"/>
      <c r="RK26" s="85"/>
      <c r="RL26" s="85"/>
      <c r="RM26" s="85"/>
      <c r="RN26" s="85"/>
      <c r="RO26" s="85"/>
      <c r="RP26" s="85"/>
      <c r="RQ26" s="85"/>
      <c r="RR26" s="85"/>
      <c r="RS26" s="85"/>
      <c r="RT26" s="85"/>
      <c r="RU26" s="85"/>
      <c r="RV26" s="85"/>
      <c r="RW26" s="85"/>
      <c r="RX26" s="85"/>
      <c r="RY26" s="85"/>
      <c r="RZ26" s="85"/>
      <c r="SA26" s="85"/>
      <c r="SB26" s="85"/>
      <c r="SC26" s="85"/>
      <c r="SD26" s="85"/>
      <c r="SE26" s="85"/>
      <c r="SF26" s="85"/>
      <c r="SG26" s="85"/>
      <c r="SH26" s="85"/>
      <c r="SI26" s="85"/>
      <c r="SJ26" s="85"/>
      <c r="SK26" s="85"/>
      <c r="SL26" s="85"/>
      <c r="SM26" s="85"/>
      <c r="SN26" s="85"/>
      <c r="SO26" s="85"/>
      <c r="SP26" s="85"/>
      <c r="SQ26" s="85"/>
      <c r="SR26" s="85"/>
      <c r="SS26" s="85"/>
      <c r="ST26" s="85"/>
      <c r="SU26" s="85"/>
      <c r="SV26" s="85"/>
      <c r="SW26" s="85"/>
      <c r="SX26" s="85"/>
      <c r="SY26" s="85"/>
      <c r="SZ26" s="85"/>
      <c r="TA26" s="85"/>
      <c r="TB26" s="85"/>
      <c r="TC26" s="85"/>
      <c r="TD26" s="85"/>
      <c r="TE26" s="85"/>
      <c r="TF26" s="85"/>
      <c r="TG26" s="85"/>
      <c r="TH26" s="85"/>
      <c r="TI26" s="85"/>
      <c r="TJ26" s="85"/>
      <c r="TK26" s="85"/>
      <c r="TL26" s="85"/>
      <c r="TM26" s="85"/>
      <c r="TN26" s="85"/>
      <c r="TO26" s="85"/>
      <c r="TP26" s="85"/>
      <c r="TQ26" s="85"/>
      <c r="TR26" s="85"/>
      <c r="TS26" s="85"/>
      <c r="TT26" s="85"/>
      <c r="TU26" s="85"/>
      <c r="TV26" s="85"/>
      <c r="TW26" s="85"/>
      <c r="TX26" s="85"/>
      <c r="TY26" s="85"/>
      <c r="TZ26" s="85"/>
      <c r="UA26" s="85"/>
      <c r="UB26" s="85"/>
      <c r="UC26" s="85"/>
      <c r="UD26" s="85"/>
      <c r="UE26" s="85"/>
      <c r="UF26" s="85"/>
      <c r="UG26" s="85"/>
      <c r="UH26" s="85"/>
      <c r="UI26" s="85"/>
      <c r="UJ26" s="85"/>
      <c r="UK26" s="85"/>
      <c r="UL26" s="85"/>
      <c r="UM26" s="85"/>
      <c r="UN26" s="85"/>
      <c r="UO26" s="85"/>
      <c r="UP26" s="85"/>
      <c r="UQ26" s="85"/>
      <c r="UR26" s="85"/>
      <c r="US26" s="85"/>
      <c r="UT26" s="85"/>
      <c r="UU26" s="85"/>
      <c r="UV26" s="85"/>
      <c r="UW26" s="85"/>
      <c r="UX26" s="85"/>
      <c r="UY26" s="85"/>
      <c r="UZ26" s="85"/>
      <c r="VA26" s="85"/>
      <c r="VB26" s="85"/>
      <c r="VC26" s="85"/>
      <c r="VD26" s="85"/>
      <c r="VE26" s="85"/>
      <c r="VF26" s="85"/>
      <c r="VG26" s="85"/>
      <c r="VH26" s="85"/>
      <c r="VI26" s="85"/>
      <c r="VJ26" s="85"/>
      <c r="VK26" s="85"/>
      <c r="VL26" s="85"/>
      <c r="VM26" s="85"/>
      <c r="VN26" s="85"/>
      <c r="VO26" s="85"/>
      <c r="VP26" s="85"/>
      <c r="VQ26" s="85"/>
      <c r="VR26" s="85"/>
      <c r="VS26" s="85"/>
      <c r="VT26" s="85"/>
      <c r="VU26" s="85"/>
      <c r="VV26" s="85"/>
      <c r="VW26" s="85"/>
      <c r="VX26" s="85"/>
      <c r="VY26" s="85"/>
      <c r="VZ26" s="85"/>
      <c r="WA26" s="85"/>
      <c r="WB26" s="85"/>
      <c r="WC26" s="85"/>
      <c r="WD26" s="85"/>
      <c r="WE26" s="85"/>
      <c r="WF26" s="85"/>
      <c r="WG26" s="85"/>
      <c r="WH26" s="85"/>
      <c r="WI26" s="85"/>
      <c r="WJ26" s="85"/>
      <c r="WK26" s="85"/>
      <c r="WL26" s="85"/>
      <c r="WM26" s="85"/>
      <c r="WN26" s="85"/>
      <c r="WO26" s="85"/>
      <c r="WP26" s="85"/>
      <c r="WQ26" s="85"/>
      <c r="WR26" s="85"/>
      <c r="WS26" s="85"/>
      <c r="WT26" s="85"/>
      <c r="WU26" s="85"/>
      <c r="WV26" s="85"/>
      <c r="WW26" s="85"/>
      <c r="WX26" s="85"/>
      <c r="WY26" s="85"/>
      <c r="WZ26" s="85"/>
      <c r="XA26" s="85"/>
      <c r="XB26" s="85"/>
      <c r="XC26" s="85"/>
      <c r="XD26" s="85"/>
      <c r="XE26" s="85"/>
      <c r="XF26" s="85"/>
      <c r="XG26" s="85"/>
      <c r="XH26" s="85"/>
      <c r="XI26" s="85"/>
      <c r="XJ26" s="85"/>
      <c r="XK26" s="85"/>
      <c r="XL26" s="85"/>
      <c r="XM26" s="85"/>
      <c r="XN26" s="85"/>
      <c r="XO26" s="85"/>
      <c r="XP26" s="85"/>
      <c r="XQ26" s="85"/>
      <c r="XR26" s="85"/>
      <c r="XS26" s="85"/>
      <c r="XT26" s="85"/>
      <c r="XU26" s="85"/>
      <c r="XV26" s="85"/>
      <c r="XW26" s="85"/>
    </row>
    <row r="27" spans="1:647" s="30" customFormat="1" ht="14.25" customHeight="1">
      <c r="A27" s="88"/>
      <c r="B27" s="89"/>
      <c r="C27" s="92"/>
      <c r="D27" s="92"/>
      <c r="E27" s="94"/>
      <c r="F27" s="92"/>
      <c r="G27" s="92"/>
      <c r="H27" s="92"/>
      <c r="I27" s="275"/>
      <c r="J27" s="280"/>
      <c r="K27" s="284"/>
      <c r="L27" s="346"/>
      <c r="M27" s="159"/>
      <c r="N27" s="159"/>
      <c r="O27" s="159"/>
      <c r="P27" s="159"/>
      <c r="Q27" s="175"/>
      <c r="R27" s="91"/>
      <c r="S27" s="156"/>
      <c r="T27" s="92"/>
      <c r="U27" s="95"/>
      <c r="V27" s="92"/>
      <c r="W27" s="92"/>
      <c r="X27" s="92"/>
      <c r="Y27" s="168"/>
      <c r="Z27" s="168"/>
      <c r="AA27" s="161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85"/>
      <c r="BU27" s="85"/>
      <c r="BV27" s="85"/>
      <c r="BW27" s="85"/>
      <c r="BX27" s="85"/>
      <c r="BY27" s="85"/>
      <c r="BZ27" s="85"/>
      <c r="CA27" s="85"/>
      <c r="CB27" s="85"/>
      <c r="CC27" s="85"/>
      <c r="CD27" s="85"/>
      <c r="CE27" s="85"/>
      <c r="CF27" s="85"/>
      <c r="CG27" s="85"/>
      <c r="CH27" s="85"/>
      <c r="CI27" s="85"/>
      <c r="CJ27" s="85"/>
      <c r="CK27" s="85"/>
      <c r="CL27" s="85"/>
      <c r="CM27" s="85"/>
      <c r="CN27" s="85"/>
      <c r="CO27" s="85"/>
      <c r="CP27" s="85"/>
      <c r="CQ27" s="85"/>
      <c r="CR27" s="85"/>
      <c r="CS27" s="85"/>
      <c r="CT27" s="85"/>
      <c r="CU27" s="85"/>
      <c r="CV27" s="85"/>
      <c r="CW27" s="85"/>
      <c r="CX27" s="85"/>
      <c r="CY27" s="85"/>
      <c r="CZ27" s="85"/>
      <c r="DA27" s="85"/>
      <c r="DB27" s="85"/>
      <c r="DC27" s="85"/>
      <c r="DD27" s="85"/>
      <c r="DE27" s="85"/>
      <c r="DF27" s="85"/>
      <c r="DG27" s="85"/>
      <c r="DH27" s="85"/>
      <c r="DI27" s="85"/>
      <c r="DJ27" s="85"/>
      <c r="DK27" s="85"/>
      <c r="DL27" s="85"/>
      <c r="DM27" s="85"/>
      <c r="DN27" s="85"/>
      <c r="DO27" s="85"/>
      <c r="DP27" s="85"/>
      <c r="DQ27" s="85"/>
      <c r="DR27" s="85"/>
      <c r="DS27" s="85"/>
      <c r="DT27" s="85"/>
      <c r="DU27" s="85"/>
      <c r="DV27" s="85"/>
      <c r="DW27" s="85"/>
      <c r="DX27" s="85"/>
      <c r="DY27" s="85"/>
      <c r="DZ27" s="85"/>
      <c r="EA27" s="85"/>
      <c r="EB27" s="85"/>
      <c r="EC27" s="85"/>
      <c r="ED27" s="85"/>
      <c r="EE27" s="85"/>
      <c r="EF27" s="85"/>
      <c r="EG27" s="85"/>
      <c r="EH27" s="85"/>
      <c r="EI27" s="85"/>
      <c r="EJ27" s="85"/>
      <c r="EK27" s="85"/>
      <c r="EL27" s="85"/>
      <c r="EM27" s="85"/>
      <c r="EN27" s="85"/>
      <c r="EO27" s="85"/>
      <c r="EP27" s="85"/>
      <c r="EQ27" s="85"/>
      <c r="ER27" s="85"/>
      <c r="ES27" s="85"/>
      <c r="ET27" s="85"/>
      <c r="EU27" s="85"/>
      <c r="EV27" s="85"/>
      <c r="EW27" s="85"/>
      <c r="EX27" s="85"/>
      <c r="EY27" s="85"/>
      <c r="EZ27" s="85"/>
      <c r="FA27" s="85"/>
      <c r="FB27" s="85"/>
      <c r="FC27" s="85"/>
      <c r="FD27" s="85"/>
      <c r="FE27" s="85"/>
      <c r="FF27" s="85"/>
      <c r="FG27" s="85"/>
      <c r="FH27" s="85"/>
      <c r="FI27" s="85"/>
      <c r="FJ27" s="85"/>
      <c r="FK27" s="85"/>
      <c r="FL27" s="85"/>
      <c r="FM27" s="85"/>
      <c r="FN27" s="85"/>
      <c r="FO27" s="85"/>
      <c r="FP27" s="85"/>
      <c r="FQ27" s="85"/>
      <c r="FR27" s="85"/>
      <c r="FS27" s="85"/>
      <c r="FT27" s="85"/>
      <c r="FU27" s="85"/>
      <c r="FV27" s="85"/>
      <c r="FW27" s="85"/>
      <c r="FX27" s="85"/>
      <c r="FY27" s="85"/>
      <c r="FZ27" s="85"/>
      <c r="GA27" s="85"/>
      <c r="GB27" s="85"/>
      <c r="GC27" s="85"/>
      <c r="GD27" s="85"/>
      <c r="GE27" s="85"/>
      <c r="GF27" s="85"/>
      <c r="GG27" s="85"/>
      <c r="GH27" s="85"/>
      <c r="GI27" s="85"/>
      <c r="GJ27" s="85"/>
      <c r="GK27" s="85"/>
      <c r="GL27" s="85"/>
      <c r="GM27" s="85"/>
      <c r="GN27" s="85"/>
      <c r="GO27" s="85"/>
      <c r="GP27" s="85"/>
      <c r="GQ27" s="85"/>
      <c r="GR27" s="85"/>
      <c r="GS27" s="85"/>
      <c r="GT27" s="85"/>
      <c r="GU27" s="85"/>
      <c r="GV27" s="85"/>
      <c r="GW27" s="85"/>
      <c r="GX27" s="85"/>
      <c r="GY27" s="85"/>
      <c r="GZ27" s="85"/>
      <c r="HA27" s="85"/>
      <c r="HB27" s="85"/>
      <c r="HC27" s="85"/>
      <c r="HD27" s="85"/>
      <c r="HE27" s="85"/>
      <c r="HF27" s="85"/>
      <c r="HG27" s="85"/>
      <c r="HH27" s="85"/>
      <c r="HI27" s="85"/>
      <c r="HJ27" s="85"/>
      <c r="HK27" s="85"/>
      <c r="HL27" s="85"/>
      <c r="HM27" s="85"/>
      <c r="HN27" s="85"/>
      <c r="HO27" s="85"/>
      <c r="HP27" s="85"/>
      <c r="HQ27" s="85"/>
      <c r="HR27" s="85"/>
      <c r="HS27" s="85"/>
      <c r="HT27" s="85"/>
      <c r="HU27" s="85"/>
      <c r="HV27" s="85"/>
      <c r="HW27" s="85"/>
      <c r="HX27" s="85"/>
      <c r="HY27" s="85"/>
      <c r="HZ27" s="85"/>
      <c r="IA27" s="85"/>
      <c r="IB27" s="85"/>
      <c r="IC27" s="85"/>
      <c r="ID27" s="85"/>
      <c r="IE27" s="85"/>
      <c r="IF27" s="85"/>
      <c r="IG27" s="85"/>
      <c r="IH27" s="85"/>
      <c r="II27" s="85"/>
      <c r="IJ27" s="85"/>
      <c r="IK27" s="85"/>
      <c r="IL27" s="85"/>
      <c r="IM27" s="85"/>
      <c r="IN27" s="85"/>
      <c r="IO27" s="85"/>
      <c r="IP27" s="85"/>
      <c r="IQ27" s="85"/>
      <c r="IR27" s="85"/>
      <c r="IS27" s="85"/>
      <c r="IT27" s="85"/>
      <c r="IU27" s="85"/>
      <c r="IV27" s="85"/>
      <c r="IW27" s="85"/>
      <c r="IX27" s="85"/>
      <c r="IY27" s="85"/>
      <c r="IZ27" s="85"/>
      <c r="JA27" s="85"/>
      <c r="JB27" s="85"/>
      <c r="JC27" s="85"/>
      <c r="JD27" s="85"/>
      <c r="JE27" s="85"/>
      <c r="JF27" s="85"/>
      <c r="JG27" s="85"/>
      <c r="JH27" s="85"/>
      <c r="JI27" s="85"/>
      <c r="JJ27" s="85"/>
      <c r="JK27" s="85"/>
      <c r="JL27" s="85"/>
      <c r="JM27" s="85"/>
      <c r="JN27" s="85"/>
      <c r="JO27" s="85"/>
      <c r="JP27" s="85"/>
      <c r="JQ27" s="85"/>
      <c r="JR27" s="85"/>
      <c r="JS27" s="85"/>
      <c r="JT27" s="85"/>
      <c r="JU27" s="85"/>
      <c r="JV27" s="85"/>
      <c r="JW27" s="85"/>
      <c r="JX27" s="85"/>
      <c r="JY27" s="85"/>
      <c r="JZ27" s="85"/>
      <c r="KA27" s="85"/>
      <c r="KB27" s="85"/>
      <c r="KC27" s="85"/>
      <c r="KD27" s="85"/>
      <c r="KE27" s="85"/>
      <c r="KF27" s="85"/>
      <c r="KG27" s="85"/>
      <c r="KH27" s="85"/>
      <c r="KI27" s="85"/>
      <c r="KJ27" s="85"/>
      <c r="KK27" s="85"/>
      <c r="KL27" s="85"/>
      <c r="KM27" s="85"/>
      <c r="KN27" s="85"/>
      <c r="KO27" s="85"/>
      <c r="KP27" s="85"/>
      <c r="KQ27" s="85"/>
      <c r="KR27" s="85"/>
      <c r="KS27" s="85"/>
      <c r="KT27" s="85"/>
      <c r="KU27" s="85"/>
      <c r="KV27" s="85"/>
      <c r="KW27" s="85"/>
      <c r="KX27" s="85"/>
      <c r="KY27" s="85"/>
      <c r="KZ27" s="85"/>
      <c r="LA27" s="85"/>
      <c r="LB27" s="85"/>
      <c r="LC27" s="85"/>
      <c r="LD27" s="85"/>
      <c r="LE27" s="85"/>
      <c r="LF27" s="85"/>
      <c r="LG27" s="85"/>
      <c r="LH27" s="85"/>
      <c r="LI27" s="85"/>
      <c r="LJ27" s="85"/>
      <c r="LK27" s="85"/>
      <c r="LL27" s="85"/>
      <c r="LM27" s="85"/>
      <c r="LN27" s="85"/>
      <c r="LO27" s="85"/>
      <c r="LP27" s="85"/>
      <c r="LQ27" s="85"/>
      <c r="LR27" s="85"/>
      <c r="LS27" s="85"/>
      <c r="LT27" s="85"/>
      <c r="LU27" s="85"/>
      <c r="LV27" s="85"/>
      <c r="LW27" s="85"/>
      <c r="LX27" s="85"/>
      <c r="LY27" s="85"/>
      <c r="LZ27" s="85"/>
      <c r="MA27" s="85"/>
      <c r="MB27" s="85"/>
      <c r="MC27" s="85"/>
      <c r="MD27" s="85"/>
      <c r="ME27" s="85"/>
      <c r="MF27" s="85"/>
      <c r="MG27" s="85"/>
      <c r="MH27" s="85"/>
      <c r="MI27" s="85"/>
      <c r="MJ27" s="85"/>
      <c r="MK27" s="85"/>
      <c r="ML27" s="85"/>
      <c r="MM27" s="85"/>
      <c r="MN27" s="85"/>
      <c r="MO27" s="85"/>
      <c r="MP27" s="85"/>
      <c r="MQ27" s="85"/>
      <c r="MR27" s="85"/>
      <c r="MS27" s="85"/>
      <c r="MT27" s="85"/>
      <c r="MU27" s="85"/>
      <c r="MV27" s="85"/>
      <c r="MW27" s="85"/>
      <c r="MX27" s="85"/>
      <c r="MY27" s="85"/>
      <c r="MZ27" s="85"/>
      <c r="NA27" s="85"/>
      <c r="NB27" s="85"/>
      <c r="NC27" s="85"/>
      <c r="ND27" s="85"/>
      <c r="NE27" s="85"/>
      <c r="NF27" s="85"/>
      <c r="NG27" s="85"/>
      <c r="NH27" s="85"/>
      <c r="NI27" s="85"/>
      <c r="NJ27" s="85"/>
      <c r="NK27" s="85"/>
      <c r="NL27" s="85"/>
      <c r="NM27" s="85"/>
      <c r="NN27" s="85"/>
      <c r="NO27" s="85"/>
      <c r="NP27" s="85"/>
      <c r="NQ27" s="85"/>
      <c r="NR27" s="85"/>
      <c r="NS27" s="85"/>
      <c r="NT27" s="85"/>
      <c r="NU27" s="85"/>
      <c r="NV27" s="85"/>
      <c r="NW27" s="85"/>
      <c r="NX27" s="85"/>
      <c r="NY27" s="85"/>
      <c r="NZ27" s="85"/>
      <c r="OA27" s="85"/>
      <c r="OB27" s="85"/>
      <c r="OC27" s="85"/>
      <c r="OD27" s="85"/>
      <c r="OE27" s="85"/>
      <c r="OF27" s="85"/>
      <c r="OG27" s="85"/>
      <c r="OH27" s="85"/>
      <c r="OI27" s="85"/>
      <c r="OJ27" s="85"/>
      <c r="OK27" s="85"/>
      <c r="OL27" s="85"/>
      <c r="OM27" s="85"/>
      <c r="ON27" s="85"/>
      <c r="OO27" s="85"/>
      <c r="OP27" s="85"/>
      <c r="OQ27" s="85"/>
      <c r="OR27" s="85"/>
      <c r="OS27" s="85"/>
      <c r="OT27" s="85"/>
      <c r="OU27" s="85"/>
      <c r="OV27" s="85"/>
      <c r="OW27" s="85"/>
      <c r="OX27" s="85"/>
      <c r="OY27" s="85"/>
      <c r="OZ27" s="85"/>
      <c r="PA27" s="85"/>
      <c r="PB27" s="85"/>
      <c r="PC27" s="85"/>
      <c r="PD27" s="85"/>
      <c r="PE27" s="85"/>
      <c r="PF27" s="85"/>
      <c r="PG27" s="85"/>
      <c r="PH27" s="85"/>
      <c r="PI27" s="85"/>
      <c r="PJ27" s="85"/>
      <c r="PK27" s="85"/>
      <c r="PL27" s="85"/>
      <c r="PM27" s="85"/>
      <c r="PN27" s="85"/>
      <c r="PO27" s="85"/>
      <c r="PP27" s="85"/>
      <c r="PQ27" s="85"/>
      <c r="PR27" s="85"/>
      <c r="PS27" s="85"/>
      <c r="PT27" s="85"/>
      <c r="PU27" s="85"/>
      <c r="PV27" s="85"/>
      <c r="PW27" s="85"/>
      <c r="PX27" s="85"/>
      <c r="PY27" s="85"/>
      <c r="PZ27" s="85"/>
      <c r="QA27" s="85"/>
      <c r="QB27" s="85"/>
      <c r="QC27" s="85"/>
      <c r="QD27" s="85"/>
      <c r="QE27" s="85"/>
      <c r="QF27" s="85"/>
      <c r="QG27" s="85"/>
      <c r="QH27" s="85"/>
      <c r="QI27" s="85"/>
      <c r="QJ27" s="85"/>
      <c r="QK27" s="85"/>
      <c r="QL27" s="85"/>
      <c r="QM27" s="85"/>
      <c r="QN27" s="85"/>
      <c r="QO27" s="85"/>
      <c r="QP27" s="85"/>
      <c r="QQ27" s="85"/>
      <c r="QR27" s="85"/>
      <c r="QS27" s="85"/>
      <c r="QT27" s="85"/>
      <c r="QU27" s="85"/>
      <c r="QV27" s="85"/>
      <c r="QW27" s="85"/>
      <c r="QX27" s="85"/>
      <c r="QY27" s="85"/>
      <c r="QZ27" s="85"/>
      <c r="RA27" s="85"/>
      <c r="RB27" s="85"/>
      <c r="RC27" s="85"/>
      <c r="RD27" s="85"/>
      <c r="RE27" s="85"/>
      <c r="RF27" s="85"/>
      <c r="RG27" s="85"/>
      <c r="RH27" s="85"/>
      <c r="RI27" s="85"/>
      <c r="RJ27" s="85"/>
      <c r="RK27" s="85"/>
      <c r="RL27" s="85"/>
      <c r="RM27" s="85"/>
      <c r="RN27" s="85"/>
      <c r="RO27" s="85"/>
      <c r="RP27" s="85"/>
      <c r="RQ27" s="85"/>
      <c r="RR27" s="85"/>
      <c r="RS27" s="85"/>
      <c r="RT27" s="85"/>
      <c r="RU27" s="85"/>
      <c r="RV27" s="85"/>
      <c r="RW27" s="85"/>
      <c r="RX27" s="85"/>
      <c r="RY27" s="85"/>
      <c r="RZ27" s="85"/>
      <c r="SA27" s="85"/>
      <c r="SB27" s="85"/>
      <c r="SC27" s="85"/>
      <c r="SD27" s="85"/>
      <c r="SE27" s="85"/>
      <c r="SF27" s="85"/>
      <c r="SG27" s="85"/>
      <c r="SH27" s="85"/>
      <c r="SI27" s="85"/>
      <c r="SJ27" s="85"/>
      <c r="SK27" s="85"/>
      <c r="SL27" s="85"/>
      <c r="SM27" s="85"/>
      <c r="SN27" s="85"/>
      <c r="SO27" s="85"/>
      <c r="SP27" s="85"/>
      <c r="SQ27" s="85"/>
      <c r="SR27" s="85"/>
      <c r="SS27" s="85"/>
      <c r="ST27" s="85"/>
      <c r="SU27" s="85"/>
      <c r="SV27" s="85"/>
      <c r="SW27" s="85"/>
      <c r="SX27" s="85"/>
      <c r="SY27" s="85"/>
      <c r="SZ27" s="85"/>
      <c r="TA27" s="85"/>
      <c r="TB27" s="85"/>
      <c r="TC27" s="85"/>
      <c r="TD27" s="85"/>
      <c r="TE27" s="85"/>
      <c r="TF27" s="85"/>
      <c r="TG27" s="85"/>
      <c r="TH27" s="85"/>
      <c r="TI27" s="85"/>
      <c r="TJ27" s="85"/>
      <c r="TK27" s="85"/>
      <c r="TL27" s="85"/>
      <c r="TM27" s="85"/>
      <c r="TN27" s="85"/>
      <c r="TO27" s="85"/>
      <c r="TP27" s="85"/>
      <c r="TQ27" s="85"/>
      <c r="TR27" s="85"/>
      <c r="TS27" s="85"/>
      <c r="TT27" s="85"/>
      <c r="TU27" s="85"/>
      <c r="TV27" s="85"/>
      <c r="TW27" s="85"/>
      <c r="TX27" s="85"/>
      <c r="TY27" s="85"/>
      <c r="TZ27" s="85"/>
      <c r="UA27" s="85"/>
      <c r="UB27" s="85"/>
      <c r="UC27" s="85"/>
      <c r="UD27" s="85"/>
      <c r="UE27" s="85"/>
      <c r="UF27" s="85"/>
      <c r="UG27" s="85"/>
      <c r="UH27" s="85"/>
      <c r="UI27" s="85"/>
      <c r="UJ27" s="85"/>
      <c r="UK27" s="85"/>
      <c r="UL27" s="85"/>
      <c r="UM27" s="85"/>
      <c r="UN27" s="85"/>
      <c r="UO27" s="85"/>
      <c r="UP27" s="85"/>
      <c r="UQ27" s="85"/>
      <c r="UR27" s="85"/>
      <c r="US27" s="85"/>
      <c r="UT27" s="85"/>
      <c r="UU27" s="85"/>
      <c r="UV27" s="85"/>
      <c r="UW27" s="85"/>
      <c r="UX27" s="85"/>
      <c r="UY27" s="85"/>
      <c r="UZ27" s="85"/>
      <c r="VA27" s="85"/>
      <c r="VB27" s="85"/>
      <c r="VC27" s="85"/>
      <c r="VD27" s="85"/>
      <c r="VE27" s="85"/>
      <c r="VF27" s="85"/>
      <c r="VG27" s="85"/>
      <c r="VH27" s="85"/>
      <c r="VI27" s="85"/>
      <c r="VJ27" s="85"/>
      <c r="VK27" s="85"/>
      <c r="VL27" s="85"/>
      <c r="VM27" s="85"/>
      <c r="VN27" s="85"/>
      <c r="VO27" s="85"/>
      <c r="VP27" s="85"/>
      <c r="VQ27" s="85"/>
      <c r="VR27" s="85"/>
      <c r="VS27" s="85"/>
      <c r="VT27" s="85"/>
      <c r="VU27" s="85"/>
      <c r="VV27" s="85"/>
      <c r="VW27" s="85"/>
      <c r="VX27" s="85"/>
      <c r="VY27" s="85"/>
      <c r="VZ27" s="85"/>
      <c r="WA27" s="85"/>
      <c r="WB27" s="85"/>
      <c r="WC27" s="85"/>
      <c r="WD27" s="85"/>
      <c r="WE27" s="85"/>
      <c r="WF27" s="85"/>
      <c r="WG27" s="85"/>
      <c r="WH27" s="85"/>
      <c r="WI27" s="85"/>
      <c r="WJ27" s="85"/>
      <c r="WK27" s="85"/>
      <c r="WL27" s="85"/>
      <c r="WM27" s="85"/>
      <c r="WN27" s="85"/>
      <c r="WO27" s="85"/>
      <c r="WP27" s="85"/>
      <c r="WQ27" s="85"/>
      <c r="WR27" s="85"/>
      <c r="WS27" s="85"/>
      <c r="WT27" s="85"/>
      <c r="WU27" s="85"/>
      <c r="WV27" s="85"/>
      <c r="WW27" s="85"/>
      <c r="WX27" s="85"/>
      <c r="WY27" s="85"/>
      <c r="WZ27" s="85"/>
      <c r="XA27" s="85"/>
      <c r="XB27" s="85"/>
      <c r="XC27" s="85"/>
      <c r="XD27" s="85"/>
      <c r="XE27" s="85"/>
      <c r="XF27" s="85"/>
      <c r="XG27" s="85"/>
      <c r="XH27" s="85"/>
      <c r="XI27" s="85"/>
      <c r="XJ27" s="85"/>
      <c r="XK27" s="85"/>
      <c r="XL27" s="85"/>
      <c r="XM27" s="85"/>
      <c r="XN27" s="85"/>
      <c r="XO27" s="85"/>
      <c r="XP27" s="85"/>
      <c r="XQ27" s="85"/>
      <c r="XR27" s="85"/>
      <c r="XS27" s="85"/>
      <c r="XT27" s="85"/>
      <c r="XU27" s="85"/>
      <c r="XV27" s="85"/>
      <c r="XW27" s="85"/>
    </row>
    <row r="28" spans="1:647" s="30" customFormat="1" ht="14.25" customHeight="1">
      <c r="A28" s="88"/>
      <c r="B28" s="89"/>
      <c r="C28" s="92"/>
      <c r="D28" s="92"/>
      <c r="E28" s="94"/>
      <c r="F28" s="92"/>
      <c r="G28" s="92"/>
      <c r="H28" s="92"/>
      <c r="I28" s="275"/>
      <c r="J28" s="280"/>
      <c r="K28" s="284"/>
      <c r="L28" s="346"/>
      <c r="M28" s="159"/>
      <c r="N28" s="159"/>
      <c r="O28" s="159"/>
      <c r="P28" s="159"/>
      <c r="Q28" s="175"/>
      <c r="R28" s="91"/>
      <c r="S28" s="156"/>
      <c r="T28" s="92"/>
      <c r="U28" s="95"/>
      <c r="V28" s="92"/>
      <c r="W28" s="92"/>
      <c r="X28" s="92"/>
      <c r="Y28" s="168"/>
      <c r="Z28" s="168"/>
      <c r="AA28" s="161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85"/>
      <c r="BU28" s="85"/>
      <c r="BV28" s="85"/>
      <c r="BW28" s="85"/>
      <c r="BX28" s="85"/>
      <c r="BY28" s="85"/>
      <c r="BZ28" s="85"/>
      <c r="CA28" s="85"/>
      <c r="CB28" s="85"/>
      <c r="CC28" s="85"/>
      <c r="CD28" s="85"/>
      <c r="CE28" s="85"/>
      <c r="CF28" s="85"/>
      <c r="CG28" s="85"/>
      <c r="CH28" s="85"/>
      <c r="CI28" s="85"/>
      <c r="CJ28" s="85"/>
      <c r="CK28" s="85"/>
      <c r="CL28" s="85"/>
      <c r="CM28" s="85"/>
      <c r="CN28" s="85"/>
      <c r="CO28" s="85"/>
      <c r="CP28" s="85"/>
      <c r="CQ28" s="85"/>
      <c r="CR28" s="85"/>
      <c r="CS28" s="85"/>
      <c r="CT28" s="85"/>
      <c r="CU28" s="85"/>
      <c r="CV28" s="85"/>
      <c r="CW28" s="85"/>
      <c r="CX28" s="85"/>
      <c r="CY28" s="85"/>
      <c r="CZ28" s="85"/>
      <c r="DA28" s="85"/>
      <c r="DB28" s="85"/>
      <c r="DC28" s="85"/>
      <c r="DD28" s="85"/>
      <c r="DE28" s="85"/>
      <c r="DF28" s="85"/>
      <c r="DG28" s="85"/>
      <c r="DH28" s="85"/>
      <c r="DI28" s="85"/>
      <c r="DJ28" s="85"/>
      <c r="DK28" s="85"/>
      <c r="DL28" s="85"/>
      <c r="DM28" s="85"/>
      <c r="DN28" s="85"/>
      <c r="DO28" s="85"/>
      <c r="DP28" s="85"/>
      <c r="DQ28" s="85"/>
      <c r="DR28" s="85"/>
      <c r="DS28" s="85"/>
      <c r="DT28" s="85"/>
      <c r="DU28" s="85"/>
      <c r="DV28" s="85"/>
      <c r="DW28" s="85"/>
      <c r="DX28" s="85"/>
      <c r="DY28" s="85"/>
      <c r="DZ28" s="85"/>
      <c r="EA28" s="85"/>
      <c r="EB28" s="85"/>
      <c r="EC28" s="85"/>
      <c r="ED28" s="85"/>
      <c r="EE28" s="85"/>
      <c r="EF28" s="85"/>
      <c r="EG28" s="85"/>
      <c r="EH28" s="85"/>
      <c r="EI28" s="85"/>
      <c r="EJ28" s="85"/>
      <c r="EK28" s="85"/>
      <c r="EL28" s="85"/>
      <c r="EM28" s="85"/>
      <c r="EN28" s="85"/>
      <c r="EO28" s="85"/>
      <c r="EP28" s="85"/>
      <c r="EQ28" s="85"/>
      <c r="ER28" s="85"/>
      <c r="ES28" s="85"/>
      <c r="ET28" s="85"/>
      <c r="EU28" s="85"/>
      <c r="EV28" s="85"/>
      <c r="EW28" s="85"/>
      <c r="EX28" s="85"/>
      <c r="EY28" s="85"/>
      <c r="EZ28" s="85"/>
      <c r="FA28" s="85"/>
      <c r="FB28" s="85"/>
      <c r="FC28" s="85"/>
      <c r="FD28" s="85"/>
      <c r="FE28" s="85"/>
      <c r="FF28" s="85"/>
      <c r="FG28" s="85"/>
      <c r="FH28" s="85"/>
      <c r="FI28" s="85"/>
      <c r="FJ28" s="85"/>
      <c r="FK28" s="85"/>
      <c r="FL28" s="85"/>
      <c r="FM28" s="85"/>
      <c r="FN28" s="85"/>
      <c r="FO28" s="85"/>
      <c r="FP28" s="85"/>
      <c r="FQ28" s="85"/>
      <c r="FR28" s="85"/>
      <c r="FS28" s="85"/>
      <c r="FT28" s="85"/>
      <c r="FU28" s="85"/>
      <c r="FV28" s="85"/>
      <c r="FW28" s="85"/>
      <c r="FX28" s="85"/>
      <c r="FY28" s="85"/>
      <c r="FZ28" s="85"/>
      <c r="GA28" s="85"/>
      <c r="GB28" s="85"/>
      <c r="GC28" s="85"/>
      <c r="GD28" s="85"/>
      <c r="GE28" s="85"/>
      <c r="GF28" s="85"/>
      <c r="GG28" s="85"/>
      <c r="GH28" s="85"/>
      <c r="GI28" s="85"/>
      <c r="GJ28" s="85"/>
      <c r="GK28" s="85"/>
      <c r="GL28" s="85"/>
      <c r="GM28" s="85"/>
      <c r="GN28" s="85"/>
      <c r="GO28" s="85"/>
      <c r="GP28" s="85"/>
      <c r="GQ28" s="85"/>
      <c r="GR28" s="85"/>
      <c r="GS28" s="85"/>
      <c r="GT28" s="85"/>
      <c r="GU28" s="85"/>
      <c r="GV28" s="85"/>
      <c r="GW28" s="85"/>
      <c r="GX28" s="85"/>
      <c r="GY28" s="85"/>
      <c r="GZ28" s="85"/>
      <c r="HA28" s="85"/>
      <c r="HB28" s="85"/>
      <c r="HC28" s="85"/>
      <c r="HD28" s="85"/>
      <c r="HE28" s="85"/>
      <c r="HF28" s="85"/>
      <c r="HG28" s="85"/>
      <c r="HH28" s="85"/>
      <c r="HI28" s="85"/>
      <c r="HJ28" s="85"/>
      <c r="HK28" s="85"/>
      <c r="HL28" s="85"/>
      <c r="HM28" s="85"/>
      <c r="HN28" s="85"/>
      <c r="HO28" s="85"/>
      <c r="HP28" s="85"/>
      <c r="HQ28" s="85"/>
      <c r="HR28" s="85"/>
      <c r="HS28" s="85"/>
      <c r="HT28" s="85"/>
      <c r="HU28" s="85"/>
      <c r="HV28" s="85"/>
      <c r="HW28" s="85"/>
      <c r="HX28" s="85"/>
      <c r="HY28" s="85"/>
      <c r="HZ28" s="85"/>
      <c r="IA28" s="85"/>
      <c r="IB28" s="85"/>
      <c r="IC28" s="85"/>
      <c r="ID28" s="85"/>
      <c r="IE28" s="85"/>
      <c r="IF28" s="85"/>
      <c r="IG28" s="85"/>
      <c r="IH28" s="85"/>
      <c r="II28" s="85"/>
      <c r="IJ28" s="85"/>
      <c r="IK28" s="85"/>
      <c r="IL28" s="85"/>
      <c r="IM28" s="85"/>
      <c r="IN28" s="85"/>
      <c r="IO28" s="85"/>
      <c r="IP28" s="85"/>
      <c r="IQ28" s="85"/>
      <c r="IR28" s="85"/>
      <c r="IS28" s="85"/>
      <c r="IT28" s="85"/>
      <c r="IU28" s="85"/>
      <c r="IV28" s="85"/>
      <c r="IW28" s="85"/>
      <c r="IX28" s="85"/>
      <c r="IY28" s="85"/>
      <c r="IZ28" s="85"/>
      <c r="JA28" s="85"/>
      <c r="JB28" s="85"/>
      <c r="JC28" s="85"/>
      <c r="JD28" s="85"/>
      <c r="JE28" s="85"/>
      <c r="JF28" s="85"/>
      <c r="JG28" s="85"/>
      <c r="JH28" s="85"/>
      <c r="JI28" s="85"/>
      <c r="JJ28" s="85"/>
      <c r="JK28" s="85"/>
      <c r="JL28" s="85"/>
      <c r="JM28" s="85"/>
      <c r="JN28" s="85"/>
      <c r="JO28" s="85"/>
      <c r="JP28" s="85"/>
      <c r="JQ28" s="85"/>
      <c r="JR28" s="85"/>
      <c r="JS28" s="85"/>
      <c r="JT28" s="85"/>
      <c r="JU28" s="85"/>
      <c r="JV28" s="85"/>
      <c r="JW28" s="85"/>
      <c r="JX28" s="85"/>
      <c r="JY28" s="85"/>
      <c r="JZ28" s="85"/>
      <c r="KA28" s="85"/>
      <c r="KB28" s="85"/>
      <c r="KC28" s="85"/>
      <c r="KD28" s="85"/>
      <c r="KE28" s="85"/>
      <c r="KF28" s="85"/>
      <c r="KG28" s="85"/>
      <c r="KH28" s="85"/>
      <c r="KI28" s="85"/>
      <c r="KJ28" s="85"/>
      <c r="KK28" s="85"/>
      <c r="KL28" s="85"/>
      <c r="KM28" s="85"/>
      <c r="KN28" s="85"/>
      <c r="KO28" s="85"/>
      <c r="KP28" s="85"/>
      <c r="KQ28" s="85"/>
      <c r="KR28" s="85"/>
      <c r="KS28" s="85"/>
      <c r="KT28" s="85"/>
      <c r="KU28" s="85"/>
      <c r="KV28" s="85"/>
      <c r="KW28" s="85"/>
      <c r="KX28" s="85"/>
      <c r="KY28" s="85"/>
      <c r="KZ28" s="85"/>
      <c r="LA28" s="85"/>
      <c r="LB28" s="85"/>
      <c r="LC28" s="85"/>
      <c r="LD28" s="85"/>
      <c r="LE28" s="85"/>
      <c r="LF28" s="85"/>
      <c r="LG28" s="85"/>
      <c r="LH28" s="85"/>
      <c r="LI28" s="85"/>
      <c r="LJ28" s="85"/>
      <c r="LK28" s="85"/>
      <c r="LL28" s="85"/>
      <c r="LM28" s="85"/>
      <c r="LN28" s="85"/>
      <c r="LO28" s="85"/>
      <c r="LP28" s="85"/>
      <c r="LQ28" s="85"/>
      <c r="LR28" s="85"/>
      <c r="LS28" s="85"/>
      <c r="LT28" s="85"/>
      <c r="LU28" s="85"/>
      <c r="LV28" s="85"/>
      <c r="LW28" s="85"/>
      <c r="LX28" s="85"/>
      <c r="LY28" s="85"/>
      <c r="LZ28" s="85"/>
      <c r="MA28" s="85"/>
      <c r="MB28" s="85"/>
      <c r="MC28" s="85"/>
      <c r="MD28" s="85"/>
      <c r="ME28" s="85"/>
      <c r="MF28" s="85"/>
      <c r="MG28" s="85"/>
      <c r="MH28" s="85"/>
      <c r="MI28" s="85"/>
      <c r="MJ28" s="85"/>
      <c r="MK28" s="85"/>
      <c r="ML28" s="85"/>
      <c r="MM28" s="85"/>
      <c r="MN28" s="85"/>
      <c r="MO28" s="85"/>
      <c r="MP28" s="85"/>
      <c r="MQ28" s="85"/>
      <c r="MR28" s="85"/>
      <c r="MS28" s="85"/>
      <c r="MT28" s="85"/>
      <c r="MU28" s="85"/>
      <c r="MV28" s="85"/>
      <c r="MW28" s="85"/>
      <c r="MX28" s="85"/>
      <c r="MY28" s="85"/>
      <c r="MZ28" s="85"/>
      <c r="NA28" s="85"/>
      <c r="NB28" s="85"/>
      <c r="NC28" s="85"/>
      <c r="ND28" s="85"/>
      <c r="NE28" s="85"/>
      <c r="NF28" s="85"/>
      <c r="NG28" s="85"/>
      <c r="NH28" s="85"/>
      <c r="NI28" s="85"/>
      <c r="NJ28" s="85"/>
      <c r="NK28" s="85"/>
      <c r="NL28" s="85"/>
      <c r="NM28" s="85"/>
      <c r="NN28" s="85"/>
      <c r="NO28" s="85"/>
      <c r="NP28" s="85"/>
      <c r="NQ28" s="85"/>
      <c r="NR28" s="85"/>
      <c r="NS28" s="85"/>
      <c r="NT28" s="85"/>
      <c r="NU28" s="85"/>
      <c r="NV28" s="85"/>
      <c r="NW28" s="85"/>
      <c r="NX28" s="85"/>
      <c r="NY28" s="85"/>
      <c r="NZ28" s="85"/>
      <c r="OA28" s="85"/>
      <c r="OB28" s="85"/>
      <c r="OC28" s="85"/>
      <c r="OD28" s="85"/>
      <c r="OE28" s="85"/>
      <c r="OF28" s="85"/>
      <c r="OG28" s="85"/>
      <c r="OH28" s="85"/>
      <c r="OI28" s="85"/>
      <c r="OJ28" s="85"/>
      <c r="OK28" s="85"/>
      <c r="OL28" s="85"/>
      <c r="OM28" s="85"/>
      <c r="ON28" s="85"/>
      <c r="OO28" s="85"/>
      <c r="OP28" s="85"/>
      <c r="OQ28" s="85"/>
      <c r="OR28" s="85"/>
      <c r="OS28" s="85"/>
      <c r="OT28" s="85"/>
      <c r="OU28" s="85"/>
      <c r="OV28" s="85"/>
      <c r="OW28" s="85"/>
      <c r="OX28" s="85"/>
      <c r="OY28" s="85"/>
      <c r="OZ28" s="85"/>
      <c r="PA28" s="85"/>
      <c r="PB28" s="85"/>
      <c r="PC28" s="85"/>
      <c r="PD28" s="85"/>
      <c r="PE28" s="85"/>
      <c r="PF28" s="85"/>
      <c r="PG28" s="85"/>
      <c r="PH28" s="85"/>
      <c r="PI28" s="85"/>
      <c r="PJ28" s="85"/>
      <c r="PK28" s="85"/>
      <c r="PL28" s="85"/>
      <c r="PM28" s="85"/>
      <c r="PN28" s="85"/>
      <c r="PO28" s="85"/>
      <c r="PP28" s="85"/>
      <c r="PQ28" s="85"/>
      <c r="PR28" s="85"/>
      <c r="PS28" s="85"/>
      <c r="PT28" s="85"/>
      <c r="PU28" s="85"/>
      <c r="PV28" s="85"/>
      <c r="PW28" s="85"/>
      <c r="PX28" s="85"/>
      <c r="PY28" s="85"/>
      <c r="PZ28" s="85"/>
      <c r="QA28" s="85"/>
      <c r="QB28" s="85"/>
      <c r="QC28" s="85"/>
      <c r="QD28" s="85"/>
      <c r="QE28" s="85"/>
      <c r="QF28" s="85"/>
      <c r="QG28" s="85"/>
      <c r="QH28" s="85"/>
      <c r="QI28" s="85"/>
      <c r="QJ28" s="85"/>
      <c r="QK28" s="85"/>
      <c r="QL28" s="85"/>
      <c r="QM28" s="85"/>
      <c r="QN28" s="85"/>
      <c r="QO28" s="85"/>
      <c r="QP28" s="85"/>
      <c r="QQ28" s="85"/>
      <c r="QR28" s="85"/>
      <c r="QS28" s="85"/>
      <c r="QT28" s="85"/>
      <c r="QU28" s="85"/>
      <c r="QV28" s="85"/>
      <c r="QW28" s="85"/>
      <c r="QX28" s="85"/>
      <c r="QY28" s="85"/>
      <c r="QZ28" s="85"/>
      <c r="RA28" s="85"/>
      <c r="RB28" s="85"/>
      <c r="RC28" s="85"/>
      <c r="RD28" s="85"/>
      <c r="RE28" s="85"/>
      <c r="RF28" s="85"/>
      <c r="RG28" s="85"/>
      <c r="RH28" s="85"/>
      <c r="RI28" s="85"/>
      <c r="RJ28" s="85"/>
      <c r="RK28" s="85"/>
      <c r="RL28" s="85"/>
      <c r="RM28" s="85"/>
      <c r="RN28" s="85"/>
      <c r="RO28" s="85"/>
      <c r="RP28" s="85"/>
      <c r="RQ28" s="85"/>
      <c r="RR28" s="85"/>
      <c r="RS28" s="85"/>
      <c r="RT28" s="85"/>
      <c r="RU28" s="85"/>
      <c r="RV28" s="85"/>
      <c r="RW28" s="85"/>
      <c r="RX28" s="85"/>
      <c r="RY28" s="85"/>
      <c r="RZ28" s="85"/>
      <c r="SA28" s="85"/>
      <c r="SB28" s="85"/>
      <c r="SC28" s="85"/>
      <c r="SD28" s="85"/>
      <c r="SE28" s="85"/>
      <c r="SF28" s="85"/>
      <c r="SG28" s="85"/>
      <c r="SH28" s="85"/>
      <c r="SI28" s="85"/>
      <c r="SJ28" s="85"/>
      <c r="SK28" s="85"/>
      <c r="SL28" s="85"/>
      <c r="SM28" s="85"/>
      <c r="SN28" s="85"/>
      <c r="SO28" s="85"/>
      <c r="SP28" s="85"/>
      <c r="SQ28" s="85"/>
      <c r="SR28" s="85"/>
      <c r="SS28" s="85"/>
      <c r="ST28" s="85"/>
      <c r="SU28" s="85"/>
      <c r="SV28" s="85"/>
      <c r="SW28" s="85"/>
      <c r="SX28" s="85"/>
      <c r="SY28" s="85"/>
      <c r="SZ28" s="85"/>
      <c r="TA28" s="85"/>
      <c r="TB28" s="85"/>
      <c r="TC28" s="85"/>
      <c r="TD28" s="85"/>
      <c r="TE28" s="85"/>
      <c r="TF28" s="85"/>
      <c r="TG28" s="85"/>
      <c r="TH28" s="85"/>
      <c r="TI28" s="85"/>
      <c r="TJ28" s="85"/>
      <c r="TK28" s="85"/>
      <c r="TL28" s="85"/>
      <c r="TM28" s="85"/>
      <c r="TN28" s="85"/>
      <c r="TO28" s="85"/>
      <c r="TP28" s="85"/>
      <c r="TQ28" s="85"/>
      <c r="TR28" s="85"/>
      <c r="TS28" s="85"/>
      <c r="TT28" s="85"/>
      <c r="TU28" s="85"/>
      <c r="TV28" s="85"/>
      <c r="TW28" s="85"/>
      <c r="TX28" s="85"/>
      <c r="TY28" s="85"/>
      <c r="TZ28" s="85"/>
      <c r="UA28" s="85"/>
      <c r="UB28" s="85"/>
      <c r="UC28" s="85"/>
      <c r="UD28" s="85"/>
      <c r="UE28" s="85"/>
      <c r="UF28" s="85"/>
      <c r="UG28" s="85"/>
      <c r="UH28" s="85"/>
      <c r="UI28" s="85"/>
      <c r="UJ28" s="85"/>
      <c r="UK28" s="85"/>
      <c r="UL28" s="85"/>
      <c r="UM28" s="85"/>
      <c r="UN28" s="85"/>
      <c r="UO28" s="85"/>
      <c r="UP28" s="85"/>
      <c r="UQ28" s="85"/>
      <c r="UR28" s="85"/>
      <c r="US28" s="85"/>
      <c r="UT28" s="85"/>
      <c r="UU28" s="85"/>
      <c r="UV28" s="85"/>
      <c r="UW28" s="85"/>
      <c r="UX28" s="85"/>
      <c r="UY28" s="85"/>
      <c r="UZ28" s="85"/>
      <c r="VA28" s="85"/>
      <c r="VB28" s="85"/>
      <c r="VC28" s="85"/>
      <c r="VD28" s="85"/>
      <c r="VE28" s="85"/>
      <c r="VF28" s="85"/>
      <c r="VG28" s="85"/>
      <c r="VH28" s="85"/>
      <c r="VI28" s="85"/>
      <c r="VJ28" s="85"/>
      <c r="VK28" s="85"/>
      <c r="VL28" s="85"/>
      <c r="VM28" s="85"/>
      <c r="VN28" s="85"/>
      <c r="VO28" s="85"/>
      <c r="VP28" s="85"/>
      <c r="VQ28" s="85"/>
      <c r="VR28" s="85"/>
      <c r="VS28" s="85"/>
      <c r="VT28" s="85"/>
      <c r="VU28" s="85"/>
      <c r="VV28" s="85"/>
      <c r="VW28" s="85"/>
      <c r="VX28" s="85"/>
      <c r="VY28" s="85"/>
      <c r="VZ28" s="85"/>
      <c r="WA28" s="85"/>
      <c r="WB28" s="85"/>
      <c r="WC28" s="85"/>
      <c r="WD28" s="85"/>
      <c r="WE28" s="85"/>
      <c r="WF28" s="85"/>
      <c r="WG28" s="85"/>
      <c r="WH28" s="85"/>
      <c r="WI28" s="85"/>
      <c r="WJ28" s="85"/>
      <c r="WK28" s="85"/>
      <c r="WL28" s="85"/>
      <c r="WM28" s="85"/>
      <c r="WN28" s="85"/>
      <c r="WO28" s="85"/>
      <c r="WP28" s="85"/>
      <c r="WQ28" s="85"/>
      <c r="WR28" s="85"/>
      <c r="WS28" s="85"/>
      <c r="WT28" s="85"/>
      <c r="WU28" s="85"/>
      <c r="WV28" s="85"/>
      <c r="WW28" s="85"/>
      <c r="WX28" s="85"/>
      <c r="WY28" s="85"/>
      <c r="WZ28" s="85"/>
      <c r="XA28" s="85"/>
      <c r="XB28" s="85"/>
      <c r="XC28" s="85"/>
      <c r="XD28" s="85"/>
      <c r="XE28" s="85"/>
      <c r="XF28" s="85"/>
      <c r="XG28" s="85"/>
      <c r="XH28" s="85"/>
      <c r="XI28" s="85"/>
      <c r="XJ28" s="85"/>
      <c r="XK28" s="85"/>
      <c r="XL28" s="85"/>
      <c r="XM28" s="85"/>
      <c r="XN28" s="85"/>
      <c r="XO28" s="85"/>
      <c r="XP28" s="85"/>
      <c r="XQ28" s="85"/>
      <c r="XR28" s="85"/>
      <c r="XS28" s="85"/>
      <c r="XT28" s="85"/>
      <c r="XU28" s="85"/>
      <c r="XV28" s="85"/>
      <c r="XW28" s="85"/>
    </row>
    <row r="29" spans="1:647" s="30" customFormat="1" ht="14.25" customHeight="1">
      <c r="A29" s="88"/>
      <c r="B29" s="89"/>
      <c r="C29" s="92"/>
      <c r="D29" s="92"/>
      <c r="E29" s="94"/>
      <c r="F29" s="92"/>
      <c r="G29" s="92"/>
      <c r="H29" s="92"/>
      <c r="I29" s="275"/>
      <c r="J29" s="280"/>
      <c r="K29" s="284"/>
      <c r="L29" s="347"/>
      <c r="M29" s="159"/>
      <c r="N29" s="159"/>
      <c r="O29" s="159"/>
      <c r="P29" s="159"/>
      <c r="Q29" s="175"/>
      <c r="R29" s="91"/>
      <c r="S29" s="156"/>
      <c r="T29" s="92"/>
      <c r="U29" s="95"/>
      <c r="V29" s="92"/>
      <c r="W29" s="92"/>
      <c r="X29" s="92"/>
      <c r="Y29" s="168"/>
      <c r="Z29" s="168"/>
      <c r="AA29" s="161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85"/>
      <c r="BU29" s="85"/>
      <c r="BV29" s="85"/>
      <c r="BW29" s="85"/>
      <c r="BX29" s="85"/>
      <c r="BY29" s="85"/>
      <c r="BZ29" s="85"/>
      <c r="CA29" s="85"/>
      <c r="CB29" s="85"/>
      <c r="CC29" s="85"/>
      <c r="CD29" s="85"/>
      <c r="CE29" s="85"/>
      <c r="CF29" s="85"/>
      <c r="CG29" s="85"/>
      <c r="CH29" s="85"/>
      <c r="CI29" s="85"/>
      <c r="CJ29" s="85"/>
      <c r="CK29" s="85"/>
      <c r="CL29" s="85"/>
      <c r="CM29" s="85"/>
      <c r="CN29" s="85"/>
      <c r="CO29" s="85"/>
      <c r="CP29" s="85"/>
      <c r="CQ29" s="85"/>
      <c r="CR29" s="85"/>
      <c r="CS29" s="85"/>
      <c r="CT29" s="85"/>
      <c r="CU29" s="85"/>
      <c r="CV29" s="85"/>
      <c r="CW29" s="85"/>
      <c r="CX29" s="85"/>
      <c r="CY29" s="85"/>
      <c r="CZ29" s="85"/>
      <c r="DA29" s="85"/>
      <c r="DB29" s="85"/>
      <c r="DC29" s="85"/>
      <c r="DD29" s="85"/>
      <c r="DE29" s="85"/>
      <c r="DF29" s="85"/>
      <c r="DG29" s="85"/>
      <c r="DH29" s="85"/>
      <c r="DI29" s="85"/>
      <c r="DJ29" s="85"/>
      <c r="DK29" s="85"/>
      <c r="DL29" s="85"/>
      <c r="DM29" s="85"/>
      <c r="DN29" s="85"/>
      <c r="DO29" s="85"/>
      <c r="DP29" s="85"/>
      <c r="DQ29" s="85"/>
      <c r="DR29" s="85"/>
      <c r="DS29" s="85"/>
      <c r="DT29" s="85"/>
      <c r="DU29" s="85"/>
      <c r="DV29" s="85"/>
      <c r="DW29" s="85"/>
      <c r="DX29" s="85"/>
      <c r="DY29" s="85"/>
      <c r="DZ29" s="85"/>
      <c r="EA29" s="85"/>
      <c r="EB29" s="85"/>
      <c r="EC29" s="85"/>
      <c r="ED29" s="85"/>
      <c r="EE29" s="85"/>
      <c r="EF29" s="85"/>
      <c r="EG29" s="85"/>
      <c r="EH29" s="85"/>
      <c r="EI29" s="85"/>
      <c r="EJ29" s="85"/>
      <c r="EK29" s="85"/>
      <c r="EL29" s="85"/>
      <c r="EM29" s="85"/>
      <c r="EN29" s="85"/>
      <c r="EO29" s="85"/>
      <c r="EP29" s="85"/>
      <c r="EQ29" s="85"/>
      <c r="ER29" s="85"/>
      <c r="ES29" s="85"/>
      <c r="ET29" s="85"/>
      <c r="EU29" s="85"/>
      <c r="EV29" s="85"/>
      <c r="EW29" s="85"/>
      <c r="EX29" s="85"/>
      <c r="EY29" s="85"/>
      <c r="EZ29" s="85"/>
      <c r="FA29" s="85"/>
      <c r="FB29" s="85"/>
      <c r="FC29" s="85"/>
      <c r="FD29" s="85"/>
      <c r="FE29" s="85"/>
      <c r="FF29" s="85"/>
      <c r="FG29" s="85"/>
      <c r="FH29" s="85"/>
      <c r="FI29" s="85"/>
      <c r="FJ29" s="85"/>
      <c r="FK29" s="85"/>
      <c r="FL29" s="85"/>
      <c r="FM29" s="85"/>
      <c r="FN29" s="85"/>
      <c r="FO29" s="85"/>
      <c r="FP29" s="85"/>
      <c r="FQ29" s="85"/>
      <c r="FR29" s="85"/>
      <c r="FS29" s="85"/>
      <c r="FT29" s="85"/>
      <c r="FU29" s="85"/>
      <c r="FV29" s="85"/>
      <c r="FW29" s="85"/>
      <c r="FX29" s="85"/>
      <c r="FY29" s="85"/>
      <c r="FZ29" s="85"/>
      <c r="GA29" s="85"/>
      <c r="GB29" s="85"/>
      <c r="GC29" s="85"/>
      <c r="GD29" s="85"/>
      <c r="GE29" s="85"/>
      <c r="GF29" s="85"/>
      <c r="GG29" s="85"/>
      <c r="GH29" s="85"/>
      <c r="GI29" s="85"/>
      <c r="GJ29" s="85"/>
      <c r="GK29" s="85"/>
      <c r="GL29" s="85"/>
      <c r="GM29" s="85"/>
      <c r="GN29" s="85"/>
      <c r="GO29" s="85"/>
      <c r="GP29" s="85"/>
      <c r="GQ29" s="85"/>
      <c r="GR29" s="85"/>
      <c r="GS29" s="85"/>
      <c r="GT29" s="85"/>
      <c r="GU29" s="85"/>
      <c r="GV29" s="85"/>
      <c r="GW29" s="85"/>
      <c r="GX29" s="85"/>
      <c r="GY29" s="85"/>
      <c r="GZ29" s="85"/>
      <c r="HA29" s="85"/>
      <c r="HB29" s="85"/>
      <c r="HC29" s="85"/>
      <c r="HD29" s="85"/>
      <c r="HE29" s="85"/>
      <c r="HF29" s="85"/>
      <c r="HG29" s="85"/>
      <c r="HH29" s="85"/>
      <c r="HI29" s="85"/>
      <c r="HJ29" s="85"/>
      <c r="HK29" s="85"/>
      <c r="HL29" s="85"/>
      <c r="HM29" s="85"/>
      <c r="HN29" s="85"/>
      <c r="HO29" s="85"/>
      <c r="HP29" s="85"/>
      <c r="HQ29" s="85"/>
      <c r="HR29" s="85"/>
      <c r="HS29" s="85"/>
      <c r="HT29" s="85"/>
      <c r="HU29" s="85"/>
      <c r="HV29" s="85"/>
      <c r="HW29" s="85"/>
      <c r="HX29" s="85"/>
      <c r="HY29" s="85"/>
      <c r="HZ29" s="85"/>
      <c r="IA29" s="85"/>
      <c r="IB29" s="85"/>
      <c r="IC29" s="85"/>
      <c r="ID29" s="85"/>
      <c r="IE29" s="85"/>
      <c r="IF29" s="85"/>
      <c r="IG29" s="85"/>
      <c r="IH29" s="85"/>
      <c r="II29" s="85"/>
      <c r="IJ29" s="85"/>
      <c r="IK29" s="85"/>
      <c r="IL29" s="85"/>
      <c r="IM29" s="85"/>
      <c r="IN29" s="85"/>
      <c r="IO29" s="85"/>
      <c r="IP29" s="85"/>
      <c r="IQ29" s="85"/>
      <c r="IR29" s="85"/>
      <c r="IS29" s="85"/>
      <c r="IT29" s="85"/>
      <c r="IU29" s="85"/>
      <c r="IV29" s="85"/>
      <c r="IW29" s="85"/>
      <c r="IX29" s="85"/>
      <c r="IY29" s="85"/>
      <c r="IZ29" s="85"/>
      <c r="JA29" s="85"/>
      <c r="JB29" s="85"/>
      <c r="JC29" s="85"/>
      <c r="JD29" s="85"/>
      <c r="JE29" s="85"/>
      <c r="JF29" s="85"/>
      <c r="JG29" s="85"/>
      <c r="JH29" s="85"/>
      <c r="JI29" s="85"/>
      <c r="JJ29" s="85"/>
      <c r="JK29" s="85"/>
      <c r="JL29" s="85"/>
      <c r="JM29" s="85"/>
      <c r="JN29" s="85"/>
      <c r="JO29" s="85"/>
      <c r="JP29" s="85"/>
      <c r="JQ29" s="85"/>
      <c r="JR29" s="85"/>
      <c r="JS29" s="85"/>
      <c r="JT29" s="85"/>
      <c r="JU29" s="85"/>
      <c r="JV29" s="85"/>
      <c r="JW29" s="85"/>
      <c r="JX29" s="85"/>
      <c r="JY29" s="85"/>
      <c r="JZ29" s="85"/>
      <c r="KA29" s="85"/>
      <c r="KB29" s="85"/>
      <c r="KC29" s="85"/>
      <c r="KD29" s="85"/>
      <c r="KE29" s="85"/>
      <c r="KF29" s="85"/>
      <c r="KG29" s="85"/>
      <c r="KH29" s="85"/>
      <c r="KI29" s="85"/>
      <c r="KJ29" s="85"/>
      <c r="KK29" s="85"/>
      <c r="KL29" s="85"/>
      <c r="KM29" s="85"/>
      <c r="KN29" s="85"/>
      <c r="KO29" s="85"/>
      <c r="KP29" s="85"/>
      <c r="KQ29" s="85"/>
      <c r="KR29" s="85"/>
      <c r="KS29" s="85"/>
      <c r="KT29" s="85"/>
      <c r="KU29" s="85"/>
      <c r="KV29" s="85"/>
      <c r="KW29" s="85"/>
      <c r="KX29" s="85"/>
      <c r="KY29" s="85"/>
      <c r="KZ29" s="85"/>
      <c r="LA29" s="85"/>
      <c r="LB29" s="85"/>
      <c r="LC29" s="85"/>
      <c r="LD29" s="85"/>
      <c r="LE29" s="85"/>
      <c r="LF29" s="85"/>
      <c r="LG29" s="85"/>
      <c r="LH29" s="85"/>
      <c r="LI29" s="85"/>
      <c r="LJ29" s="85"/>
      <c r="LK29" s="85"/>
      <c r="LL29" s="85"/>
      <c r="LM29" s="85"/>
      <c r="LN29" s="85"/>
      <c r="LO29" s="85"/>
      <c r="LP29" s="85"/>
      <c r="LQ29" s="85"/>
      <c r="LR29" s="85"/>
      <c r="LS29" s="85"/>
      <c r="LT29" s="85"/>
      <c r="LU29" s="85"/>
      <c r="LV29" s="85"/>
      <c r="LW29" s="85"/>
      <c r="LX29" s="85"/>
      <c r="LY29" s="85"/>
      <c r="LZ29" s="85"/>
      <c r="MA29" s="85"/>
      <c r="MB29" s="85"/>
      <c r="MC29" s="85"/>
      <c r="MD29" s="85"/>
      <c r="ME29" s="85"/>
      <c r="MF29" s="85"/>
      <c r="MG29" s="85"/>
      <c r="MH29" s="85"/>
      <c r="MI29" s="85"/>
      <c r="MJ29" s="85"/>
      <c r="MK29" s="85"/>
      <c r="ML29" s="85"/>
      <c r="MM29" s="85"/>
      <c r="MN29" s="85"/>
      <c r="MO29" s="85"/>
      <c r="MP29" s="85"/>
      <c r="MQ29" s="85"/>
      <c r="MR29" s="85"/>
      <c r="MS29" s="85"/>
      <c r="MT29" s="85"/>
      <c r="MU29" s="85"/>
      <c r="MV29" s="85"/>
      <c r="MW29" s="85"/>
      <c r="MX29" s="85"/>
      <c r="MY29" s="85"/>
      <c r="MZ29" s="85"/>
      <c r="NA29" s="85"/>
      <c r="NB29" s="85"/>
      <c r="NC29" s="85"/>
      <c r="ND29" s="85"/>
      <c r="NE29" s="85"/>
      <c r="NF29" s="85"/>
      <c r="NG29" s="85"/>
      <c r="NH29" s="85"/>
      <c r="NI29" s="85"/>
      <c r="NJ29" s="85"/>
      <c r="NK29" s="85"/>
      <c r="NL29" s="85"/>
      <c r="NM29" s="85"/>
      <c r="NN29" s="85"/>
      <c r="NO29" s="85"/>
      <c r="NP29" s="85"/>
      <c r="NQ29" s="85"/>
      <c r="NR29" s="85"/>
      <c r="NS29" s="85"/>
      <c r="NT29" s="85"/>
      <c r="NU29" s="85"/>
      <c r="NV29" s="85"/>
      <c r="NW29" s="85"/>
      <c r="NX29" s="85"/>
      <c r="NY29" s="85"/>
      <c r="NZ29" s="85"/>
      <c r="OA29" s="85"/>
      <c r="OB29" s="85"/>
      <c r="OC29" s="85"/>
      <c r="OD29" s="85"/>
      <c r="OE29" s="85"/>
      <c r="OF29" s="85"/>
      <c r="OG29" s="85"/>
      <c r="OH29" s="85"/>
      <c r="OI29" s="85"/>
      <c r="OJ29" s="85"/>
      <c r="OK29" s="85"/>
      <c r="OL29" s="85"/>
      <c r="OM29" s="85"/>
      <c r="ON29" s="85"/>
      <c r="OO29" s="85"/>
      <c r="OP29" s="85"/>
      <c r="OQ29" s="85"/>
      <c r="OR29" s="85"/>
      <c r="OS29" s="85"/>
      <c r="OT29" s="85"/>
      <c r="OU29" s="85"/>
      <c r="OV29" s="85"/>
      <c r="OW29" s="85"/>
      <c r="OX29" s="85"/>
      <c r="OY29" s="85"/>
      <c r="OZ29" s="85"/>
      <c r="PA29" s="85"/>
      <c r="PB29" s="85"/>
      <c r="PC29" s="85"/>
      <c r="PD29" s="85"/>
      <c r="PE29" s="85"/>
      <c r="PF29" s="85"/>
      <c r="PG29" s="85"/>
      <c r="PH29" s="85"/>
      <c r="PI29" s="85"/>
      <c r="PJ29" s="85"/>
      <c r="PK29" s="85"/>
      <c r="PL29" s="85"/>
      <c r="PM29" s="85"/>
      <c r="PN29" s="85"/>
      <c r="PO29" s="85"/>
      <c r="PP29" s="85"/>
      <c r="PQ29" s="85"/>
      <c r="PR29" s="85"/>
      <c r="PS29" s="85"/>
      <c r="PT29" s="85"/>
      <c r="PU29" s="85"/>
      <c r="PV29" s="85"/>
      <c r="PW29" s="85"/>
      <c r="PX29" s="85"/>
      <c r="PY29" s="85"/>
      <c r="PZ29" s="85"/>
      <c r="QA29" s="85"/>
      <c r="QB29" s="85"/>
      <c r="QC29" s="85"/>
      <c r="QD29" s="85"/>
      <c r="QE29" s="85"/>
      <c r="QF29" s="85"/>
      <c r="QG29" s="85"/>
      <c r="QH29" s="85"/>
      <c r="QI29" s="85"/>
      <c r="QJ29" s="85"/>
      <c r="QK29" s="85"/>
      <c r="QL29" s="85"/>
      <c r="QM29" s="85"/>
      <c r="QN29" s="85"/>
      <c r="QO29" s="85"/>
      <c r="QP29" s="85"/>
      <c r="QQ29" s="85"/>
      <c r="QR29" s="85"/>
      <c r="QS29" s="85"/>
      <c r="QT29" s="85"/>
      <c r="QU29" s="85"/>
      <c r="QV29" s="85"/>
      <c r="QW29" s="85"/>
      <c r="QX29" s="85"/>
      <c r="QY29" s="85"/>
      <c r="QZ29" s="85"/>
      <c r="RA29" s="85"/>
      <c r="RB29" s="85"/>
      <c r="RC29" s="85"/>
      <c r="RD29" s="85"/>
      <c r="RE29" s="85"/>
      <c r="RF29" s="85"/>
      <c r="RG29" s="85"/>
      <c r="RH29" s="85"/>
      <c r="RI29" s="85"/>
      <c r="RJ29" s="85"/>
      <c r="RK29" s="85"/>
      <c r="RL29" s="85"/>
      <c r="RM29" s="85"/>
      <c r="RN29" s="85"/>
      <c r="RO29" s="85"/>
      <c r="RP29" s="85"/>
      <c r="RQ29" s="85"/>
      <c r="RR29" s="85"/>
      <c r="RS29" s="85"/>
      <c r="RT29" s="85"/>
      <c r="RU29" s="85"/>
      <c r="RV29" s="85"/>
      <c r="RW29" s="85"/>
      <c r="RX29" s="85"/>
      <c r="RY29" s="85"/>
      <c r="RZ29" s="85"/>
      <c r="SA29" s="85"/>
      <c r="SB29" s="85"/>
      <c r="SC29" s="85"/>
      <c r="SD29" s="85"/>
      <c r="SE29" s="85"/>
      <c r="SF29" s="85"/>
      <c r="SG29" s="85"/>
      <c r="SH29" s="85"/>
      <c r="SI29" s="85"/>
      <c r="SJ29" s="85"/>
      <c r="SK29" s="85"/>
      <c r="SL29" s="85"/>
      <c r="SM29" s="85"/>
      <c r="SN29" s="85"/>
      <c r="SO29" s="85"/>
      <c r="SP29" s="85"/>
      <c r="SQ29" s="85"/>
      <c r="SR29" s="85"/>
      <c r="SS29" s="85"/>
      <c r="ST29" s="85"/>
      <c r="SU29" s="85"/>
      <c r="SV29" s="85"/>
      <c r="SW29" s="85"/>
      <c r="SX29" s="85"/>
      <c r="SY29" s="85"/>
      <c r="SZ29" s="85"/>
      <c r="TA29" s="85"/>
      <c r="TB29" s="85"/>
      <c r="TC29" s="85"/>
      <c r="TD29" s="85"/>
      <c r="TE29" s="85"/>
      <c r="TF29" s="85"/>
      <c r="TG29" s="85"/>
      <c r="TH29" s="85"/>
      <c r="TI29" s="85"/>
      <c r="TJ29" s="85"/>
      <c r="TK29" s="85"/>
      <c r="TL29" s="85"/>
      <c r="TM29" s="85"/>
      <c r="TN29" s="85"/>
      <c r="TO29" s="85"/>
      <c r="TP29" s="85"/>
      <c r="TQ29" s="85"/>
      <c r="TR29" s="85"/>
      <c r="TS29" s="85"/>
      <c r="TT29" s="85"/>
      <c r="TU29" s="85"/>
      <c r="TV29" s="85"/>
      <c r="TW29" s="85"/>
      <c r="TX29" s="85"/>
      <c r="TY29" s="85"/>
      <c r="TZ29" s="85"/>
      <c r="UA29" s="85"/>
      <c r="UB29" s="85"/>
      <c r="UC29" s="85"/>
      <c r="UD29" s="85"/>
      <c r="UE29" s="85"/>
      <c r="UF29" s="85"/>
      <c r="UG29" s="85"/>
      <c r="UH29" s="85"/>
      <c r="UI29" s="85"/>
      <c r="UJ29" s="85"/>
      <c r="UK29" s="85"/>
      <c r="UL29" s="85"/>
      <c r="UM29" s="85"/>
      <c r="UN29" s="85"/>
      <c r="UO29" s="85"/>
      <c r="UP29" s="85"/>
      <c r="UQ29" s="85"/>
      <c r="UR29" s="85"/>
      <c r="US29" s="85"/>
      <c r="UT29" s="85"/>
      <c r="UU29" s="85"/>
      <c r="UV29" s="85"/>
      <c r="UW29" s="85"/>
      <c r="UX29" s="85"/>
      <c r="UY29" s="85"/>
      <c r="UZ29" s="85"/>
      <c r="VA29" s="85"/>
      <c r="VB29" s="85"/>
      <c r="VC29" s="85"/>
      <c r="VD29" s="85"/>
      <c r="VE29" s="85"/>
      <c r="VF29" s="85"/>
      <c r="VG29" s="85"/>
      <c r="VH29" s="85"/>
      <c r="VI29" s="85"/>
      <c r="VJ29" s="85"/>
      <c r="VK29" s="85"/>
      <c r="VL29" s="85"/>
      <c r="VM29" s="85"/>
      <c r="VN29" s="85"/>
      <c r="VO29" s="85"/>
      <c r="VP29" s="85"/>
      <c r="VQ29" s="85"/>
      <c r="VR29" s="85"/>
      <c r="VS29" s="85"/>
      <c r="VT29" s="85"/>
      <c r="VU29" s="85"/>
      <c r="VV29" s="85"/>
      <c r="VW29" s="85"/>
      <c r="VX29" s="85"/>
      <c r="VY29" s="85"/>
      <c r="VZ29" s="85"/>
      <c r="WA29" s="85"/>
      <c r="WB29" s="85"/>
      <c r="WC29" s="85"/>
      <c r="WD29" s="85"/>
      <c r="WE29" s="85"/>
      <c r="WF29" s="85"/>
      <c r="WG29" s="85"/>
      <c r="WH29" s="85"/>
      <c r="WI29" s="85"/>
      <c r="WJ29" s="85"/>
      <c r="WK29" s="85"/>
      <c r="WL29" s="85"/>
      <c r="WM29" s="85"/>
      <c r="WN29" s="85"/>
      <c r="WO29" s="85"/>
      <c r="WP29" s="85"/>
      <c r="WQ29" s="85"/>
      <c r="WR29" s="85"/>
      <c r="WS29" s="85"/>
      <c r="WT29" s="85"/>
      <c r="WU29" s="85"/>
      <c r="WV29" s="85"/>
      <c r="WW29" s="85"/>
      <c r="WX29" s="85"/>
      <c r="WY29" s="85"/>
      <c r="WZ29" s="85"/>
      <c r="XA29" s="85"/>
      <c r="XB29" s="85"/>
      <c r="XC29" s="85"/>
      <c r="XD29" s="85"/>
      <c r="XE29" s="85"/>
      <c r="XF29" s="85"/>
      <c r="XG29" s="85"/>
      <c r="XH29" s="85"/>
      <c r="XI29" s="85"/>
      <c r="XJ29" s="85"/>
      <c r="XK29" s="85"/>
      <c r="XL29" s="85"/>
      <c r="XM29" s="85"/>
      <c r="XN29" s="85"/>
      <c r="XO29" s="85"/>
      <c r="XP29" s="85"/>
      <c r="XQ29" s="85"/>
      <c r="XR29" s="85"/>
      <c r="XS29" s="85"/>
      <c r="XT29" s="85"/>
      <c r="XU29" s="85"/>
      <c r="XV29" s="85"/>
      <c r="XW29" s="85"/>
    </row>
    <row r="30" spans="1:647" s="30" customFormat="1" ht="14.25" customHeight="1">
      <c r="A30" s="88"/>
      <c r="B30" s="89"/>
      <c r="C30" s="92"/>
      <c r="D30" s="92"/>
      <c r="E30" s="94"/>
      <c r="F30" s="92"/>
      <c r="G30" s="92"/>
      <c r="H30" s="92"/>
      <c r="I30" s="275"/>
      <c r="J30" s="280"/>
      <c r="K30" s="284"/>
      <c r="L30" s="347"/>
      <c r="M30" s="159"/>
      <c r="N30" s="159"/>
      <c r="O30" s="159"/>
      <c r="P30" s="159"/>
      <c r="Q30" s="175"/>
      <c r="R30" s="91"/>
      <c r="S30" s="156"/>
      <c r="T30" s="92"/>
      <c r="U30" s="95"/>
      <c r="V30" s="92"/>
      <c r="W30" s="92"/>
      <c r="X30" s="92"/>
      <c r="Y30" s="168"/>
      <c r="Z30" s="168"/>
      <c r="AA30" s="161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85"/>
      <c r="BU30" s="85"/>
      <c r="BV30" s="85"/>
      <c r="BW30" s="85"/>
      <c r="BX30" s="85"/>
      <c r="BY30" s="85"/>
      <c r="BZ30" s="85"/>
      <c r="CA30" s="85"/>
      <c r="CB30" s="85"/>
      <c r="CC30" s="85"/>
      <c r="CD30" s="85"/>
      <c r="CE30" s="85"/>
      <c r="CF30" s="85"/>
      <c r="CG30" s="85"/>
      <c r="CH30" s="85"/>
      <c r="CI30" s="85"/>
      <c r="CJ30" s="85"/>
      <c r="CK30" s="85"/>
      <c r="CL30" s="85"/>
      <c r="CM30" s="85"/>
      <c r="CN30" s="85"/>
      <c r="CO30" s="85"/>
      <c r="CP30" s="85"/>
      <c r="CQ30" s="85"/>
      <c r="CR30" s="85"/>
      <c r="CS30" s="85"/>
      <c r="CT30" s="85"/>
      <c r="CU30" s="85"/>
      <c r="CV30" s="85"/>
      <c r="CW30" s="85"/>
      <c r="CX30" s="85"/>
      <c r="CY30" s="85"/>
      <c r="CZ30" s="85"/>
      <c r="DA30" s="85"/>
      <c r="DB30" s="85"/>
      <c r="DC30" s="85"/>
      <c r="DD30" s="85"/>
      <c r="DE30" s="85"/>
      <c r="DF30" s="85"/>
      <c r="DG30" s="85"/>
      <c r="DH30" s="85"/>
      <c r="DI30" s="85"/>
      <c r="DJ30" s="85"/>
      <c r="DK30" s="85"/>
      <c r="DL30" s="85"/>
      <c r="DM30" s="85"/>
      <c r="DN30" s="85"/>
      <c r="DO30" s="85"/>
      <c r="DP30" s="85"/>
      <c r="DQ30" s="85"/>
      <c r="DR30" s="85"/>
      <c r="DS30" s="85"/>
      <c r="DT30" s="85"/>
      <c r="DU30" s="85"/>
      <c r="DV30" s="85"/>
      <c r="DW30" s="85"/>
      <c r="DX30" s="85"/>
      <c r="DY30" s="85"/>
      <c r="DZ30" s="85"/>
      <c r="EA30" s="85"/>
      <c r="EB30" s="85"/>
      <c r="EC30" s="85"/>
      <c r="ED30" s="85"/>
      <c r="EE30" s="85"/>
      <c r="EF30" s="85"/>
      <c r="EG30" s="85"/>
      <c r="EH30" s="85"/>
      <c r="EI30" s="85"/>
      <c r="EJ30" s="85"/>
      <c r="EK30" s="85"/>
      <c r="EL30" s="85"/>
      <c r="EM30" s="85"/>
      <c r="EN30" s="85"/>
      <c r="EO30" s="85"/>
      <c r="EP30" s="85"/>
      <c r="EQ30" s="85"/>
      <c r="ER30" s="85"/>
      <c r="ES30" s="85"/>
      <c r="ET30" s="85"/>
      <c r="EU30" s="85"/>
      <c r="EV30" s="85"/>
      <c r="EW30" s="85"/>
      <c r="EX30" s="85"/>
      <c r="EY30" s="85"/>
      <c r="EZ30" s="85"/>
      <c r="FA30" s="85"/>
      <c r="FB30" s="85"/>
      <c r="FC30" s="85"/>
      <c r="FD30" s="85"/>
      <c r="FE30" s="85"/>
      <c r="FF30" s="85"/>
      <c r="FG30" s="85"/>
      <c r="FH30" s="85"/>
      <c r="FI30" s="85"/>
      <c r="FJ30" s="85"/>
      <c r="FK30" s="85"/>
      <c r="FL30" s="85"/>
      <c r="FM30" s="85"/>
      <c r="FN30" s="85"/>
      <c r="FO30" s="85"/>
      <c r="FP30" s="85"/>
      <c r="FQ30" s="85"/>
      <c r="FR30" s="85"/>
      <c r="FS30" s="85"/>
      <c r="FT30" s="85"/>
      <c r="FU30" s="85"/>
      <c r="FV30" s="85"/>
      <c r="FW30" s="85"/>
      <c r="FX30" s="85"/>
      <c r="FY30" s="85"/>
      <c r="FZ30" s="85"/>
      <c r="GA30" s="85"/>
      <c r="GB30" s="85"/>
      <c r="GC30" s="85"/>
      <c r="GD30" s="85"/>
      <c r="GE30" s="85"/>
      <c r="GF30" s="85"/>
      <c r="GG30" s="85"/>
      <c r="GH30" s="85"/>
      <c r="GI30" s="85"/>
      <c r="GJ30" s="85"/>
      <c r="GK30" s="85"/>
      <c r="GL30" s="85"/>
      <c r="GM30" s="85"/>
      <c r="GN30" s="85"/>
      <c r="GO30" s="85"/>
      <c r="GP30" s="85"/>
      <c r="GQ30" s="85"/>
      <c r="GR30" s="85"/>
      <c r="GS30" s="85"/>
      <c r="GT30" s="85"/>
      <c r="GU30" s="85"/>
      <c r="GV30" s="85"/>
      <c r="GW30" s="85"/>
      <c r="GX30" s="85"/>
      <c r="GY30" s="85"/>
      <c r="GZ30" s="85"/>
      <c r="HA30" s="85"/>
      <c r="HB30" s="85"/>
      <c r="HC30" s="85"/>
      <c r="HD30" s="85"/>
      <c r="HE30" s="85"/>
      <c r="HF30" s="85"/>
      <c r="HG30" s="85"/>
      <c r="HH30" s="85"/>
      <c r="HI30" s="85"/>
      <c r="HJ30" s="85"/>
      <c r="HK30" s="85"/>
      <c r="HL30" s="85"/>
      <c r="HM30" s="85"/>
      <c r="HN30" s="85"/>
      <c r="HO30" s="85"/>
      <c r="HP30" s="85"/>
      <c r="HQ30" s="85"/>
      <c r="HR30" s="85"/>
      <c r="HS30" s="85"/>
      <c r="HT30" s="85"/>
      <c r="HU30" s="85"/>
      <c r="HV30" s="85"/>
      <c r="HW30" s="85"/>
      <c r="HX30" s="85"/>
      <c r="HY30" s="85"/>
      <c r="HZ30" s="85"/>
      <c r="IA30" s="85"/>
      <c r="IB30" s="85"/>
      <c r="IC30" s="85"/>
      <c r="ID30" s="85"/>
      <c r="IE30" s="85"/>
      <c r="IF30" s="85"/>
      <c r="IG30" s="85"/>
      <c r="IH30" s="85"/>
      <c r="II30" s="85"/>
      <c r="IJ30" s="85"/>
      <c r="IK30" s="85"/>
      <c r="IL30" s="85"/>
      <c r="IM30" s="85"/>
      <c r="IN30" s="85"/>
      <c r="IO30" s="85"/>
      <c r="IP30" s="85"/>
      <c r="IQ30" s="85"/>
      <c r="IR30" s="85"/>
      <c r="IS30" s="85"/>
      <c r="IT30" s="85"/>
      <c r="IU30" s="85"/>
      <c r="IV30" s="85"/>
      <c r="IW30" s="85"/>
      <c r="IX30" s="85"/>
      <c r="IY30" s="85"/>
      <c r="IZ30" s="85"/>
      <c r="JA30" s="85"/>
      <c r="JB30" s="85"/>
      <c r="JC30" s="85"/>
      <c r="JD30" s="85"/>
      <c r="JE30" s="85"/>
      <c r="JF30" s="85"/>
      <c r="JG30" s="85"/>
      <c r="JH30" s="85"/>
      <c r="JI30" s="85"/>
      <c r="JJ30" s="85"/>
      <c r="JK30" s="85"/>
      <c r="JL30" s="85"/>
      <c r="JM30" s="85"/>
      <c r="JN30" s="85"/>
      <c r="JO30" s="85"/>
      <c r="JP30" s="85"/>
      <c r="JQ30" s="85"/>
      <c r="JR30" s="85"/>
      <c r="JS30" s="85"/>
      <c r="JT30" s="85"/>
      <c r="JU30" s="85"/>
      <c r="JV30" s="85"/>
      <c r="JW30" s="85"/>
      <c r="JX30" s="85"/>
      <c r="JY30" s="85"/>
      <c r="JZ30" s="85"/>
      <c r="KA30" s="85"/>
      <c r="KB30" s="85"/>
      <c r="KC30" s="85"/>
      <c r="KD30" s="85"/>
      <c r="KE30" s="85"/>
      <c r="KF30" s="85"/>
      <c r="KG30" s="85"/>
      <c r="KH30" s="85"/>
      <c r="KI30" s="85"/>
      <c r="KJ30" s="85"/>
      <c r="KK30" s="85"/>
      <c r="KL30" s="85"/>
      <c r="KM30" s="85"/>
      <c r="KN30" s="85"/>
      <c r="KO30" s="85"/>
      <c r="KP30" s="85"/>
      <c r="KQ30" s="85"/>
      <c r="KR30" s="85"/>
      <c r="KS30" s="85"/>
      <c r="KT30" s="85"/>
      <c r="KU30" s="85"/>
      <c r="KV30" s="85"/>
      <c r="KW30" s="85"/>
      <c r="KX30" s="85"/>
      <c r="KY30" s="85"/>
      <c r="KZ30" s="85"/>
      <c r="LA30" s="85"/>
      <c r="LB30" s="85"/>
      <c r="LC30" s="85"/>
      <c r="LD30" s="85"/>
      <c r="LE30" s="85"/>
      <c r="LF30" s="85"/>
      <c r="LG30" s="85"/>
      <c r="LH30" s="85"/>
      <c r="LI30" s="85"/>
      <c r="LJ30" s="85"/>
      <c r="LK30" s="85"/>
      <c r="LL30" s="85"/>
      <c r="LM30" s="85"/>
      <c r="LN30" s="85"/>
      <c r="LO30" s="85"/>
      <c r="LP30" s="85"/>
      <c r="LQ30" s="85"/>
      <c r="LR30" s="85"/>
      <c r="LS30" s="85"/>
      <c r="LT30" s="85"/>
      <c r="LU30" s="85"/>
      <c r="LV30" s="85"/>
      <c r="LW30" s="85"/>
      <c r="LX30" s="85"/>
      <c r="LY30" s="85"/>
      <c r="LZ30" s="85"/>
      <c r="MA30" s="85"/>
      <c r="MB30" s="85"/>
      <c r="MC30" s="85"/>
      <c r="MD30" s="85"/>
      <c r="ME30" s="85"/>
      <c r="MF30" s="85"/>
      <c r="MG30" s="85"/>
      <c r="MH30" s="85"/>
      <c r="MI30" s="85"/>
      <c r="MJ30" s="85"/>
      <c r="MK30" s="85"/>
      <c r="ML30" s="85"/>
      <c r="MM30" s="85"/>
      <c r="MN30" s="85"/>
      <c r="MO30" s="85"/>
      <c r="MP30" s="85"/>
      <c r="MQ30" s="85"/>
      <c r="MR30" s="85"/>
      <c r="MS30" s="85"/>
      <c r="MT30" s="85"/>
      <c r="MU30" s="85"/>
      <c r="MV30" s="85"/>
      <c r="MW30" s="85"/>
      <c r="MX30" s="85"/>
      <c r="MY30" s="85"/>
      <c r="MZ30" s="85"/>
      <c r="NA30" s="85"/>
      <c r="NB30" s="85"/>
      <c r="NC30" s="85"/>
      <c r="ND30" s="85"/>
      <c r="NE30" s="85"/>
      <c r="NF30" s="85"/>
      <c r="NG30" s="85"/>
      <c r="NH30" s="85"/>
      <c r="NI30" s="85"/>
      <c r="NJ30" s="85"/>
      <c r="NK30" s="85"/>
      <c r="NL30" s="85"/>
      <c r="NM30" s="85"/>
      <c r="NN30" s="85"/>
      <c r="NO30" s="85"/>
      <c r="NP30" s="85"/>
      <c r="NQ30" s="85"/>
      <c r="NR30" s="85"/>
      <c r="NS30" s="85"/>
      <c r="NT30" s="85"/>
      <c r="NU30" s="85"/>
      <c r="NV30" s="85"/>
      <c r="NW30" s="85"/>
      <c r="NX30" s="85"/>
      <c r="NY30" s="85"/>
      <c r="NZ30" s="85"/>
      <c r="OA30" s="85"/>
      <c r="OB30" s="85"/>
      <c r="OC30" s="85"/>
      <c r="OD30" s="85"/>
      <c r="OE30" s="85"/>
      <c r="OF30" s="85"/>
      <c r="OG30" s="85"/>
      <c r="OH30" s="85"/>
      <c r="OI30" s="85"/>
      <c r="OJ30" s="85"/>
      <c r="OK30" s="85"/>
      <c r="OL30" s="85"/>
      <c r="OM30" s="85"/>
      <c r="ON30" s="85"/>
      <c r="OO30" s="85"/>
      <c r="OP30" s="85"/>
      <c r="OQ30" s="85"/>
      <c r="OR30" s="85"/>
      <c r="OS30" s="85"/>
      <c r="OT30" s="85"/>
      <c r="OU30" s="85"/>
      <c r="OV30" s="85"/>
      <c r="OW30" s="85"/>
      <c r="OX30" s="85"/>
      <c r="OY30" s="85"/>
      <c r="OZ30" s="85"/>
      <c r="PA30" s="85"/>
      <c r="PB30" s="85"/>
      <c r="PC30" s="85"/>
      <c r="PD30" s="85"/>
      <c r="PE30" s="85"/>
      <c r="PF30" s="85"/>
      <c r="PG30" s="85"/>
      <c r="PH30" s="85"/>
      <c r="PI30" s="85"/>
      <c r="PJ30" s="85"/>
      <c r="PK30" s="85"/>
      <c r="PL30" s="85"/>
      <c r="PM30" s="85"/>
      <c r="PN30" s="85"/>
      <c r="PO30" s="85"/>
      <c r="PP30" s="85"/>
      <c r="PQ30" s="85"/>
      <c r="PR30" s="85"/>
      <c r="PS30" s="85"/>
      <c r="PT30" s="85"/>
      <c r="PU30" s="85"/>
      <c r="PV30" s="85"/>
      <c r="PW30" s="85"/>
      <c r="PX30" s="85"/>
      <c r="PY30" s="85"/>
      <c r="PZ30" s="85"/>
      <c r="QA30" s="85"/>
      <c r="QB30" s="85"/>
      <c r="QC30" s="85"/>
      <c r="QD30" s="85"/>
      <c r="QE30" s="85"/>
      <c r="QF30" s="85"/>
      <c r="QG30" s="85"/>
      <c r="QH30" s="85"/>
      <c r="QI30" s="85"/>
      <c r="QJ30" s="85"/>
      <c r="QK30" s="85"/>
      <c r="QL30" s="85"/>
      <c r="QM30" s="85"/>
      <c r="QN30" s="85"/>
      <c r="QO30" s="85"/>
      <c r="QP30" s="85"/>
      <c r="QQ30" s="85"/>
      <c r="QR30" s="85"/>
      <c r="QS30" s="85"/>
      <c r="QT30" s="85"/>
      <c r="QU30" s="85"/>
      <c r="QV30" s="85"/>
      <c r="QW30" s="85"/>
      <c r="QX30" s="85"/>
      <c r="QY30" s="85"/>
      <c r="QZ30" s="85"/>
      <c r="RA30" s="85"/>
      <c r="RB30" s="85"/>
      <c r="RC30" s="85"/>
      <c r="RD30" s="85"/>
      <c r="RE30" s="85"/>
      <c r="RF30" s="85"/>
      <c r="RG30" s="85"/>
      <c r="RH30" s="85"/>
      <c r="RI30" s="85"/>
      <c r="RJ30" s="85"/>
      <c r="RK30" s="85"/>
      <c r="RL30" s="85"/>
      <c r="RM30" s="85"/>
      <c r="RN30" s="85"/>
      <c r="RO30" s="85"/>
      <c r="RP30" s="85"/>
      <c r="RQ30" s="85"/>
      <c r="RR30" s="85"/>
      <c r="RS30" s="85"/>
      <c r="RT30" s="85"/>
      <c r="RU30" s="85"/>
      <c r="RV30" s="85"/>
      <c r="RW30" s="85"/>
      <c r="RX30" s="85"/>
      <c r="RY30" s="85"/>
      <c r="RZ30" s="85"/>
      <c r="SA30" s="85"/>
      <c r="SB30" s="85"/>
      <c r="SC30" s="85"/>
      <c r="SD30" s="85"/>
      <c r="SE30" s="85"/>
      <c r="SF30" s="85"/>
      <c r="SG30" s="85"/>
      <c r="SH30" s="85"/>
      <c r="SI30" s="85"/>
      <c r="SJ30" s="85"/>
      <c r="SK30" s="85"/>
      <c r="SL30" s="85"/>
      <c r="SM30" s="85"/>
      <c r="SN30" s="85"/>
      <c r="SO30" s="85"/>
      <c r="SP30" s="85"/>
      <c r="SQ30" s="85"/>
      <c r="SR30" s="85"/>
      <c r="SS30" s="85"/>
      <c r="ST30" s="85"/>
      <c r="SU30" s="85"/>
      <c r="SV30" s="85"/>
      <c r="SW30" s="85"/>
      <c r="SX30" s="85"/>
      <c r="SY30" s="85"/>
      <c r="SZ30" s="85"/>
      <c r="TA30" s="85"/>
      <c r="TB30" s="85"/>
      <c r="TC30" s="85"/>
      <c r="TD30" s="85"/>
      <c r="TE30" s="85"/>
      <c r="TF30" s="85"/>
      <c r="TG30" s="85"/>
      <c r="TH30" s="85"/>
      <c r="TI30" s="85"/>
      <c r="TJ30" s="85"/>
      <c r="TK30" s="85"/>
      <c r="TL30" s="85"/>
      <c r="TM30" s="85"/>
      <c r="TN30" s="85"/>
      <c r="TO30" s="85"/>
      <c r="TP30" s="85"/>
      <c r="TQ30" s="85"/>
      <c r="TR30" s="85"/>
      <c r="TS30" s="85"/>
      <c r="TT30" s="85"/>
      <c r="TU30" s="85"/>
      <c r="TV30" s="85"/>
      <c r="TW30" s="85"/>
      <c r="TX30" s="85"/>
      <c r="TY30" s="85"/>
      <c r="TZ30" s="85"/>
      <c r="UA30" s="85"/>
      <c r="UB30" s="85"/>
      <c r="UC30" s="85"/>
      <c r="UD30" s="85"/>
      <c r="UE30" s="85"/>
      <c r="UF30" s="85"/>
      <c r="UG30" s="85"/>
      <c r="UH30" s="85"/>
      <c r="UI30" s="85"/>
      <c r="UJ30" s="85"/>
      <c r="UK30" s="85"/>
      <c r="UL30" s="85"/>
      <c r="UM30" s="85"/>
      <c r="UN30" s="85"/>
      <c r="UO30" s="85"/>
      <c r="UP30" s="85"/>
      <c r="UQ30" s="85"/>
      <c r="UR30" s="85"/>
      <c r="US30" s="85"/>
      <c r="UT30" s="85"/>
      <c r="UU30" s="85"/>
      <c r="UV30" s="85"/>
      <c r="UW30" s="85"/>
      <c r="UX30" s="85"/>
      <c r="UY30" s="85"/>
      <c r="UZ30" s="85"/>
      <c r="VA30" s="85"/>
      <c r="VB30" s="85"/>
      <c r="VC30" s="85"/>
      <c r="VD30" s="85"/>
      <c r="VE30" s="85"/>
      <c r="VF30" s="85"/>
      <c r="VG30" s="85"/>
      <c r="VH30" s="85"/>
      <c r="VI30" s="85"/>
      <c r="VJ30" s="85"/>
      <c r="VK30" s="85"/>
      <c r="VL30" s="85"/>
      <c r="VM30" s="85"/>
      <c r="VN30" s="85"/>
      <c r="VO30" s="85"/>
      <c r="VP30" s="85"/>
      <c r="VQ30" s="85"/>
      <c r="VR30" s="85"/>
      <c r="VS30" s="85"/>
      <c r="VT30" s="85"/>
      <c r="VU30" s="85"/>
      <c r="VV30" s="85"/>
      <c r="VW30" s="85"/>
      <c r="VX30" s="85"/>
      <c r="VY30" s="85"/>
      <c r="VZ30" s="85"/>
      <c r="WA30" s="85"/>
      <c r="WB30" s="85"/>
      <c r="WC30" s="85"/>
      <c r="WD30" s="85"/>
      <c r="WE30" s="85"/>
      <c r="WF30" s="85"/>
      <c r="WG30" s="85"/>
      <c r="WH30" s="85"/>
      <c r="WI30" s="85"/>
      <c r="WJ30" s="85"/>
      <c r="WK30" s="85"/>
      <c r="WL30" s="85"/>
      <c r="WM30" s="85"/>
      <c r="WN30" s="85"/>
      <c r="WO30" s="85"/>
      <c r="WP30" s="85"/>
      <c r="WQ30" s="85"/>
      <c r="WR30" s="85"/>
      <c r="WS30" s="85"/>
      <c r="WT30" s="85"/>
      <c r="WU30" s="85"/>
      <c r="WV30" s="85"/>
      <c r="WW30" s="85"/>
      <c r="WX30" s="85"/>
      <c r="WY30" s="85"/>
      <c r="WZ30" s="85"/>
      <c r="XA30" s="85"/>
      <c r="XB30" s="85"/>
      <c r="XC30" s="85"/>
      <c r="XD30" s="85"/>
      <c r="XE30" s="85"/>
      <c r="XF30" s="85"/>
      <c r="XG30" s="85"/>
      <c r="XH30" s="85"/>
      <c r="XI30" s="85"/>
      <c r="XJ30" s="85"/>
      <c r="XK30" s="85"/>
      <c r="XL30" s="85"/>
      <c r="XM30" s="85"/>
      <c r="XN30" s="85"/>
      <c r="XO30" s="85"/>
      <c r="XP30" s="85"/>
      <c r="XQ30" s="85"/>
      <c r="XR30" s="85"/>
      <c r="XS30" s="85"/>
      <c r="XT30" s="85"/>
      <c r="XU30" s="85"/>
      <c r="XV30" s="85"/>
      <c r="XW30" s="85"/>
    </row>
    <row r="31" spans="1:647" s="30" customFormat="1" ht="14.25" customHeight="1">
      <c r="A31" s="88"/>
      <c r="B31" s="89"/>
      <c r="C31" s="92"/>
      <c r="D31" s="92"/>
      <c r="E31" s="94"/>
      <c r="F31" s="92"/>
      <c r="G31" s="92"/>
      <c r="H31" s="92"/>
      <c r="I31" s="275"/>
      <c r="J31" s="280"/>
      <c r="K31" s="284"/>
      <c r="L31" s="347"/>
      <c r="M31" s="159"/>
      <c r="N31" s="159"/>
      <c r="O31" s="159"/>
      <c r="P31" s="159"/>
      <c r="Q31" s="175"/>
      <c r="R31" s="91"/>
      <c r="S31" s="156"/>
      <c r="T31" s="92"/>
      <c r="U31" s="95"/>
      <c r="V31" s="92"/>
      <c r="W31" s="92"/>
      <c r="X31" s="92"/>
      <c r="Y31" s="168"/>
      <c r="Z31" s="168"/>
      <c r="AA31" s="161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85"/>
      <c r="BU31" s="85"/>
      <c r="BV31" s="85"/>
      <c r="BW31" s="85"/>
      <c r="BX31" s="85"/>
      <c r="BY31" s="85"/>
      <c r="BZ31" s="85"/>
      <c r="CA31" s="85"/>
      <c r="CB31" s="85"/>
      <c r="CC31" s="85"/>
      <c r="CD31" s="85"/>
      <c r="CE31" s="85"/>
      <c r="CF31" s="85"/>
      <c r="CG31" s="85"/>
      <c r="CH31" s="85"/>
      <c r="CI31" s="85"/>
      <c r="CJ31" s="85"/>
      <c r="CK31" s="85"/>
      <c r="CL31" s="85"/>
      <c r="CM31" s="85"/>
      <c r="CN31" s="85"/>
      <c r="CO31" s="85"/>
      <c r="CP31" s="85"/>
      <c r="CQ31" s="85"/>
      <c r="CR31" s="85"/>
      <c r="CS31" s="85"/>
      <c r="CT31" s="85"/>
      <c r="CU31" s="85"/>
      <c r="CV31" s="85"/>
      <c r="CW31" s="85"/>
      <c r="CX31" s="85"/>
      <c r="CY31" s="85"/>
      <c r="CZ31" s="85"/>
      <c r="DA31" s="85"/>
      <c r="DB31" s="85"/>
      <c r="DC31" s="85"/>
      <c r="DD31" s="85"/>
      <c r="DE31" s="85"/>
      <c r="DF31" s="85"/>
      <c r="DG31" s="85"/>
      <c r="DH31" s="85"/>
      <c r="DI31" s="85"/>
      <c r="DJ31" s="85"/>
      <c r="DK31" s="85"/>
      <c r="DL31" s="85"/>
      <c r="DM31" s="85"/>
      <c r="DN31" s="85"/>
      <c r="DO31" s="85"/>
      <c r="DP31" s="85"/>
      <c r="DQ31" s="85"/>
      <c r="DR31" s="85"/>
      <c r="DS31" s="85"/>
      <c r="DT31" s="85"/>
      <c r="DU31" s="85"/>
      <c r="DV31" s="85"/>
      <c r="DW31" s="85"/>
      <c r="DX31" s="85"/>
      <c r="DY31" s="85"/>
      <c r="DZ31" s="85"/>
      <c r="EA31" s="85"/>
      <c r="EB31" s="85"/>
      <c r="EC31" s="85"/>
      <c r="ED31" s="85"/>
      <c r="EE31" s="85"/>
      <c r="EF31" s="85"/>
      <c r="EG31" s="85"/>
      <c r="EH31" s="85"/>
      <c r="EI31" s="85"/>
      <c r="EJ31" s="85"/>
      <c r="EK31" s="85"/>
      <c r="EL31" s="85"/>
      <c r="EM31" s="85"/>
      <c r="EN31" s="85"/>
      <c r="EO31" s="85"/>
      <c r="EP31" s="85"/>
      <c r="EQ31" s="85"/>
      <c r="ER31" s="85"/>
      <c r="ES31" s="85"/>
      <c r="ET31" s="85"/>
      <c r="EU31" s="85"/>
      <c r="EV31" s="85"/>
      <c r="EW31" s="85"/>
      <c r="EX31" s="85"/>
      <c r="EY31" s="85"/>
      <c r="EZ31" s="85"/>
      <c r="FA31" s="85"/>
      <c r="FB31" s="85"/>
      <c r="FC31" s="85"/>
      <c r="FD31" s="85"/>
      <c r="FE31" s="85"/>
      <c r="FF31" s="85"/>
      <c r="FG31" s="85"/>
      <c r="FH31" s="85"/>
      <c r="FI31" s="85"/>
      <c r="FJ31" s="85"/>
      <c r="FK31" s="85"/>
      <c r="FL31" s="85"/>
      <c r="FM31" s="85"/>
      <c r="FN31" s="85"/>
      <c r="FO31" s="85"/>
      <c r="FP31" s="85"/>
      <c r="FQ31" s="85"/>
      <c r="FR31" s="85"/>
      <c r="FS31" s="85"/>
      <c r="FT31" s="85"/>
      <c r="FU31" s="85"/>
      <c r="FV31" s="85"/>
      <c r="FW31" s="85"/>
      <c r="FX31" s="85"/>
      <c r="FY31" s="85"/>
      <c r="FZ31" s="85"/>
      <c r="GA31" s="85"/>
      <c r="GB31" s="85"/>
      <c r="GC31" s="85"/>
      <c r="GD31" s="85"/>
      <c r="GE31" s="85"/>
      <c r="GF31" s="85"/>
      <c r="GG31" s="85"/>
      <c r="GH31" s="85"/>
      <c r="GI31" s="85"/>
      <c r="GJ31" s="85"/>
      <c r="GK31" s="85"/>
      <c r="GL31" s="85"/>
      <c r="GM31" s="85"/>
      <c r="GN31" s="85"/>
      <c r="GO31" s="85"/>
      <c r="GP31" s="85"/>
      <c r="GQ31" s="85"/>
      <c r="GR31" s="85"/>
      <c r="GS31" s="85"/>
      <c r="GT31" s="85"/>
      <c r="GU31" s="85"/>
      <c r="GV31" s="85"/>
      <c r="GW31" s="85"/>
      <c r="GX31" s="85"/>
      <c r="GY31" s="85"/>
      <c r="GZ31" s="85"/>
      <c r="HA31" s="85"/>
      <c r="HB31" s="85"/>
      <c r="HC31" s="85"/>
      <c r="HD31" s="85"/>
      <c r="HE31" s="85"/>
      <c r="HF31" s="85"/>
      <c r="HG31" s="85"/>
      <c r="HH31" s="85"/>
      <c r="HI31" s="85"/>
      <c r="HJ31" s="85"/>
      <c r="HK31" s="85"/>
      <c r="HL31" s="85"/>
      <c r="HM31" s="85"/>
      <c r="HN31" s="85"/>
      <c r="HO31" s="85"/>
      <c r="HP31" s="85"/>
      <c r="HQ31" s="85"/>
      <c r="HR31" s="85"/>
      <c r="HS31" s="85"/>
      <c r="HT31" s="85"/>
      <c r="HU31" s="85"/>
      <c r="HV31" s="85"/>
      <c r="HW31" s="85"/>
      <c r="HX31" s="85"/>
      <c r="HY31" s="85"/>
      <c r="HZ31" s="85"/>
      <c r="IA31" s="85"/>
      <c r="IB31" s="85"/>
      <c r="IC31" s="85"/>
      <c r="ID31" s="85"/>
      <c r="IE31" s="85"/>
      <c r="IF31" s="85"/>
      <c r="IG31" s="85"/>
      <c r="IH31" s="85"/>
      <c r="II31" s="85"/>
      <c r="IJ31" s="85"/>
      <c r="IK31" s="85"/>
      <c r="IL31" s="85"/>
      <c r="IM31" s="85"/>
      <c r="IN31" s="85"/>
      <c r="IO31" s="85"/>
      <c r="IP31" s="85"/>
      <c r="IQ31" s="85"/>
      <c r="IR31" s="85"/>
      <c r="IS31" s="85"/>
      <c r="IT31" s="85"/>
      <c r="IU31" s="85"/>
      <c r="IV31" s="85"/>
      <c r="IW31" s="85"/>
      <c r="IX31" s="85"/>
      <c r="IY31" s="85"/>
      <c r="IZ31" s="85"/>
      <c r="JA31" s="85"/>
      <c r="JB31" s="85"/>
      <c r="JC31" s="85"/>
      <c r="JD31" s="85"/>
      <c r="JE31" s="85"/>
      <c r="JF31" s="85"/>
      <c r="JG31" s="85"/>
      <c r="JH31" s="85"/>
      <c r="JI31" s="85"/>
      <c r="JJ31" s="85"/>
      <c r="JK31" s="85"/>
      <c r="JL31" s="85"/>
      <c r="JM31" s="85"/>
      <c r="JN31" s="85"/>
      <c r="JO31" s="85"/>
      <c r="JP31" s="85"/>
      <c r="JQ31" s="85"/>
      <c r="JR31" s="85"/>
      <c r="JS31" s="85"/>
      <c r="JT31" s="85"/>
      <c r="JU31" s="85"/>
      <c r="JV31" s="85"/>
      <c r="JW31" s="85"/>
      <c r="JX31" s="85"/>
      <c r="JY31" s="85"/>
      <c r="JZ31" s="85"/>
      <c r="KA31" s="85"/>
      <c r="KB31" s="85"/>
      <c r="KC31" s="85"/>
      <c r="KD31" s="85"/>
      <c r="KE31" s="85"/>
      <c r="KF31" s="85"/>
      <c r="KG31" s="85"/>
      <c r="KH31" s="85"/>
      <c r="KI31" s="85"/>
      <c r="KJ31" s="85"/>
      <c r="KK31" s="85"/>
      <c r="KL31" s="85"/>
      <c r="KM31" s="85"/>
      <c r="KN31" s="85"/>
      <c r="KO31" s="85"/>
      <c r="KP31" s="85"/>
      <c r="KQ31" s="85"/>
      <c r="KR31" s="85"/>
      <c r="KS31" s="85"/>
      <c r="KT31" s="85"/>
      <c r="KU31" s="85"/>
      <c r="KV31" s="85"/>
      <c r="KW31" s="85"/>
      <c r="KX31" s="85"/>
      <c r="KY31" s="85"/>
      <c r="KZ31" s="85"/>
      <c r="LA31" s="85"/>
      <c r="LB31" s="85"/>
      <c r="LC31" s="85"/>
      <c r="LD31" s="85"/>
      <c r="LE31" s="85"/>
      <c r="LF31" s="85"/>
      <c r="LG31" s="85"/>
      <c r="LH31" s="85"/>
      <c r="LI31" s="85"/>
      <c r="LJ31" s="85"/>
      <c r="LK31" s="85"/>
      <c r="LL31" s="85"/>
      <c r="LM31" s="85"/>
      <c r="LN31" s="85"/>
      <c r="LO31" s="85"/>
      <c r="LP31" s="85"/>
      <c r="LQ31" s="85"/>
      <c r="LR31" s="85"/>
      <c r="LS31" s="85"/>
      <c r="LT31" s="85"/>
      <c r="LU31" s="85"/>
      <c r="LV31" s="85"/>
      <c r="LW31" s="85"/>
      <c r="LX31" s="85"/>
      <c r="LY31" s="85"/>
      <c r="LZ31" s="85"/>
      <c r="MA31" s="85"/>
      <c r="MB31" s="85"/>
      <c r="MC31" s="85"/>
      <c r="MD31" s="85"/>
      <c r="ME31" s="85"/>
      <c r="MF31" s="85"/>
      <c r="MG31" s="85"/>
      <c r="MH31" s="85"/>
      <c r="MI31" s="85"/>
      <c r="MJ31" s="85"/>
      <c r="MK31" s="85"/>
      <c r="ML31" s="85"/>
      <c r="MM31" s="85"/>
      <c r="MN31" s="85"/>
      <c r="MO31" s="85"/>
      <c r="MP31" s="85"/>
      <c r="MQ31" s="85"/>
      <c r="MR31" s="85"/>
      <c r="MS31" s="85"/>
      <c r="MT31" s="85"/>
      <c r="MU31" s="85"/>
      <c r="MV31" s="85"/>
      <c r="MW31" s="85"/>
      <c r="MX31" s="85"/>
      <c r="MY31" s="85"/>
      <c r="MZ31" s="85"/>
      <c r="NA31" s="85"/>
      <c r="NB31" s="85"/>
      <c r="NC31" s="85"/>
      <c r="ND31" s="85"/>
      <c r="NE31" s="85"/>
      <c r="NF31" s="85"/>
      <c r="NG31" s="85"/>
      <c r="NH31" s="85"/>
      <c r="NI31" s="85"/>
      <c r="NJ31" s="85"/>
      <c r="NK31" s="85"/>
      <c r="NL31" s="85"/>
      <c r="NM31" s="85"/>
      <c r="NN31" s="85"/>
      <c r="NO31" s="85"/>
      <c r="NP31" s="85"/>
      <c r="NQ31" s="85"/>
      <c r="NR31" s="85"/>
      <c r="NS31" s="85"/>
      <c r="NT31" s="85"/>
      <c r="NU31" s="85"/>
      <c r="NV31" s="85"/>
      <c r="NW31" s="85"/>
      <c r="NX31" s="85"/>
      <c r="NY31" s="85"/>
      <c r="NZ31" s="85"/>
      <c r="OA31" s="85"/>
      <c r="OB31" s="85"/>
      <c r="OC31" s="85"/>
      <c r="OD31" s="85"/>
      <c r="OE31" s="85"/>
      <c r="OF31" s="85"/>
      <c r="OG31" s="85"/>
      <c r="OH31" s="85"/>
      <c r="OI31" s="85"/>
      <c r="OJ31" s="85"/>
      <c r="OK31" s="85"/>
      <c r="OL31" s="85"/>
      <c r="OM31" s="85"/>
      <c r="ON31" s="85"/>
      <c r="OO31" s="85"/>
      <c r="OP31" s="85"/>
      <c r="OQ31" s="85"/>
      <c r="OR31" s="85"/>
      <c r="OS31" s="85"/>
      <c r="OT31" s="85"/>
      <c r="OU31" s="85"/>
      <c r="OV31" s="85"/>
      <c r="OW31" s="85"/>
      <c r="OX31" s="85"/>
      <c r="OY31" s="85"/>
      <c r="OZ31" s="85"/>
      <c r="PA31" s="85"/>
      <c r="PB31" s="85"/>
      <c r="PC31" s="85"/>
      <c r="PD31" s="85"/>
      <c r="PE31" s="85"/>
      <c r="PF31" s="85"/>
      <c r="PG31" s="85"/>
      <c r="PH31" s="85"/>
      <c r="PI31" s="85"/>
      <c r="PJ31" s="85"/>
      <c r="PK31" s="85"/>
      <c r="PL31" s="85"/>
      <c r="PM31" s="85"/>
      <c r="PN31" s="85"/>
      <c r="PO31" s="85"/>
      <c r="PP31" s="85"/>
      <c r="PQ31" s="85"/>
      <c r="PR31" s="85"/>
      <c r="PS31" s="85"/>
      <c r="PT31" s="85"/>
      <c r="PU31" s="85"/>
      <c r="PV31" s="85"/>
      <c r="PW31" s="85"/>
      <c r="PX31" s="85"/>
      <c r="PY31" s="85"/>
      <c r="PZ31" s="85"/>
      <c r="QA31" s="85"/>
      <c r="QB31" s="85"/>
      <c r="QC31" s="85"/>
      <c r="QD31" s="85"/>
      <c r="QE31" s="85"/>
      <c r="QF31" s="85"/>
      <c r="QG31" s="85"/>
      <c r="QH31" s="85"/>
      <c r="QI31" s="85"/>
      <c r="QJ31" s="85"/>
      <c r="QK31" s="85"/>
      <c r="QL31" s="85"/>
      <c r="QM31" s="85"/>
      <c r="QN31" s="85"/>
      <c r="QO31" s="85"/>
      <c r="QP31" s="85"/>
      <c r="QQ31" s="85"/>
      <c r="QR31" s="85"/>
      <c r="QS31" s="85"/>
      <c r="QT31" s="85"/>
      <c r="QU31" s="85"/>
      <c r="QV31" s="85"/>
      <c r="QW31" s="85"/>
      <c r="QX31" s="85"/>
      <c r="QY31" s="85"/>
      <c r="QZ31" s="85"/>
      <c r="RA31" s="85"/>
      <c r="RB31" s="85"/>
      <c r="RC31" s="85"/>
      <c r="RD31" s="85"/>
      <c r="RE31" s="85"/>
      <c r="RF31" s="85"/>
      <c r="RG31" s="85"/>
      <c r="RH31" s="85"/>
      <c r="RI31" s="85"/>
      <c r="RJ31" s="85"/>
      <c r="RK31" s="85"/>
      <c r="RL31" s="85"/>
      <c r="RM31" s="85"/>
      <c r="RN31" s="85"/>
      <c r="RO31" s="85"/>
      <c r="RP31" s="85"/>
      <c r="RQ31" s="85"/>
      <c r="RR31" s="85"/>
      <c r="RS31" s="85"/>
      <c r="RT31" s="85"/>
      <c r="RU31" s="85"/>
      <c r="RV31" s="85"/>
      <c r="RW31" s="85"/>
      <c r="RX31" s="85"/>
      <c r="RY31" s="85"/>
      <c r="RZ31" s="85"/>
      <c r="SA31" s="85"/>
      <c r="SB31" s="85"/>
      <c r="SC31" s="85"/>
      <c r="SD31" s="85"/>
      <c r="SE31" s="85"/>
      <c r="SF31" s="85"/>
      <c r="SG31" s="85"/>
      <c r="SH31" s="85"/>
      <c r="SI31" s="85"/>
      <c r="SJ31" s="85"/>
      <c r="SK31" s="85"/>
      <c r="SL31" s="85"/>
      <c r="SM31" s="85"/>
      <c r="SN31" s="85"/>
      <c r="SO31" s="85"/>
      <c r="SP31" s="85"/>
      <c r="SQ31" s="85"/>
      <c r="SR31" s="85"/>
      <c r="SS31" s="85"/>
      <c r="ST31" s="85"/>
      <c r="SU31" s="85"/>
      <c r="SV31" s="85"/>
      <c r="SW31" s="85"/>
      <c r="SX31" s="85"/>
      <c r="SY31" s="85"/>
      <c r="SZ31" s="85"/>
      <c r="TA31" s="85"/>
      <c r="TB31" s="85"/>
      <c r="TC31" s="85"/>
      <c r="TD31" s="85"/>
      <c r="TE31" s="85"/>
      <c r="TF31" s="85"/>
      <c r="TG31" s="85"/>
      <c r="TH31" s="85"/>
      <c r="TI31" s="85"/>
      <c r="TJ31" s="85"/>
      <c r="TK31" s="85"/>
      <c r="TL31" s="85"/>
      <c r="TM31" s="85"/>
      <c r="TN31" s="85"/>
      <c r="TO31" s="85"/>
      <c r="TP31" s="85"/>
      <c r="TQ31" s="85"/>
      <c r="TR31" s="85"/>
      <c r="TS31" s="85"/>
      <c r="TT31" s="85"/>
      <c r="TU31" s="85"/>
      <c r="TV31" s="85"/>
      <c r="TW31" s="85"/>
      <c r="TX31" s="85"/>
      <c r="TY31" s="85"/>
      <c r="TZ31" s="85"/>
      <c r="UA31" s="85"/>
      <c r="UB31" s="85"/>
      <c r="UC31" s="85"/>
      <c r="UD31" s="85"/>
      <c r="UE31" s="85"/>
      <c r="UF31" s="85"/>
      <c r="UG31" s="85"/>
      <c r="UH31" s="85"/>
      <c r="UI31" s="85"/>
      <c r="UJ31" s="85"/>
      <c r="UK31" s="85"/>
      <c r="UL31" s="85"/>
      <c r="UM31" s="85"/>
      <c r="UN31" s="85"/>
      <c r="UO31" s="85"/>
      <c r="UP31" s="85"/>
      <c r="UQ31" s="85"/>
      <c r="UR31" s="85"/>
      <c r="US31" s="85"/>
      <c r="UT31" s="85"/>
      <c r="UU31" s="85"/>
      <c r="UV31" s="85"/>
      <c r="UW31" s="85"/>
      <c r="UX31" s="85"/>
      <c r="UY31" s="85"/>
      <c r="UZ31" s="85"/>
      <c r="VA31" s="85"/>
      <c r="VB31" s="85"/>
      <c r="VC31" s="85"/>
      <c r="VD31" s="85"/>
      <c r="VE31" s="85"/>
      <c r="VF31" s="85"/>
      <c r="VG31" s="85"/>
      <c r="VH31" s="85"/>
      <c r="VI31" s="85"/>
      <c r="VJ31" s="85"/>
      <c r="VK31" s="85"/>
      <c r="VL31" s="85"/>
      <c r="VM31" s="85"/>
      <c r="VN31" s="85"/>
      <c r="VO31" s="85"/>
      <c r="VP31" s="85"/>
      <c r="VQ31" s="85"/>
      <c r="VR31" s="85"/>
      <c r="VS31" s="85"/>
      <c r="VT31" s="85"/>
      <c r="VU31" s="85"/>
      <c r="VV31" s="85"/>
      <c r="VW31" s="85"/>
      <c r="VX31" s="85"/>
      <c r="VY31" s="85"/>
      <c r="VZ31" s="85"/>
      <c r="WA31" s="85"/>
      <c r="WB31" s="85"/>
      <c r="WC31" s="85"/>
      <c r="WD31" s="85"/>
      <c r="WE31" s="85"/>
      <c r="WF31" s="85"/>
      <c r="WG31" s="85"/>
      <c r="WH31" s="85"/>
      <c r="WI31" s="85"/>
      <c r="WJ31" s="85"/>
      <c r="WK31" s="85"/>
      <c r="WL31" s="85"/>
      <c r="WM31" s="85"/>
      <c r="WN31" s="85"/>
      <c r="WO31" s="85"/>
      <c r="WP31" s="85"/>
      <c r="WQ31" s="85"/>
      <c r="WR31" s="85"/>
      <c r="WS31" s="85"/>
      <c r="WT31" s="85"/>
      <c r="WU31" s="85"/>
      <c r="WV31" s="85"/>
      <c r="WW31" s="85"/>
      <c r="WX31" s="85"/>
      <c r="WY31" s="85"/>
      <c r="WZ31" s="85"/>
      <c r="XA31" s="85"/>
      <c r="XB31" s="85"/>
      <c r="XC31" s="85"/>
      <c r="XD31" s="85"/>
      <c r="XE31" s="85"/>
      <c r="XF31" s="85"/>
      <c r="XG31" s="85"/>
      <c r="XH31" s="85"/>
      <c r="XI31" s="85"/>
      <c r="XJ31" s="85"/>
      <c r="XK31" s="85"/>
      <c r="XL31" s="85"/>
      <c r="XM31" s="85"/>
      <c r="XN31" s="85"/>
      <c r="XO31" s="85"/>
      <c r="XP31" s="85"/>
      <c r="XQ31" s="85"/>
      <c r="XR31" s="85"/>
      <c r="XS31" s="85"/>
      <c r="XT31" s="85"/>
      <c r="XU31" s="85"/>
      <c r="XV31" s="85"/>
      <c r="XW31" s="85"/>
    </row>
    <row r="32" spans="1:647" s="179" customFormat="1" ht="14.25" customHeight="1">
      <c r="A32" s="88"/>
      <c r="B32" s="89"/>
      <c r="C32" s="92"/>
      <c r="D32" s="92"/>
      <c r="E32" s="94"/>
      <c r="F32" s="92"/>
      <c r="G32" s="92"/>
      <c r="H32" s="92"/>
      <c r="I32" s="275"/>
      <c r="J32" s="280"/>
      <c r="K32" s="284"/>
      <c r="L32" s="347"/>
      <c r="M32" s="212"/>
      <c r="N32" s="212"/>
      <c r="O32" s="212"/>
      <c r="P32" s="212"/>
      <c r="Q32" s="213"/>
      <c r="R32" s="91"/>
      <c r="S32" s="156"/>
      <c r="T32" s="92"/>
      <c r="U32" s="95"/>
      <c r="V32" s="92"/>
      <c r="W32" s="92"/>
      <c r="X32" s="92"/>
      <c r="Y32" s="177"/>
      <c r="Z32" s="177"/>
      <c r="AA32" s="178"/>
      <c r="AB32" s="85"/>
      <c r="AC32" s="176"/>
      <c r="AD32" s="176"/>
      <c r="AE32" s="176"/>
      <c r="AF32" s="176"/>
      <c r="AG32" s="176"/>
      <c r="AH32" s="176"/>
      <c r="AI32" s="176"/>
      <c r="AJ32" s="176"/>
      <c r="AK32" s="176"/>
      <c r="AL32" s="176"/>
      <c r="AM32" s="176"/>
      <c r="AN32" s="176"/>
      <c r="AO32" s="176"/>
      <c r="AP32" s="176"/>
      <c r="AQ32" s="176"/>
      <c r="AR32" s="176"/>
      <c r="AS32" s="176"/>
      <c r="AT32" s="176"/>
      <c r="AU32" s="176"/>
      <c r="AV32" s="176"/>
      <c r="AW32" s="176"/>
      <c r="AX32" s="176"/>
      <c r="AY32" s="176"/>
      <c r="AZ32" s="176"/>
      <c r="BA32" s="176"/>
      <c r="BB32" s="176"/>
      <c r="BC32" s="176"/>
      <c r="BD32" s="176"/>
      <c r="BE32" s="176"/>
      <c r="BF32" s="176"/>
      <c r="BG32" s="176"/>
      <c r="BH32" s="176"/>
      <c r="BI32" s="176"/>
      <c r="BJ32" s="176"/>
      <c r="BK32" s="176"/>
      <c r="BL32" s="176"/>
      <c r="BM32" s="176"/>
      <c r="BN32" s="176"/>
      <c r="BO32" s="176"/>
      <c r="BP32" s="176"/>
      <c r="BQ32" s="176"/>
      <c r="BR32" s="176"/>
      <c r="BS32" s="176"/>
      <c r="BT32" s="176"/>
      <c r="BU32" s="176"/>
      <c r="BV32" s="176"/>
      <c r="BW32" s="176"/>
      <c r="BX32" s="176"/>
      <c r="BY32" s="176"/>
      <c r="BZ32" s="176"/>
      <c r="CA32" s="176"/>
      <c r="CB32" s="176"/>
      <c r="CC32" s="176"/>
      <c r="CD32" s="176"/>
      <c r="CE32" s="176"/>
      <c r="CF32" s="176"/>
      <c r="CG32" s="176"/>
      <c r="CH32" s="176"/>
      <c r="CI32" s="176"/>
      <c r="CJ32" s="176"/>
      <c r="CK32" s="176"/>
      <c r="CL32" s="176"/>
      <c r="CM32" s="176"/>
      <c r="CN32" s="176"/>
      <c r="CO32" s="176"/>
      <c r="CP32" s="176"/>
      <c r="CQ32" s="176"/>
      <c r="CR32" s="176"/>
      <c r="CS32" s="176"/>
      <c r="CT32" s="176"/>
      <c r="CU32" s="176"/>
      <c r="CV32" s="176"/>
      <c r="CW32" s="176"/>
      <c r="CX32" s="176"/>
      <c r="CY32" s="176"/>
      <c r="CZ32" s="176"/>
      <c r="DA32" s="176"/>
      <c r="DB32" s="176"/>
      <c r="DC32" s="176"/>
      <c r="DD32" s="176"/>
      <c r="DE32" s="176"/>
      <c r="DF32" s="176"/>
      <c r="DG32" s="176"/>
      <c r="DH32" s="176"/>
      <c r="DI32" s="176"/>
      <c r="DJ32" s="176"/>
      <c r="DK32" s="176"/>
      <c r="DL32" s="176"/>
      <c r="DM32" s="176"/>
      <c r="DN32" s="176"/>
      <c r="DO32" s="176"/>
      <c r="DP32" s="176"/>
      <c r="DQ32" s="176"/>
      <c r="DR32" s="176"/>
      <c r="DS32" s="176"/>
      <c r="DT32" s="176"/>
      <c r="DU32" s="176"/>
      <c r="DV32" s="176"/>
      <c r="DW32" s="176"/>
      <c r="DX32" s="176"/>
      <c r="DY32" s="176"/>
      <c r="DZ32" s="176"/>
      <c r="EA32" s="176"/>
      <c r="EB32" s="176"/>
      <c r="EC32" s="176"/>
      <c r="ED32" s="176"/>
      <c r="EE32" s="176"/>
      <c r="EF32" s="176"/>
      <c r="EG32" s="176"/>
      <c r="EH32" s="176"/>
      <c r="EI32" s="176"/>
      <c r="EJ32" s="176"/>
      <c r="EK32" s="176"/>
      <c r="EL32" s="176"/>
      <c r="EM32" s="176"/>
      <c r="EN32" s="176"/>
      <c r="EO32" s="176"/>
      <c r="EP32" s="176"/>
      <c r="EQ32" s="176"/>
      <c r="ER32" s="176"/>
      <c r="ES32" s="176"/>
      <c r="ET32" s="176"/>
      <c r="EU32" s="176"/>
      <c r="EV32" s="176"/>
      <c r="EW32" s="176"/>
      <c r="EX32" s="176"/>
      <c r="EY32" s="176"/>
      <c r="EZ32" s="176"/>
      <c r="FA32" s="176"/>
      <c r="FB32" s="176"/>
      <c r="FC32" s="176"/>
      <c r="FD32" s="176"/>
      <c r="FE32" s="176"/>
      <c r="FF32" s="176"/>
      <c r="FG32" s="176"/>
      <c r="FH32" s="176"/>
      <c r="FI32" s="176"/>
      <c r="FJ32" s="176"/>
      <c r="FK32" s="176"/>
      <c r="FL32" s="176"/>
      <c r="FM32" s="176"/>
      <c r="FN32" s="176"/>
      <c r="FO32" s="176"/>
      <c r="FP32" s="176"/>
      <c r="FQ32" s="176"/>
      <c r="FR32" s="176"/>
      <c r="FS32" s="176"/>
      <c r="FT32" s="176"/>
      <c r="FU32" s="176"/>
      <c r="FV32" s="176"/>
      <c r="FW32" s="176"/>
      <c r="FX32" s="176"/>
      <c r="FY32" s="176"/>
      <c r="FZ32" s="176"/>
      <c r="GA32" s="176"/>
      <c r="GB32" s="176"/>
      <c r="GC32" s="176"/>
      <c r="GD32" s="176"/>
      <c r="GE32" s="176"/>
      <c r="GF32" s="176"/>
      <c r="GG32" s="176"/>
      <c r="GH32" s="176"/>
      <c r="GI32" s="176"/>
      <c r="GJ32" s="176"/>
      <c r="GK32" s="176"/>
      <c r="GL32" s="176"/>
      <c r="GM32" s="176"/>
      <c r="GN32" s="176"/>
      <c r="GO32" s="176"/>
      <c r="GP32" s="176"/>
      <c r="GQ32" s="176"/>
      <c r="GR32" s="176"/>
      <c r="GS32" s="176"/>
      <c r="GT32" s="176"/>
      <c r="GU32" s="176"/>
      <c r="GV32" s="176"/>
      <c r="GW32" s="176"/>
      <c r="GX32" s="176"/>
      <c r="GY32" s="176"/>
      <c r="GZ32" s="176"/>
      <c r="HA32" s="176"/>
      <c r="HB32" s="176"/>
      <c r="HC32" s="176"/>
      <c r="HD32" s="176"/>
      <c r="HE32" s="176"/>
      <c r="HF32" s="176"/>
      <c r="HG32" s="176"/>
      <c r="HH32" s="176"/>
      <c r="HI32" s="176"/>
      <c r="HJ32" s="176"/>
      <c r="HK32" s="176"/>
      <c r="HL32" s="176"/>
      <c r="HM32" s="176"/>
      <c r="HN32" s="176"/>
      <c r="HO32" s="176"/>
      <c r="HP32" s="176"/>
      <c r="HQ32" s="176"/>
      <c r="HR32" s="176"/>
      <c r="HS32" s="176"/>
      <c r="HT32" s="176"/>
      <c r="HU32" s="176"/>
      <c r="HV32" s="176"/>
      <c r="HW32" s="176"/>
      <c r="HX32" s="176"/>
      <c r="HY32" s="176"/>
      <c r="HZ32" s="176"/>
      <c r="IA32" s="176"/>
      <c r="IB32" s="176"/>
      <c r="IC32" s="176"/>
      <c r="ID32" s="176"/>
      <c r="IE32" s="176"/>
      <c r="IF32" s="176"/>
      <c r="IG32" s="176"/>
      <c r="IH32" s="176"/>
      <c r="II32" s="176"/>
      <c r="IJ32" s="176"/>
      <c r="IK32" s="176"/>
      <c r="IL32" s="176"/>
      <c r="IM32" s="176"/>
      <c r="IN32" s="176"/>
      <c r="IO32" s="176"/>
      <c r="IP32" s="176"/>
      <c r="IQ32" s="176"/>
      <c r="IR32" s="176"/>
      <c r="IS32" s="176"/>
      <c r="IT32" s="176"/>
      <c r="IU32" s="176"/>
      <c r="IV32" s="176"/>
      <c r="IW32" s="176"/>
      <c r="IX32" s="176"/>
      <c r="IY32" s="176"/>
      <c r="IZ32" s="176"/>
      <c r="JA32" s="176"/>
      <c r="JB32" s="176"/>
      <c r="JC32" s="176"/>
      <c r="JD32" s="176"/>
      <c r="JE32" s="176"/>
      <c r="JF32" s="176"/>
      <c r="JG32" s="176"/>
      <c r="JH32" s="176"/>
      <c r="JI32" s="176"/>
      <c r="JJ32" s="176"/>
      <c r="JK32" s="176"/>
      <c r="JL32" s="176"/>
      <c r="JM32" s="176"/>
      <c r="JN32" s="176"/>
      <c r="JO32" s="176"/>
      <c r="JP32" s="176"/>
      <c r="JQ32" s="176"/>
      <c r="JR32" s="176"/>
      <c r="JS32" s="176"/>
      <c r="JT32" s="176"/>
      <c r="JU32" s="176"/>
      <c r="JV32" s="176"/>
      <c r="JW32" s="176"/>
      <c r="JX32" s="176"/>
      <c r="JY32" s="176"/>
      <c r="JZ32" s="176"/>
      <c r="KA32" s="176"/>
      <c r="KB32" s="176"/>
      <c r="KC32" s="176"/>
      <c r="KD32" s="176"/>
      <c r="KE32" s="176"/>
      <c r="KF32" s="176"/>
      <c r="KG32" s="176"/>
      <c r="KH32" s="176"/>
      <c r="KI32" s="176"/>
      <c r="KJ32" s="176"/>
      <c r="KK32" s="176"/>
      <c r="KL32" s="176"/>
      <c r="KM32" s="176"/>
      <c r="KN32" s="176"/>
      <c r="KO32" s="176"/>
      <c r="KP32" s="176"/>
      <c r="KQ32" s="176"/>
      <c r="KR32" s="176"/>
      <c r="KS32" s="176"/>
      <c r="KT32" s="176"/>
      <c r="KU32" s="176"/>
      <c r="KV32" s="176"/>
      <c r="KW32" s="176"/>
      <c r="KX32" s="176"/>
      <c r="KY32" s="176"/>
      <c r="KZ32" s="176"/>
      <c r="LA32" s="176"/>
      <c r="LB32" s="176"/>
      <c r="LC32" s="176"/>
      <c r="LD32" s="176"/>
      <c r="LE32" s="176"/>
      <c r="LF32" s="176"/>
      <c r="LG32" s="176"/>
      <c r="LH32" s="176"/>
      <c r="LI32" s="176"/>
      <c r="LJ32" s="176"/>
      <c r="LK32" s="176"/>
      <c r="LL32" s="176"/>
      <c r="LM32" s="176"/>
      <c r="LN32" s="176"/>
      <c r="LO32" s="176"/>
      <c r="LP32" s="176"/>
      <c r="LQ32" s="176"/>
      <c r="LR32" s="176"/>
      <c r="LS32" s="176"/>
      <c r="LT32" s="176"/>
      <c r="LU32" s="176"/>
      <c r="LV32" s="176"/>
      <c r="LW32" s="176"/>
      <c r="LX32" s="176"/>
      <c r="LY32" s="176"/>
      <c r="LZ32" s="176"/>
      <c r="MA32" s="176"/>
      <c r="MB32" s="176"/>
      <c r="MC32" s="176"/>
      <c r="MD32" s="176"/>
      <c r="ME32" s="176"/>
      <c r="MF32" s="176"/>
      <c r="MG32" s="176"/>
      <c r="MH32" s="176"/>
      <c r="MI32" s="176"/>
      <c r="MJ32" s="176"/>
      <c r="MK32" s="176"/>
      <c r="ML32" s="176"/>
      <c r="MM32" s="176"/>
      <c r="MN32" s="176"/>
      <c r="MO32" s="176"/>
      <c r="MP32" s="176"/>
      <c r="MQ32" s="176"/>
      <c r="MR32" s="176"/>
      <c r="MS32" s="176"/>
      <c r="MT32" s="176"/>
      <c r="MU32" s="176"/>
      <c r="MV32" s="176"/>
      <c r="MW32" s="176"/>
      <c r="MX32" s="176"/>
      <c r="MY32" s="176"/>
      <c r="MZ32" s="176"/>
      <c r="NA32" s="176"/>
      <c r="NB32" s="176"/>
      <c r="NC32" s="176"/>
      <c r="ND32" s="176"/>
      <c r="NE32" s="176"/>
      <c r="NF32" s="176"/>
      <c r="NG32" s="176"/>
      <c r="NH32" s="176"/>
      <c r="NI32" s="176"/>
      <c r="NJ32" s="176"/>
      <c r="NK32" s="176"/>
      <c r="NL32" s="176"/>
      <c r="NM32" s="176"/>
      <c r="NN32" s="176"/>
      <c r="NO32" s="176"/>
      <c r="NP32" s="176"/>
      <c r="NQ32" s="176"/>
      <c r="NR32" s="176"/>
      <c r="NS32" s="176"/>
      <c r="NT32" s="176"/>
      <c r="NU32" s="176"/>
      <c r="NV32" s="176"/>
      <c r="NW32" s="176"/>
      <c r="NX32" s="176"/>
      <c r="NY32" s="176"/>
      <c r="NZ32" s="176"/>
      <c r="OA32" s="176"/>
      <c r="OB32" s="176"/>
      <c r="OC32" s="176"/>
      <c r="OD32" s="176"/>
      <c r="OE32" s="176"/>
      <c r="OF32" s="176"/>
      <c r="OG32" s="176"/>
      <c r="OH32" s="176"/>
      <c r="OI32" s="176"/>
      <c r="OJ32" s="176"/>
      <c r="OK32" s="176"/>
      <c r="OL32" s="176"/>
      <c r="OM32" s="176"/>
      <c r="ON32" s="176"/>
      <c r="OO32" s="176"/>
      <c r="OP32" s="176"/>
      <c r="OQ32" s="176"/>
      <c r="OR32" s="176"/>
      <c r="OS32" s="176"/>
      <c r="OT32" s="176"/>
      <c r="OU32" s="176"/>
      <c r="OV32" s="176"/>
      <c r="OW32" s="176"/>
      <c r="OX32" s="176"/>
      <c r="OY32" s="176"/>
      <c r="OZ32" s="176"/>
      <c r="PA32" s="176"/>
      <c r="PB32" s="176"/>
      <c r="PC32" s="176"/>
      <c r="PD32" s="176"/>
      <c r="PE32" s="176"/>
      <c r="PF32" s="176"/>
      <c r="PG32" s="176"/>
      <c r="PH32" s="176"/>
      <c r="PI32" s="176"/>
      <c r="PJ32" s="176"/>
      <c r="PK32" s="176"/>
      <c r="PL32" s="176"/>
      <c r="PM32" s="176"/>
      <c r="PN32" s="176"/>
      <c r="PO32" s="176"/>
      <c r="PP32" s="176"/>
      <c r="PQ32" s="176"/>
      <c r="PR32" s="176"/>
      <c r="PS32" s="176"/>
      <c r="PT32" s="176"/>
      <c r="PU32" s="176"/>
      <c r="PV32" s="176"/>
      <c r="PW32" s="176"/>
      <c r="PX32" s="176"/>
      <c r="PY32" s="176"/>
      <c r="PZ32" s="176"/>
      <c r="QA32" s="176"/>
      <c r="QB32" s="176"/>
      <c r="QC32" s="176"/>
      <c r="QD32" s="176"/>
      <c r="QE32" s="176"/>
      <c r="QF32" s="176"/>
      <c r="QG32" s="176"/>
      <c r="QH32" s="176"/>
      <c r="QI32" s="176"/>
      <c r="QJ32" s="176"/>
      <c r="QK32" s="176"/>
      <c r="QL32" s="176"/>
      <c r="QM32" s="176"/>
      <c r="QN32" s="176"/>
      <c r="QO32" s="176"/>
      <c r="QP32" s="176"/>
      <c r="QQ32" s="176"/>
      <c r="QR32" s="176"/>
      <c r="QS32" s="176"/>
      <c r="QT32" s="176"/>
      <c r="QU32" s="176"/>
      <c r="QV32" s="176"/>
      <c r="QW32" s="176"/>
      <c r="QX32" s="176"/>
      <c r="QY32" s="176"/>
      <c r="QZ32" s="176"/>
      <c r="RA32" s="176"/>
      <c r="RB32" s="176"/>
      <c r="RC32" s="176"/>
      <c r="RD32" s="176"/>
      <c r="RE32" s="176"/>
      <c r="RF32" s="176"/>
      <c r="RG32" s="176"/>
      <c r="RH32" s="176"/>
      <c r="RI32" s="176"/>
      <c r="RJ32" s="176"/>
      <c r="RK32" s="176"/>
      <c r="RL32" s="176"/>
      <c r="RM32" s="176"/>
      <c r="RN32" s="176"/>
      <c r="RO32" s="176"/>
      <c r="RP32" s="176"/>
      <c r="RQ32" s="176"/>
      <c r="RR32" s="176"/>
      <c r="RS32" s="176"/>
      <c r="RT32" s="176"/>
      <c r="RU32" s="176"/>
      <c r="RV32" s="176"/>
      <c r="RW32" s="176"/>
      <c r="RX32" s="176"/>
      <c r="RY32" s="176"/>
      <c r="RZ32" s="176"/>
      <c r="SA32" s="176"/>
      <c r="SB32" s="176"/>
      <c r="SC32" s="176"/>
      <c r="SD32" s="176"/>
      <c r="SE32" s="176"/>
      <c r="SF32" s="176"/>
      <c r="SG32" s="176"/>
      <c r="SH32" s="176"/>
      <c r="SI32" s="176"/>
      <c r="SJ32" s="176"/>
      <c r="SK32" s="176"/>
      <c r="SL32" s="176"/>
      <c r="SM32" s="176"/>
      <c r="SN32" s="176"/>
      <c r="SO32" s="176"/>
      <c r="SP32" s="176"/>
      <c r="SQ32" s="176"/>
      <c r="SR32" s="176"/>
      <c r="SS32" s="176"/>
      <c r="ST32" s="176"/>
      <c r="SU32" s="176"/>
      <c r="SV32" s="176"/>
      <c r="SW32" s="176"/>
      <c r="SX32" s="176"/>
      <c r="SY32" s="176"/>
      <c r="SZ32" s="176"/>
      <c r="TA32" s="176"/>
      <c r="TB32" s="176"/>
      <c r="TC32" s="176"/>
      <c r="TD32" s="176"/>
      <c r="TE32" s="176"/>
      <c r="TF32" s="176"/>
      <c r="TG32" s="176"/>
      <c r="TH32" s="176"/>
      <c r="TI32" s="176"/>
      <c r="TJ32" s="176"/>
      <c r="TK32" s="176"/>
      <c r="TL32" s="176"/>
      <c r="TM32" s="176"/>
      <c r="TN32" s="176"/>
      <c r="TO32" s="176"/>
      <c r="TP32" s="176"/>
      <c r="TQ32" s="176"/>
      <c r="TR32" s="176"/>
      <c r="TS32" s="176"/>
      <c r="TT32" s="176"/>
      <c r="TU32" s="176"/>
      <c r="TV32" s="176"/>
      <c r="TW32" s="176"/>
      <c r="TX32" s="176"/>
      <c r="TY32" s="176"/>
      <c r="TZ32" s="176"/>
      <c r="UA32" s="176"/>
      <c r="UB32" s="176"/>
      <c r="UC32" s="176"/>
      <c r="UD32" s="176"/>
      <c r="UE32" s="176"/>
      <c r="UF32" s="176"/>
      <c r="UG32" s="176"/>
      <c r="UH32" s="176"/>
      <c r="UI32" s="176"/>
      <c r="UJ32" s="176"/>
      <c r="UK32" s="176"/>
      <c r="UL32" s="176"/>
      <c r="UM32" s="176"/>
      <c r="UN32" s="176"/>
      <c r="UO32" s="176"/>
      <c r="UP32" s="176"/>
      <c r="UQ32" s="176"/>
      <c r="UR32" s="176"/>
      <c r="US32" s="176"/>
      <c r="UT32" s="176"/>
      <c r="UU32" s="176"/>
      <c r="UV32" s="176"/>
      <c r="UW32" s="176"/>
      <c r="UX32" s="176"/>
      <c r="UY32" s="176"/>
      <c r="UZ32" s="176"/>
      <c r="VA32" s="176"/>
      <c r="VB32" s="176"/>
      <c r="VC32" s="176"/>
      <c r="VD32" s="176"/>
      <c r="VE32" s="176"/>
      <c r="VF32" s="176"/>
      <c r="VG32" s="176"/>
      <c r="VH32" s="176"/>
      <c r="VI32" s="176"/>
      <c r="VJ32" s="176"/>
      <c r="VK32" s="176"/>
      <c r="VL32" s="176"/>
      <c r="VM32" s="176"/>
      <c r="VN32" s="176"/>
      <c r="VO32" s="176"/>
      <c r="VP32" s="176"/>
      <c r="VQ32" s="176"/>
      <c r="VR32" s="176"/>
      <c r="VS32" s="176"/>
      <c r="VT32" s="176"/>
      <c r="VU32" s="176"/>
      <c r="VV32" s="176"/>
      <c r="VW32" s="176"/>
      <c r="VX32" s="176"/>
      <c r="VY32" s="176"/>
      <c r="VZ32" s="176"/>
      <c r="WA32" s="176"/>
      <c r="WB32" s="176"/>
      <c r="WC32" s="176"/>
      <c r="WD32" s="176"/>
      <c r="WE32" s="176"/>
      <c r="WF32" s="176"/>
      <c r="WG32" s="176"/>
      <c r="WH32" s="176"/>
      <c r="WI32" s="176"/>
      <c r="WJ32" s="176"/>
      <c r="WK32" s="176"/>
      <c r="WL32" s="176"/>
      <c r="WM32" s="176"/>
      <c r="WN32" s="176"/>
      <c r="WO32" s="176"/>
      <c r="WP32" s="176"/>
      <c r="WQ32" s="176"/>
      <c r="WR32" s="176"/>
      <c r="WS32" s="176"/>
      <c r="WT32" s="176"/>
      <c r="WU32" s="176"/>
      <c r="WV32" s="176"/>
      <c r="WW32" s="176"/>
      <c r="WX32" s="176"/>
      <c r="WY32" s="176"/>
      <c r="WZ32" s="176"/>
      <c r="XA32" s="176"/>
      <c r="XB32" s="176"/>
      <c r="XC32" s="176"/>
      <c r="XD32" s="176"/>
      <c r="XE32" s="176"/>
      <c r="XF32" s="176"/>
      <c r="XG32" s="176"/>
      <c r="XH32" s="176"/>
      <c r="XI32" s="176"/>
      <c r="XJ32" s="176"/>
      <c r="XK32" s="176"/>
      <c r="XL32" s="176"/>
      <c r="XM32" s="176"/>
      <c r="XN32" s="176"/>
      <c r="XO32" s="176"/>
      <c r="XP32" s="176"/>
      <c r="XQ32" s="176"/>
      <c r="XR32" s="176"/>
      <c r="XS32" s="176"/>
      <c r="XT32" s="176"/>
      <c r="XU32" s="176"/>
      <c r="XV32" s="176"/>
      <c r="XW32" s="176"/>
    </row>
    <row r="33" spans="1:647" s="179" customFormat="1" ht="14.25" customHeight="1">
      <c r="A33" s="88"/>
      <c r="B33" s="89"/>
      <c r="C33" s="92"/>
      <c r="D33" s="92"/>
      <c r="E33" s="94"/>
      <c r="F33" s="92"/>
      <c r="G33" s="92"/>
      <c r="H33" s="92"/>
      <c r="I33" s="275"/>
      <c r="J33" s="280"/>
      <c r="K33" s="284"/>
      <c r="L33" s="347"/>
      <c r="M33" s="212"/>
      <c r="N33" s="212"/>
      <c r="O33" s="212"/>
      <c r="P33" s="212"/>
      <c r="Q33" s="213"/>
      <c r="R33" s="91"/>
      <c r="S33" s="156"/>
      <c r="T33" s="92"/>
      <c r="U33" s="95"/>
      <c r="V33" s="92"/>
      <c r="W33" s="92"/>
      <c r="X33" s="92"/>
      <c r="Y33" s="177"/>
      <c r="Z33" s="177"/>
      <c r="AA33" s="178"/>
      <c r="AB33" s="85"/>
      <c r="AC33" s="176"/>
      <c r="AD33" s="176"/>
      <c r="AE33" s="176"/>
      <c r="AF33" s="176"/>
      <c r="AG33" s="176"/>
      <c r="AH33" s="176"/>
      <c r="AI33" s="176"/>
      <c r="AJ33" s="176"/>
      <c r="AK33" s="176"/>
      <c r="AL33" s="176"/>
      <c r="AM33" s="176"/>
      <c r="AN33" s="176"/>
      <c r="AO33" s="176"/>
      <c r="AP33" s="176"/>
      <c r="AQ33" s="176"/>
      <c r="AR33" s="176"/>
      <c r="AS33" s="176"/>
      <c r="AT33" s="176"/>
      <c r="AU33" s="176"/>
      <c r="AV33" s="176"/>
      <c r="AW33" s="176"/>
      <c r="AX33" s="176"/>
      <c r="AY33" s="176"/>
      <c r="AZ33" s="176"/>
      <c r="BA33" s="176"/>
      <c r="BB33" s="176"/>
      <c r="BC33" s="176"/>
      <c r="BD33" s="176"/>
      <c r="BE33" s="176"/>
      <c r="BF33" s="176"/>
      <c r="BG33" s="176"/>
      <c r="BH33" s="176"/>
      <c r="BI33" s="176"/>
      <c r="BJ33" s="176"/>
      <c r="BK33" s="176"/>
      <c r="BL33" s="176"/>
      <c r="BM33" s="176"/>
      <c r="BN33" s="176"/>
      <c r="BO33" s="176"/>
      <c r="BP33" s="176"/>
      <c r="BQ33" s="176"/>
      <c r="BR33" s="176"/>
      <c r="BS33" s="176"/>
      <c r="BT33" s="176"/>
      <c r="BU33" s="176"/>
      <c r="BV33" s="176"/>
      <c r="BW33" s="176"/>
      <c r="BX33" s="176"/>
      <c r="BY33" s="176"/>
      <c r="BZ33" s="176"/>
      <c r="CA33" s="176"/>
      <c r="CB33" s="176"/>
      <c r="CC33" s="176"/>
      <c r="CD33" s="176"/>
      <c r="CE33" s="176"/>
      <c r="CF33" s="176"/>
      <c r="CG33" s="176"/>
      <c r="CH33" s="176"/>
      <c r="CI33" s="176"/>
      <c r="CJ33" s="176"/>
      <c r="CK33" s="176"/>
      <c r="CL33" s="176"/>
      <c r="CM33" s="176"/>
      <c r="CN33" s="176"/>
      <c r="CO33" s="176"/>
      <c r="CP33" s="176"/>
      <c r="CQ33" s="176"/>
      <c r="CR33" s="176"/>
      <c r="CS33" s="176"/>
      <c r="CT33" s="176"/>
      <c r="CU33" s="176"/>
      <c r="CV33" s="176"/>
      <c r="CW33" s="176"/>
      <c r="CX33" s="176"/>
      <c r="CY33" s="176"/>
      <c r="CZ33" s="176"/>
      <c r="DA33" s="176"/>
      <c r="DB33" s="176"/>
      <c r="DC33" s="176"/>
      <c r="DD33" s="176"/>
      <c r="DE33" s="176"/>
      <c r="DF33" s="176"/>
      <c r="DG33" s="176"/>
      <c r="DH33" s="176"/>
      <c r="DI33" s="176"/>
      <c r="DJ33" s="176"/>
      <c r="DK33" s="176"/>
      <c r="DL33" s="176"/>
      <c r="DM33" s="176"/>
      <c r="DN33" s="176"/>
      <c r="DO33" s="176"/>
      <c r="DP33" s="176"/>
      <c r="DQ33" s="176"/>
      <c r="DR33" s="176"/>
      <c r="DS33" s="176"/>
      <c r="DT33" s="176"/>
      <c r="DU33" s="176"/>
      <c r="DV33" s="176"/>
      <c r="DW33" s="176"/>
      <c r="DX33" s="176"/>
      <c r="DY33" s="176"/>
      <c r="DZ33" s="176"/>
      <c r="EA33" s="176"/>
      <c r="EB33" s="176"/>
      <c r="EC33" s="176"/>
      <c r="ED33" s="176"/>
      <c r="EE33" s="176"/>
      <c r="EF33" s="176"/>
      <c r="EG33" s="176"/>
      <c r="EH33" s="176"/>
      <c r="EI33" s="176"/>
      <c r="EJ33" s="176"/>
      <c r="EK33" s="176"/>
      <c r="EL33" s="176"/>
      <c r="EM33" s="176"/>
      <c r="EN33" s="176"/>
      <c r="EO33" s="176"/>
      <c r="EP33" s="176"/>
      <c r="EQ33" s="176"/>
      <c r="ER33" s="176"/>
      <c r="ES33" s="176"/>
      <c r="ET33" s="176"/>
      <c r="EU33" s="176"/>
      <c r="EV33" s="176"/>
      <c r="EW33" s="176"/>
      <c r="EX33" s="176"/>
      <c r="EY33" s="176"/>
      <c r="EZ33" s="176"/>
      <c r="FA33" s="176"/>
      <c r="FB33" s="176"/>
      <c r="FC33" s="176"/>
      <c r="FD33" s="176"/>
      <c r="FE33" s="176"/>
      <c r="FF33" s="176"/>
      <c r="FG33" s="176"/>
      <c r="FH33" s="176"/>
      <c r="FI33" s="176"/>
      <c r="FJ33" s="176"/>
      <c r="FK33" s="176"/>
      <c r="FL33" s="176"/>
      <c r="FM33" s="176"/>
      <c r="FN33" s="176"/>
      <c r="FO33" s="176"/>
      <c r="FP33" s="176"/>
      <c r="FQ33" s="176"/>
      <c r="FR33" s="176"/>
      <c r="FS33" s="176"/>
      <c r="FT33" s="176"/>
      <c r="FU33" s="176"/>
      <c r="FV33" s="176"/>
      <c r="FW33" s="176"/>
      <c r="FX33" s="176"/>
      <c r="FY33" s="176"/>
      <c r="FZ33" s="176"/>
      <c r="GA33" s="176"/>
      <c r="GB33" s="176"/>
      <c r="GC33" s="176"/>
      <c r="GD33" s="176"/>
      <c r="GE33" s="176"/>
      <c r="GF33" s="176"/>
      <c r="GG33" s="176"/>
      <c r="GH33" s="176"/>
      <c r="GI33" s="176"/>
      <c r="GJ33" s="176"/>
      <c r="GK33" s="176"/>
      <c r="GL33" s="176"/>
      <c r="GM33" s="176"/>
      <c r="GN33" s="176"/>
      <c r="GO33" s="176"/>
      <c r="GP33" s="176"/>
      <c r="GQ33" s="176"/>
      <c r="GR33" s="176"/>
      <c r="GS33" s="176"/>
      <c r="GT33" s="176"/>
      <c r="GU33" s="176"/>
      <c r="GV33" s="176"/>
      <c r="GW33" s="176"/>
      <c r="GX33" s="176"/>
      <c r="GY33" s="176"/>
      <c r="GZ33" s="176"/>
      <c r="HA33" s="176"/>
      <c r="HB33" s="176"/>
      <c r="HC33" s="176"/>
      <c r="HD33" s="176"/>
      <c r="HE33" s="176"/>
      <c r="HF33" s="176"/>
      <c r="HG33" s="176"/>
      <c r="HH33" s="176"/>
      <c r="HI33" s="176"/>
      <c r="HJ33" s="176"/>
      <c r="HK33" s="176"/>
      <c r="HL33" s="176"/>
      <c r="HM33" s="176"/>
      <c r="HN33" s="176"/>
      <c r="HO33" s="176"/>
      <c r="HP33" s="176"/>
      <c r="HQ33" s="176"/>
      <c r="HR33" s="176"/>
      <c r="HS33" s="176"/>
      <c r="HT33" s="176"/>
      <c r="HU33" s="176"/>
      <c r="HV33" s="176"/>
      <c r="HW33" s="176"/>
      <c r="HX33" s="176"/>
      <c r="HY33" s="176"/>
      <c r="HZ33" s="176"/>
      <c r="IA33" s="176"/>
      <c r="IB33" s="176"/>
      <c r="IC33" s="176"/>
      <c r="ID33" s="176"/>
      <c r="IE33" s="176"/>
      <c r="IF33" s="176"/>
      <c r="IG33" s="176"/>
      <c r="IH33" s="176"/>
      <c r="II33" s="176"/>
      <c r="IJ33" s="176"/>
      <c r="IK33" s="176"/>
      <c r="IL33" s="176"/>
      <c r="IM33" s="176"/>
      <c r="IN33" s="176"/>
      <c r="IO33" s="176"/>
      <c r="IP33" s="176"/>
      <c r="IQ33" s="176"/>
      <c r="IR33" s="176"/>
      <c r="IS33" s="176"/>
      <c r="IT33" s="176"/>
      <c r="IU33" s="176"/>
      <c r="IV33" s="176"/>
      <c r="IW33" s="176"/>
      <c r="IX33" s="176"/>
      <c r="IY33" s="176"/>
      <c r="IZ33" s="176"/>
      <c r="JA33" s="176"/>
      <c r="JB33" s="176"/>
      <c r="JC33" s="176"/>
      <c r="JD33" s="176"/>
      <c r="JE33" s="176"/>
      <c r="JF33" s="176"/>
      <c r="JG33" s="176"/>
      <c r="JH33" s="176"/>
      <c r="JI33" s="176"/>
      <c r="JJ33" s="176"/>
      <c r="JK33" s="176"/>
      <c r="JL33" s="176"/>
      <c r="JM33" s="176"/>
      <c r="JN33" s="176"/>
      <c r="JO33" s="176"/>
      <c r="JP33" s="176"/>
      <c r="JQ33" s="176"/>
      <c r="JR33" s="176"/>
      <c r="JS33" s="176"/>
      <c r="JT33" s="176"/>
      <c r="JU33" s="176"/>
      <c r="JV33" s="176"/>
      <c r="JW33" s="176"/>
      <c r="JX33" s="176"/>
      <c r="JY33" s="176"/>
      <c r="JZ33" s="176"/>
      <c r="KA33" s="176"/>
      <c r="KB33" s="176"/>
      <c r="KC33" s="176"/>
      <c r="KD33" s="176"/>
      <c r="KE33" s="176"/>
      <c r="KF33" s="176"/>
      <c r="KG33" s="176"/>
      <c r="KH33" s="176"/>
      <c r="KI33" s="176"/>
      <c r="KJ33" s="176"/>
      <c r="KK33" s="176"/>
      <c r="KL33" s="176"/>
      <c r="KM33" s="176"/>
      <c r="KN33" s="176"/>
      <c r="KO33" s="176"/>
      <c r="KP33" s="176"/>
      <c r="KQ33" s="176"/>
      <c r="KR33" s="176"/>
      <c r="KS33" s="176"/>
      <c r="KT33" s="176"/>
      <c r="KU33" s="176"/>
      <c r="KV33" s="176"/>
      <c r="KW33" s="176"/>
      <c r="KX33" s="176"/>
      <c r="KY33" s="176"/>
      <c r="KZ33" s="176"/>
      <c r="LA33" s="176"/>
      <c r="LB33" s="176"/>
      <c r="LC33" s="176"/>
      <c r="LD33" s="176"/>
      <c r="LE33" s="176"/>
      <c r="LF33" s="176"/>
      <c r="LG33" s="176"/>
      <c r="LH33" s="176"/>
      <c r="LI33" s="176"/>
      <c r="LJ33" s="176"/>
      <c r="LK33" s="176"/>
      <c r="LL33" s="176"/>
      <c r="LM33" s="176"/>
      <c r="LN33" s="176"/>
      <c r="LO33" s="176"/>
      <c r="LP33" s="176"/>
      <c r="LQ33" s="176"/>
      <c r="LR33" s="176"/>
      <c r="LS33" s="176"/>
      <c r="LT33" s="176"/>
      <c r="LU33" s="176"/>
      <c r="LV33" s="176"/>
      <c r="LW33" s="176"/>
      <c r="LX33" s="176"/>
      <c r="LY33" s="176"/>
      <c r="LZ33" s="176"/>
      <c r="MA33" s="176"/>
      <c r="MB33" s="176"/>
      <c r="MC33" s="176"/>
      <c r="MD33" s="176"/>
      <c r="ME33" s="176"/>
      <c r="MF33" s="176"/>
      <c r="MG33" s="176"/>
      <c r="MH33" s="176"/>
      <c r="MI33" s="176"/>
      <c r="MJ33" s="176"/>
      <c r="MK33" s="176"/>
      <c r="ML33" s="176"/>
      <c r="MM33" s="176"/>
      <c r="MN33" s="176"/>
      <c r="MO33" s="176"/>
      <c r="MP33" s="176"/>
      <c r="MQ33" s="176"/>
      <c r="MR33" s="176"/>
      <c r="MS33" s="176"/>
      <c r="MT33" s="176"/>
      <c r="MU33" s="176"/>
      <c r="MV33" s="176"/>
      <c r="MW33" s="176"/>
      <c r="MX33" s="176"/>
      <c r="MY33" s="176"/>
      <c r="MZ33" s="176"/>
      <c r="NA33" s="176"/>
      <c r="NB33" s="176"/>
      <c r="NC33" s="176"/>
      <c r="ND33" s="176"/>
      <c r="NE33" s="176"/>
      <c r="NF33" s="176"/>
      <c r="NG33" s="176"/>
      <c r="NH33" s="176"/>
      <c r="NI33" s="176"/>
      <c r="NJ33" s="176"/>
      <c r="NK33" s="176"/>
      <c r="NL33" s="176"/>
      <c r="NM33" s="176"/>
      <c r="NN33" s="176"/>
      <c r="NO33" s="176"/>
      <c r="NP33" s="176"/>
      <c r="NQ33" s="176"/>
      <c r="NR33" s="176"/>
      <c r="NS33" s="176"/>
      <c r="NT33" s="176"/>
      <c r="NU33" s="176"/>
      <c r="NV33" s="176"/>
      <c r="NW33" s="176"/>
      <c r="NX33" s="176"/>
      <c r="NY33" s="176"/>
      <c r="NZ33" s="176"/>
      <c r="OA33" s="176"/>
      <c r="OB33" s="176"/>
      <c r="OC33" s="176"/>
      <c r="OD33" s="176"/>
      <c r="OE33" s="176"/>
      <c r="OF33" s="176"/>
      <c r="OG33" s="176"/>
      <c r="OH33" s="176"/>
      <c r="OI33" s="176"/>
      <c r="OJ33" s="176"/>
      <c r="OK33" s="176"/>
      <c r="OL33" s="176"/>
      <c r="OM33" s="176"/>
      <c r="ON33" s="176"/>
      <c r="OO33" s="176"/>
      <c r="OP33" s="176"/>
      <c r="OQ33" s="176"/>
      <c r="OR33" s="176"/>
      <c r="OS33" s="176"/>
      <c r="OT33" s="176"/>
      <c r="OU33" s="176"/>
      <c r="OV33" s="176"/>
      <c r="OW33" s="176"/>
      <c r="OX33" s="176"/>
      <c r="OY33" s="176"/>
      <c r="OZ33" s="176"/>
      <c r="PA33" s="176"/>
      <c r="PB33" s="176"/>
      <c r="PC33" s="176"/>
      <c r="PD33" s="176"/>
      <c r="PE33" s="176"/>
      <c r="PF33" s="176"/>
      <c r="PG33" s="176"/>
      <c r="PH33" s="176"/>
      <c r="PI33" s="176"/>
      <c r="PJ33" s="176"/>
      <c r="PK33" s="176"/>
      <c r="PL33" s="176"/>
      <c r="PM33" s="176"/>
      <c r="PN33" s="176"/>
      <c r="PO33" s="176"/>
      <c r="PP33" s="176"/>
      <c r="PQ33" s="176"/>
      <c r="PR33" s="176"/>
      <c r="PS33" s="176"/>
      <c r="PT33" s="176"/>
      <c r="PU33" s="176"/>
      <c r="PV33" s="176"/>
      <c r="PW33" s="176"/>
      <c r="PX33" s="176"/>
      <c r="PY33" s="176"/>
      <c r="PZ33" s="176"/>
      <c r="QA33" s="176"/>
      <c r="QB33" s="176"/>
      <c r="QC33" s="176"/>
      <c r="QD33" s="176"/>
      <c r="QE33" s="176"/>
      <c r="QF33" s="176"/>
      <c r="QG33" s="176"/>
      <c r="QH33" s="176"/>
      <c r="QI33" s="176"/>
      <c r="QJ33" s="176"/>
      <c r="QK33" s="176"/>
      <c r="QL33" s="176"/>
      <c r="QM33" s="176"/>
      <c r="QN33" s="176"/>
      <c r="QO33" s="176"/>
      <c r="QP33" s="176"/>
      <c r="QQ33" s="176"/>
      <c r="QR33" s="176"/>
      <c r="QS33" s="176"/>
      <c r="QT33" s="176"/>
      <c r="QU33" s="176"/>
      <c r="QV33" s="176"/>
      <c r="QW33" s="176"/>
      <c r="QX33" s="176"/>
      <c r="QY33" s="176"/>
      <c r="QZ33" s="176"/>
      <c r="RA33" s="176"/>
      <c r="RB33" s="176"/>
      <c r="RC33" s="176"/>
      <c r="RD33" s="176"/>
      <c r="RE33" s="176"/>
      <c r="RF33" s="176"/>
      <c r="RG33" s="176"/>
      <c r="RH33" s="176"/>
      <c r="RI33" s="176"/>
      <c r="RJ33" s="176"/>
      <c r="RK33" s="176"/>
      <c r="RL33" s="176"/>
      <c r="RM33" s="176"/>
      <c r="RN33" s="176"/>
      <c r="RO33" s="176"/>
      <c r="RP33" s="176"/>
      <c r="RQ33" s="176"/>
      <c r="RR33" s="176"/>
      <c r="RS33" s="176"/>
      <c r="RT33" s="176"/>
      <c r="RU33" s="176"/>
      <c r="RV33" s="176"/>
      <c r="RW33" s="176"/>
      <c r="RX33" s="176"/>
      <c r="RY33" s="176"/>
      <c r="RZ33" s="176"/>
      <c r="SA33" s="176"/>
      <c r="SB33" s="176"/>
      <c r="SC33" s="176"/>
      <c r="SD33" s="176"/>
      <c r="SE33" s="176"/>
      <c r="SF33" s="176"/>
      <c r="SG33" s="176"/>
      <c r="SH33" s="176"/>
      <c r="SI33" s="176"/>
      <c r="SJ33" s="176"/>
      <c r="SK33" s="176"/>
      <c r="SL33" s="176"/>
      <c r="SM33" s="176"/>
      <c r="SN33" s="176"/>
      <c r="SO33" s="176"/>
      <c r="SP33" s="176"/>
      <c r="SQ33" s="176"/>
      <c r="SR33" s="176"/>
      <c r="SS33" s="176"/>
      <c r="ST33" s="176"/>
      <c r="SU33" s="176"/>
      <c r="SV33" s="176"/>
      <c r="SW33" s="176"/>
      <c r="SX33" s="176"/>
      <c r="SY33" s="176"/>
      <c r="SZ33" s="176"/>
      <c r="TA33" s="176"/>
      <c r="TB33" s="176"/>
      <c r="TC33" s="176"/>
      <c r="TD33" s="176"/>
      <c r="TE33" s="176"/>
      <c r="TF33" s="176"/>
      <c r="TG33" s="176"/>
      <c r="TH33" s="176"/>
      <c r="TI33" s="176"/>
      <c r="TJ33" s="176"/>
      <c r="TK33" s="176"/>
      <c r="TL33" s="176"/>
      <c r="TM33" s="176"/>
      <c r="TN33" s="176"/>
      <c r="TO33" s="176"/>
      <c r="TP33" s="176"/>
      <c r="TQ33" s="176"/>
      <c r="TR33" s="176"/>
      <c r="TS33" s="176"/>
      <c r="TT33" s="176"/>
      <c r="TU33" s="176"/>
      <c r="TV33" s="176"/>
      <c r="TW33" s="176"/>
      <c r="TX33" s="176"/>
      <c r="TY33" s="176"/>
      <c r="TZ33" s="176"/>
      <c r="UA33" s="176"/>
      <c r="UB33" s="176"/>
      <c r="UC33" s="176"/>
      <c r="UD33" s="176"/>
      <c r="UE33" s="176"/>
      <c r="UF33" s="176"/>
      <c r="UG33" s="176"/>
      <c r="UH33" s="176"/>
      <c r="UI33" s="176"/>
      <c r="UJ33" s="176"/>
      <c r="UK33" s="176"/>
      <c r="UL33" s="176"/>
      <c r="UM33" s="176"/>
      <c r="UN33" s="176"/>
      <c r="UO33" s="176"/>
      <c r="UP33" s="176"/>
      <c r="UQ33" s="176"/>
      <c r="UR33" s="176"/>
      <c r="US33" s="176"/>
      <c r="UT33" s="176"/>
      <c r="UU33" s="176"/>
      <c r="UV33" s="176"/>
      <c r="UW33" s="176"/>
      <c r="UX33" s="176"/>
      <c r="UY33" s="176"/>
      <c r="UZ33" s="176"/>
      <c r="VA33" s="176"/>
      <c r="VB33" s="176"/>
      <c r="VC33" s="176"/>
      <c r="VD33" s="176"/>
      <c r="VE33" s="176"/>
      <c r="VF33" s="176"/>
      <c r="VG33" s="176"/>
      <c r="VH33" s="176"/>
      <c r="VI33" s="176"/>
      <c r="VJ33" s="176"/>
      <c r="VK33" s="176"/>
      <c r="VL33" s="176"/>
      <c r="VM33" s="176"/>
      <c r="VN33" s="176"/>
      <c r="VO33" s="176"/>
      <c r="VP33" s="176"/>
      <c r="VQ33" s="176"/>
      <c r="VR33" s="176"/>
      <c r="VS33" s="176"/>
      <c r="VT33" s="176"/>
      <c r="VU33" s="176"/>
      <c r="VV33" s="176"/>
      <c r="VW33" s="176"/>
      <c r="VX33" s="176"/>
      <c r="VY33" s="176"/>
      <c r="VZ33" s="176"/>
      <c r="WA33" s="176"/>
      <c r="WB33" s="176"/>
      <c r="WC33" s="176"/>
      <c r="WD33" s="176"/>
      <c r="WE33" s="176"/>
      <c r="WF33" s="176"/>
      <c r="WG33" s="176"/>
      <c r="WH33" s="176"/>
      <c r="WI33" s="176"/>
      <c r="WJ33" s="176"/>
      <c r="WK33" s="176"/>
      <c r="WL33" s="176"/>
      <c r="WM33" s="176"/>
      <c r="WN33" s="176"/>
      <c r="WO33" s="176"/>
      <c r="WP33" s="176"/>
      <c r="WQ33" s="176"/>
      <c r="WR33" s="176"/>
      <c r="WS33" s="176"/>
      <c r="WT33" s="176"/>
      <c r="WU33" s="176"/>
      <c r="WV33" s="176"/>
      <c r="WW33" s="176"/>
      <c r="WX33" s="176"/>
      <c r="WY33" s="176"/>
      <c r="WZ33" s="176"/>
      <c r="XA33" s="176"/>
      <c r="XB33" s="176"/>
      <c r="XC33" s="176"/>
      <c r="XD33" s="176"/>
      <c r="XE33" s="176"/>
      <c r="XF33" s="176"/>
      <c r="XG33" s="176"/>
      <c r="XH33" s="176"/>
      <c r="XI33" s="176"/>
      <c r="XJ33" s="176"/>
      <c r="XK33" s="176"/>
      <c r="XL33" s="176"/>
      <c r="XM33" s="176"/>
      <c r="XN33" s="176"/>
      <c r="XO33" s="176"/>
      <c r="XP33" s="176"/>
      <c r="XQ33" s="176"/>
      <c r="XR33" s="176"/>
      <c r="XS33" s="176"/>
      <c r="XT33" s="176"/>
      <c r="XU33" s="176"/>
      <c r="XV33" s="176"/>
      <c r="XW33" s="176"/>
    </row>
    <row r="34" spans="1:647" s="179" customFormat="1" ht="14.25" customHeight="1">
      <c r="A34" s="88"/>
      <c r="B34" s="89"/>
      <c r="C34" s="92"/>
      <c r="D34" s="92"/>
      <c r="E34" s="94"/>
      <c r="F34" s="92"/>
      <c r="G34" s="92"/>
      <c r="H34" s="92"/>
      <c r="I34" s="275"/>
      <c r="J34" s="280"/>
      <c r="K34" s="284"/>
      <c r="L34" s="347"/>
      <c r="M34" s="212"/>
      <c r="N34" s="212"/>
      <c r="O34" s="212"/>
      <c r="P34" s="212"/>
      <c r="Q34" s="213"/>
      <c r="R34" s="91"/>
      <c r="S34" s="156"/>
      <c r="T34" s="92"/>
      <c r="U34" s="95"/>
      <c r="V34" s="92"/>
      <c r="W34" s="92"/>
      <c r="X34" s="92"/>
      <c r="Y34" s="177"/>
      <c r="Z34" s="177"/>
      <c r="AA34" s="178"/>
      <c r="AB34" s="85"/>
      <c r="AC34" s="176"/>
      <c r="AD34" s="176"/>
      <c r="AE34" s="176"/>
      <c r="AF34" s="176"/>
      <c r="AG34" s="176"/>
      <c r="AH34" s="176"/>
      <c r="AI34" s="176"/>
      <c r="AJ34" s="176"/>
      <c r="AK34" s="176"/>
      <c r="AL34" s="176"/>
      <c r="AM34" s="176"/>
      <c r="AN34" s="176"/>
      <c r="AO34" s="176"/>
      <c r="AP34" s="176"/>
      <c r="AQ34" s="176"/>
      <c r="AR34" s="176"/>
      <c r="AS34" s="176"/>
      <c r="AT34" s="176"/>
      <c r="AU34" s="176"/>
      <c r="AV34" s="176"/>
      <c r="AW34" s="176"/>
      <c r="AX34" s="176"/>
      <c r="AY34" s="176"/>
      <c r="AZ34" s="176"/>
      <c r="BA34" s="176"/>
      <c r="BB34" s="176"/>
      <c r="BC34" s="176"/>
      <c r="BD34" s="176"/>
      <c r="BE34" s="176"/>
      <c r="BF34" s="176"/>
      <c r="BG34" s="176"/>
      <c r="BH34" s="176"/>
      <c r="BI34" s="176"/>
      <c r="BJ34" s="176"/>
      <c r="BK34" s="176"/>
      <c r="BL34" s="176"/>
      <c r="BM34" s="176"/>
      <c r="BN34" s="176"/>
      <c r="BO34" s="176"/>
      <c r="BP34" s="176"/>
      <c r="BQ34" s="176"/>
      <c r="BR34" s="176"/>
      <c r="BS34" s="176"/>
      <c r="BT34" s="176"/>
      <c r="BU34" s="176"/>
      <c r="BV34" s="176"/>
      <c r="BW34" s="176"/>
      <c r="BX34" s="176"/>
      <c r="BY34" s="176"/>
      <c r="BZ34" s="176"/>
      <c r="CA34" s="176"/>
      <c r="CB34" s="176"/>
      <c r="CC34" s="176"/>
      <c r="CD34" s="176"/>
      <c r="CE34" s="176"/>
      <c r="CF34" s="176"/>
      <c r="CG34" s="176"/>
      <c r="CH34" s="176"/>
      <c r="CI34" s="176"/>
      <c r="CJ34" s="176"/>
      <c r="CK34" s="176"/>
      <c r="CL34" s="176"/>
      <c r="CM34" s="176"/>
      <c r="CN34" s="176"/>
      <c r="CO34" s="176"/>
      <c r="CP34" s="176"/>
      <c r="CQ34" s="176"/>
      <c r="CR34" s="176"/>
      <c r="CS34" s="176"/>
      <c r="CT34" s="176"/>
      <c r="CU34" s="176"/>
      <c r="CV34" s="176"/>
      <c r="CW34" s="176"/>
      <c r="CX34" s="176"/>
      <c r="CY34" s="176"/>
      <c r="CZ34" s="176"/>
      <c r="DA34" s="176"/>
      <c r="DB34" s="176"/>
      <c r="DC34" s="176"/>
      <c r="DD34" s="176"/>
      <c r="DE34" s="176"/>
      <c r="DF34" s="176"/>
      <c r="DG34" s="176"/>
      <c r="DH34" s="176"/>
      <c r="DI34" s="176"/>
      <c r="DJ34" s="176"/>
      <c r="DK34" s="176"/>
      <c r="DL34" s="176"/>
      <c r="DM34" s="176"/>
      <c r="DN34" s="176"/>
      <c r="DO34" s="176"/>
      <c r="DP34" s="176"/>
      <c r="DQ34" s="176"/>
      <c r="DR34" s="176"/>
      <c r="DS34" s="176"/>
      <c r="DT34" s="176"/>
      <c r="DU34" s="176"/>
      <c r="DV34" s="176"/>
      <c r="DW34" s="176"/>
      <c r="DX34" s="176"/>
      <c r="DY34" s="176"/>
      <c r="DZ34" s="176"/>
      <c r="EA34" s="176"/>
      <c r="EB34" s="176"/>
      <c r="EC34" s="176"/>
      <c r="ED34" s="176"/>
      <c r="EE34" s="176"/>
      <c r="EF34" s="176"/>
      <c r="EG34" s="176"/>
      <c r="EH34" s="176"/>
      <c r="EI34" s="176"/>
      <c r="EJ34" s="176"/>
      <c r="EK34" s="176"/>
      <c r="EL34" s="176"/>
      <c r="EM34" s="176"/>
      <c r="EN34" s="176"/>
      <c r="EO34" s="176"/>
      <c r="EP34" s="176"/>
      <c r="EQ34" s="176"/>
      <c r="ER34" s="176"/>
      <c r="ES34" s="176"/>
      <c r="ET34" s="176"/>
      <c r="EU34" s="176"/>
      <c r="EV34" s="176"/>
      <c r="EW34" s="176"/>
      <c r="EX34" s="176"/>
      <c r="EY34" s="176"/>
      <c r="EZ34" s="176"/>
      <c r="FA34" s="176"/>
      <c r="FB34" s="176"/>
      <c r="FC34" s="176"/>
      <c r="FD34" s="176"/>
      <c r="FE34" s="176"/>
      <c r="FF34" s="176"/>
      <c r="FG34" s="176"/>
      <c r="FH34" s="176"/>
      <c r="FI34" s="176"/>
      <c r="FJ34" s="176"/>
      <c r="FK34" s="176"/>
      <c r="FL34" s="176"/>
      <c r="FM34" s="176"/>
      <c r="FN34" s="176"/>
      <c r="FO34" s="176"/>
      <c r="FP34" s="176"/>
      <c r="FQ34" s="176"/>
      <c r="FR34" s="176"/>
      <c r="FS34" s="176"/>
      <c r="FT34" s="176"/>
      <c r="FU34" s="176"/>
      <c r="FV34" s="176"/>
      <c r="FW34" s="176"/>
      <c r="FX34" s="176"/>
      <c r="FY34" s="176"/>
      <c r="FZ34" s="176"/>
      <c r="GA34" s="176"/>
      <c r="GB34" s="176"/>
      <c r="GC34" s="176"/>
      <c r="GD34" s="176"/>
      <c r="GE34" s="176"/>
      <c r="GF34" s="176"/>
      <c r="GG34" s="176"/>
      <c r="GH34" s="176"/>
      <c r="GI34" s="176"/>
      <c r="GJ34" s="176"/>
      <c r="GK34" s="176"/>
      <c r="GL34" s="176"/>
      <c r="GM34" s="176"/>
      <c r="GN34" s="176"/>
      <c r="GO34" s="176"/>
      <c r="GP34" s="176"/>
      <c r="GQ34" s="176"/>
      <c r="GR34" s="176"/>
      <c r="GS34" s="176"/>
      <c r="GT34" s="176"/>
      <c r="GU34" s="176"/>
      <c r="GV34" s="176"/>
      <c r="GW34" s="176"/>
      <c r="GX34" s="176"/>
      <c r="GY34" s="176"/>
      <c r="GZ34" s="176"/>
      <c r="HA34" s="176"/>
      <c r="HB34" s="176"/>
      <c r="HC34" s="176"/>
      <c r="HD34" s="176"/>
      <c r="HE34" s="176"/>
      <c r="HF34" s="176"/>
      <c r="HG34" s="176"/>
      <c r="HH34" s="176"/>
      <c r="HI34" s="176"/>
      <c r="HJ34" s="176"/>
      <c r="HK34" s="176"/>
      <c r="HL34" s="176"/>
      <c r="HM34" s="176"/>
      <c r="HN34" s="176"/>
      <c r="HO34" s="176"/>
      <c r="HP34" s="176"/>
      <c r="HQ34" s="176"/>
      <c r="HR34" s="176"/>
      <c r="HS34" s="176"/>
      <c r="HT34" s="176"/>
      <c r="HU34" s="176"/>
      <c r="HV34" s="176"/>
      <c r="HW34" s="176"/>
      <c r="HX34" s="176"/>
      <c r="HY34" s="176"/>
      <c r="HZ34" s="176"/>
      <c r="IA34" s="176"/>
      <c r="IB34" s="176"/>
      <c r="IC34" s="176"/>
      <c r="ID34" s="176"/>
      <c r="IE34" s="176"/>
      <c r="IF34" s="176"/>
      <c r="IG34" s="176"/>
      <c r="IH34" s="176"/>
      <c r="II34" s="176"/>
      <c r="IJ34" s="176"/>
      <c r="IK34" s="176"/>
      <c r="IL34" s="176"/>
      <c r="IM34" s="176"/>
      <c r="IN34" s="176"/>
      <c r="IO34" s="176"/>
      <c r="IP34" s="176"/>
      <c r="IQ34" s="176"/>
      <c r="IR34" s="176"/>
      <c r="IS34" s="176"/>
      <c r="IT34" s="176"/>
      <c r="IU34" s="176"/>
      <c r="IV34" s="176"/>
      <c r="IW34" s="176"/>
      <c r="IX34" s="176"/>
      <c r="IY34" s="176"/>
      <c r="IZ34" s="176"/>
      <c r="JA34" s="176"/>
      <c r="JB34" s="176"/>
      <c r="JC34" s="176"/>
      <c r="JD34" s="176"/>
      <c r="JE34" s="176"/>
      <c r="JF34" s="176"/>
      <c r="JG34" s="176"/>
      <c r="JH34" s="176"/>
      <c r="JI34" s="176"/>
      <c r="JJ34" s="176"/>
      <c r="JK34" s="176"/>
      <c r="JL34" s="176"/>
      <c r="JM34" s="176"/>
      <c r="JN34" s="176"/>
      <c r="JO34" s="176"/>
      <c r="JP34" s="176"/>
      <c r="JQ34" s="176"/>
      <c r="JR34" s="176"/>
      <c r="JS34" s="176"/>
      <c r="JT34" s="176"/>
      <c r="JU34" s="176"/>
      <c r="JV34" s="176"/>
      <c r="JW34" s="176"/>
      <c r="JX34" s="176"/>
      <c r="JY34" s="176"/>
      <c r="JZ34" s="176"/>
      <c r="KA34" s="176"/>
      <c r="KB34" s="176"/>
      <c r="KC34" s="176"/>
      <c r="KD34" s="176"/>
      <c r="KE34" s="176"/>
      <c r="KF34" s="176"/>
      <c r="KG34" s="176"/>
      <c r="KH34" s="176"/>
      <c r="KI34" s="176"/>
      <c r="KJ34" s="176"/>
      <c r="KK34" s="176"/>
      <c r="KL34" s="176"/>
      <c r="KM34" s="176"/>
      <c r="KN34" s="176"/>
      <c r="KO34" s="176"/>
      <c r="KP34" s="176"/>
      <c r="KQ34" s="176"/>
      <c r="KR34" s="176"/>
      <c r="KS34" s="176"/>
      <c r="KT34" s="176"/>
      <c r="KU34" s="176"/>
      <c r="KV34" s="176"/>
      <c r="KW34" s="176"/>
      <c r="KX34" s="176"/>
      <c r="KY34" s="176"/>
      <c r="KZ34" s="176"/>
      <c r="LA34" s="176"/>
      <c r="LB34" s="176"/>
      <c r="LC34" s="176"/>
      <c r="LD34" s="176"/>
      <c r="LE34" s="176"/>
      <c r="LF34" s="176"/>
      <c r="LG34" s="176"/>
      <c r="LH34" s="176"/>
      <c r="LI34" s="176"/>
      <c r="LJ34" s="176"/>
      <c r="LK34" s="176"/>
      <c r="LL34" s="176"/>
      <c r="LM34" s="176"/>
      <c r="LN34" s="176"/>
      <c r="LO34" s="176"/>
      <c r="LP34" s="176"/>
      <c r="LQ34" s="176"/>
      <c r="LR34" s="176"/>
      <c r="LS34" s="176"/>
      <c r="LT34" s="176"/>
      <c r="LU34" s="176"/>
      <c r="LV34" s="176"/>
      <c r="LW34" s="176"/>
      <c r="LX34" s="176"/>
      <c r="LY34" s="176"/>
      <c r="LZ34" s="176"/>
      <c r="MA34" s="176"/>
      <c r="MB34" s="176"/>
      <c r="MC34" s="176"/>
      <c r="MD34" s="176"/>
      <c r="ME34" s="176"/>
      <c r="MF34" s="176"/>
      <c r="MG34" s="176"/>
      <c r="MH34" s="176"/>
      <c r="MI34" s="176"/>
      <c r="MJ34" s="176"/>
      <c r="MK34" s="176"/>
      <c r="ML34" s="176"/>
      <c r="MM34" s="176"/>
      <c r="MN34" s="176"/>
      <c r="MO34" s="176"/>
      <c r="MP34" s="176"/>
      <c r="MQ34" s="176"/>
      <c r="MR34" s="176"/>
      <c r="MS34" s="176"/>
      <c r="MT34" s="176"/>
      <c r="MU34" s="176"/>
      <c r="MV34" s="176"/>
      <c r="MW34" s="176"/>
      <c r="MX34" s="176"/>
      <c r="MY34" s="176"/>
      <c r="MZ34" s="176"/>
      <c r="NA34" s="176"/>
      <c r="NB34" s="176"/>
      <c r="NC34" s="176"/>
      <c r="ND34" s="176"/>
      <c r="NE34" s="176"/>
      <c r="NF34" s="176"/>
      <c r="NG34" s="176"/>
      <c r="NH34" s="176"/>
      <c r="NI34" s="176"/>
      <c r="NJ34" s="176"/>
      <c r="NK34" s="176"/>
      <c r="NL34" s="176"/>
      <c r="NM34" s="176"/>
      <c r="NN34" s="176"/>
      <c r="NO34" s="176"/>
      <c r="NP34" s="176"/>
      <c r="NQ34" s="176"/>
      <c r="NR34" s="176"/>
      <c r="NS34" s="176"/>
      <c r="NT34" s="176"/>
      <c r="NU34" s="176"/>
      <c r="NV34" s="176"/>
      <c r="NW34" s="176"/>
      <c r="NX34" s="176"/>
      <c r="NY34" s="176"/>
      <c r="NZ34" s="176"/>
      <c r="OA34" s="176"/>
      <c r="OB34" s="176"/>
      <c r="OC34" s="176"/>
      <c r="OD34" s="176"/>
      <c r="OE34" s="176"/>
      <c r="OF34" s="176"/>
      <c r="OG34" s="176"/>
      <c r="OH34" s="176"/>
      <c r="OI34" s="176"/>
      <c r="OJ34" s="176"/>
      <c r="OK34" s="176"/>
      <c r="OL34" s="176"/>
      <c r="OM34" s="176"/>
      <c r="ON34" s="176"/>
      <c r="OO34" s="176"/>
      <c r="OP34" s="176"/>
      <c r="OQ34" s="176"/>
      <c r="OR34" s="176"/>
      <c r="OS34" s="176"/>
      <c r="OT34" s="176"/>
      <c r="OU34" s="176"/>
      <c r="OV34" s="176"/>
      <c r="OW34" s="176"/>
      <c r="OX34" s="176"/>
      <c r="OY34" s="176"/>
      <c r="OZ34" s="176"/>
      <c r="PA34" s="176"/>
      <c r="PB34" s="176"/>
      <c r="PC34" s="176"/>
      <c r="PD34" s="176"/>
      <c r="PE34" s="176"/>
      <c r="PF34" s="176"/>
      <c r="PG34" s="176"/>
      <c r="PH34" s="176"/>
      <c r="PI34" s="176"/>
      <c r="PJ34" s="176"/>
      <c r="PK34" s="176"/>
      <c r="PL34" s="176"/>
      <c r="PM34" s="176"/>
      <c r="PN34" s="176"/>
      <c r="PO34" s="176"/>
      <c r="PP34" s="176"/>
      <c r="PQ34" s="176"/>
      <c r="PR34" s="176"/>
      <c r="PS34" s="176"/>
      <c r="PT34" s="176"/>
      <c r="PU34" s="176"/>
      <c r="PV34" s="176"/>
      <c r="PW34" s="176"/>
      <c r="PX34" s="176"/>
      <c r="PY34" s="176"/>
      <c r="PZ34" s="176"/>
      <c r="QA34" s="176"/>
      <c r="QB34" s="176"/>
      <c r="QC34" s="176"/>
      <c r="QD34" s="176"/>
      <c r="QE34" s="176"/>
      <c r="QF34" s="176"/>
      <c r="QG34" s="176"/>
      <c r="QH34" s="176"/>
      <c r="QI34" s="176"/>
      <c r="QJ34" s="176"/>
      <c r="QK34" s="176"/>
      <c r="QL34" s="176"/>
      <c r="QM34" s="176"/>
      <c r="QN34" s="176"/>
      <c r="QO34" s="176"/>
      <c r="QP34" s="176"/>
      <c r="QQ34" s="176"/>
      <c r="QR34" s="176"/>
      <c r="QS34" s="176"/>
      <c r="QT34" s="176"/>
      <c r="QU34" s="176"/>
      <c r="QV34" s="176"/>
      <c r="QW34" s="176"/>
      <c r="QX34" s="176"/>
      <c r="QY34" s="176"/>
      <c r="QZ34" s="176"/>
      <c r="RA34" s="176"/>
      <c r="RB34" s="176"/>
      <c r="RC34" s="176"/>
      <c r="RD34" s="176"/>
      <c r="RE34" s="176"/>
      <c r="RF34" s="176"/>
      <c r="RG34" s="176"/>
      <c r="RH34" s="176"/>
      <c r="RI34" s="176"/>
      <c r="RJ34" s="176"/>
      <c r="RK34" s="176"/>
      <c r="RL34" s="176"/>
      <c r="RM34" s="176"/>
      <c r="RN34" s="176"/>
      <c r="RO34" s="176"/>
      <c r="RP34" s="176"/>
      <c r="RQ34" s="176"/>
      <c r="RR34" s="176"/>
      <c r="RS34" s="176"/>
      <c r="RT34" s="176"/>
      <c r="RU34" s="176"/>
      <c r="RV34" s="176"/>
      <c r="RW34" s="176"/>
      <c r="RX34" s="176"/>
      <c r="RY34" s="176"/>
      <c r="RZ34" s="176"/>
      <c r="SA34" s="176"/>
      <c r="SB34" s="176"/>
      <c r="SC34" s="176"/>
      <c r="SD34" s="176"/>
      <c r="SE34" s="176"/>
      <c r="SF34" s="176"/>
      <c r="SG34" s="176"/>
      <c r="SH34" s="176"/>
      <c r="SI34" s="176"/>
      <c r="SJ34" s="176"/>
      <c r="SK34" s="176"/>
      <c r="SL34" s="176"/>
      <c r="SM34" s="176"/>
      <c r="SN34" s="176"/>
      <c r="SO34" s="176"/>
      <c r="SP34" s="176"/>
      <c r="SQ34" s="176"/>
      <c r="SR34" s="176"/>
      <c r="SS34" s="176"/>
      <c r="ST34" s="176"/>
      <c r="SU34" s="176"/>
      <c r="SV34" s="176"/>
      <c r="SW34" s="176"/>
      <c r="SX34" s="176"/>
      <c r="SY34" s="176"/>
      <c r="SZ34" s="176"/>
      <c r="TA34" s="176"/>
      <c r="TB34" s="176"/>
      <c r="TC34" s="176"/>
      <c r="TD34" s="176"/>
      <c r="TE34" s="176"/>
      <c r="TF34" s="176"/>
      <c r="TG34" s="176"/>
      <c r="TH34" s="176"/>
      <c r="TI34" s="176"/>
      <c r="TJ34" s="176"/>
      <c r="TK34" s="176"/>
      <c r="TL34" s="176"/>
      <c r="TM34" s="176"/>
      <c r="TN34" s="176"/>
      <c r="TO34" s="176"/>
      <c r="TP34" s="176"/>
      <c r="TQ34" s="176"/>
      <c r="TR34" s="176"/>
      <c r="TS34" s="176"/>
      <c r="TT34" s="176"/>
      <c r="TU34" s="176"/>
      <c r="TV34" s="176"/>
      <c r="TW34" s="176"/>
      <c r="TX34" s="176"/>
      <c r="TY34" s="176"/>
      <c r="TZ34" s="176"/>
      <c r="UA34" s="176"/>
      <c r="UB34" s="176"/>
      <c r="UC34" s="176"/>
      <c r="UD34" s="176"/>
      <c r="UE34" s="176"/>
      <c r="UF34" s="176"/>
      <c r="UG34" s="176"/>
      <c r="UH34" s="176"/>
      <c r="UI34" s="176"/>
      <c r="UJ34" s="176"/>
      <c r="UK34" s="176"/>
      <c r="UL34" s="176"/>
      <c r="UM34" s="176"/>
      <c r="UN34" s="176"/>
      <c r="UO34" s="176"/>
      <c r="UP34" s="176"/>
      <c r="UQ34" s="176"/>
      <c r="UR34" s="176"/>
      <c r="US34" s="176"/>
      <c r="UT34" s="176"/>
      <c r="UU34" s="176"/>
      <c r="UV34" s="176"/>
      <c r="UW34" s="176"/>
      <c r="UX34" s="176"/>
      <c r="UY34" s="176"/>
      <c r="UZ34" s="176"/>
      <c r="VA34" s="176"/>
      <c r="VB34" s="176"/>
      <c r="VC34" s="176"/>
      <c r="VD34" s="176"/>
      <c r="VE34" s="176"/>
      <c r="VF34" s="176"/>
      <c r="VG34" s="176"/>
      <c r="VH34" s="176"/>
      <c r="VI34" s="176"/>
      <c r="VJ34" s="176"/>
      <c r="VK34" s="176"/>
      <c r="VL34" s="176"/>
      <c r="VM34" s="176"/>
      <c r="VN34" s="176"/>
      <c r="VO34" s="176"/>
      <c r="VP34" s="176"/>
      <c r="VQ34" s="176"/>
      <c r="VR34" s="176"/>
      <c r="VS34" s="176"/>
      <c r="VT34" s="176"/>
      <c r="VU34" s="176"/>
      <c r="VV34" s="176"/>
      <c r="VW34" s="176"/>
      <c r="VX34" s="176"/>
      <c r="VY34" s="176"/>
      <c r="VZ34" s="176"/>
      <c r="WA34" s="176"/>
      <c r="WB34" s="176"/>
      <c r="WC34" s="176"/>
      <c r="WD34" s="176"/>
      <c r="WE34" s="176"/>
      <c r="WF34" s="176"/>
      <c r="WG34" s="176"/>
      <c r="WH34" s="176"/>
      <c r="WI34" s="176"/>
      <c r="WJ34" s="176"/>
      <c r="WK34" s="176"/>
      <c r="WL34" s="176"/>
      <c r="WM34" s="176"/>
      <c r="WN34" s="176"/>
      <c r="WO34" s="176"/>
      <c r="WP34" s="176"/>
      <c r="WQ34" s="176"/>
      <c r="WR34" s="176"/>
      <c r="WS34" s="176"/>
      <c r="WT34" s="176"/>
      <c r="WU34" s="176"/>
      <c r="WV34" s="176"/>
      <c r="WW34" s="176"/>
      <c r="WX34" s="176"/>
      <c r="WY34" s="176"/>
      <c r="WZ34" s="176"/>
      <c r="XA34" s="176"/>
      <c r="XB34" s="176"/>
      <c r="XC34" s="176"/>
      <c r="XD34" s="176"/>
      <c r="XE34" s="176"/>
      <c r="XF34" s="176"/>
      <c r="XG34" s="176"/>
      <c r="XH34" s="176"/>
      <c r="XI34" s="176"/>
      <c r="XJ34" s="176"/>
      <c r="XK34" s="176"/>
      <c r="XL34" s="176"/>
      <c r="XM34" s="176"/>
      <c r="XN34" s="176"/>
      <c r="XO34" s="176"/>
      <c r="XP34" s="176"/>
      <c r="XQ34" s="176"/>
      <c r="XR34" s="176"/>
      <c r="XS34" s="176"/>
      <c r="XT34" s="176"/>
      <c r="XU34" s="176"/>
      <c r="XV34" s="176"/>
      <c r="XW34" s="176"/>
    </row>
    <row r="35" spans="1:647" s="179" customFormat="1" ht="14.25" customHeight="1">
      <c r="A35" s="88"/>
      <c r="B35" s="89"/>
      <c r="C35" s="92"/>
      <c r="D35" s="92"/>
      <c r="E35" s="94"/>
      <c r="F35" s="92"/>
      <c r="G35" s="92"/>
      <c r="H35" s="92"/>
      <c r="I35" s="276"/>
      <c r="J35" s="280"/>
      <c r="K35" s="285"/>
      <c r="L35" s="346"/>
      <c r="M35" s="212"/>
      <c r="N35" s="212"/>
      <c r="O35" s="212"/>
      <c r="P35" s="212"/>
      <c r="Q35" s="213"/>
      <c r="R35" s="91"/>
      <c r="S35" s="156"/>
      <c r="T35" s="92"/>
      <c r="U35" s="95"/>
      <c r="V35" s="92"/>
      <c r="W35" s="92"/>
      <c r="X35" s="92"/>
      <c r="Y35" s="177"/>
      <c r="Z35" s="177"/>
      <c r="AA35" s="178"/>
      <c r="AB35" s="85"/>
      <c r="AC35" s="176"/>
      <c r="AD35" s="176"/>
      <c r="AE35" s="176"/>
      <c r="AF35" s="176"/>
      <c r="AG35" s="176"/>
      <c r="AH35" s="176"/>
      <c r="AI35" s="176"/>
      <c r="AJ35" s="176"/>
      <c r="AK35" s="176"/>
      <c r="AL35" s="176"/>
      <c r="AM35" s="176"/>
      <c r="AN35" s="176"/>
      <c r="AO35" s="176"/>
      <c r="AP35" s="176"/>
      <c r="AQ35" s="176"/>
      <c r="AR35" s="176"/>
      <c r="AS35" s="176"/>
      <c r="AT35" s="176"/>
      <c r="AU35" s="176"/>
      <c r="AV35" s="176"/>
      <c r="AW35" s="176"/>
      <c r="AX35" s="176"/>
      <c r="AY35" s="176"/>
      <c r="AZ35" s="176"/>
      <c r="BA35" s="176"/>
      <c r="BB35" s="176"/>
      <c r="BC35" s="176"/>
      <c r="BD35" s="176"/>
      <c r="BE35" s="176"/>
      <c r="BF35" s="176"/>
      <c r="BG35" s="176"/>
      <c r="BH35" s="176"/>
      <c r="BI35" s="176"/>
      <c r="BJ35" s="176"/>
      <c r="BK35" s="176"/>
      <c r="BL35" s="176"/>
      <c r="BM35" s="176"/>
      <c r="BN35" s="176"/>
      <c r="BO35" s="176"/>
      <c r="BP35" s="176"/>
      <c r="BQ35" s="176"/>
      <c r="BR35" s="176"/>
      <c r="BS35" s="176"/>
      <c r="BT35" s="176"/>
      <c r="BU35" s="176"/>
      <c r="BV35" s="176"/>
      <c r="BW35" s="176"/>
      <c r="BX35" s="176"/>
      <c r="BY35" s="176"/>
      <c r="BZ35" s="176"/>
      <c r="CA35" s="176"/>
      <c r="CB35" s="176"/>
      <c r="CC35" s="176"/>
      <c r="CD35" s="176"/>
      <c r="CE35" s="176"/>
      <c r="CF35" s="176"/>
      <c r="CG35" s="176"/>
      <c r="CH35" s="176"/>
      <c r="CI35" s="176"/>
      <c r="CJ35" s="176"/>
      <c r="CK35" s="176"/>
      <c r="CL35" s="176"/>
      <c r="CM35" s="176"/>
      <c r="CN35" s="176"/>
      <c r="CO35" s="176"/>
      <c r="CP35" s="176"/>
      <c r="CQ35" s="176"/>
      <c r="CR35" s="176"/>
      <c r="CS35" s="176"/>
      <c r="CT35" s="176"/>
      <c r="CU35" s="176"/>
      <c r="CV35" s="176"/>
      <c r="CW35" s="176"/>
      <c r="CX35" s="176"/>
      <c r="CY35" s="176"/>
      <c r="CZ35" s="176"/>
      <c r="DA35" s="176"/>
      <c r="DB35" s="176"/>
      <c r="DC35" s="176"/>
      <c r="DD35" s="176"/>
      <c r="DE35" s="176"/>
      <c r="DF35" s="176"/>
      <c r="DG35" s="176"/>
      <c r="DH35" s="176"/>
      <c r="DI35" s="176"/>
      <c r="DJ35" s="176"/>
      <c r="DK35" s="176"/>
      <c r="DL35" s="176"/>
      <c r="DM35" s="176"/>
      <c r="DN35" s="176"/>
      <c r="DO35" s="176"/>
      <c r="DP35" s="176"/>
      <c r="DQ35" s="176"/>
      <c r="DR35" s="176"/>
      <c r="DS35" s="176"/>
      <c r="DT35" s="176"/>
      <c r="DU35" s="176"/>
      <c r="DV35" s="176"/>
      <c r="DW35" s="176"/>
      <c r="DX35" s="176"/>
      <c r="DY35" s="176"/>
      <c r="DZ35" s="176"/>
      <c r="EA35" s="176"/>
      <c r="EB35" s="176"/>
      <c r="EC35" s="176"/>
      <c r="ED35" s="176"/>
      <c r="EE35" s="176"/>
      <c r="EF35" s="176"/>
      <c r="EG35" s="176"/>
      <c r="EH35" s="176"/>
      <c r="EI35" s="176"/>
      <c r="EJ35" s="176"/>
      <c r="EK35" s="176"/>
      <c r="EL35" s="176"/>
      <c r="EM35" s="176"/>
      <c r="EN35" s="176"/>
      <c r="EO35" s="176"/>
      <c r="EP35" s="176"/>
      <c r="EQ35" s="176"/>
      <c r="ER35" s="176"/>
      <c r="ES35" s="176"/>
      <c r="ET35" s="176"/>
      <c r="EU35" s="176"/>
      <c r="EV35" s="176"/>
      <c r="EW35" s="176"/>
      <c r="EX35" s="176"/>
      <c r="EY35" s="176"/>
      <c r="EZ35" s="176"/>
      <c r="FA35" s="176"/>
      <c r="FB35" s="176"/>
      <c r="FC35" s="176"/>
      <c r="FD35" s="176"/>
      <c r="FE35" s="176"/>
      <c r="FF35" s="176"/>
      <c r="FG35" s="176"/>
      <c r="FH35" s="176"/>
      <c r="FI35" s="176"/>
      <c r="FJ35" s="176"/>
      <c r="FK35" s="176"/>
      <c r="FL35" s="176"/>
      <c r="FM35" s="176"/>
      <c r="FN35" s="176"/>
      <c r="FO35" s="176"/>
      <c r="FP35" s="176"/>
      <c r="FQ35" s="176"/>
      <c r="FR35" s="176"/>
      <c r="FS35" s="176"/>
      <c r="FT35" s="176"/>
      <c r="FU35" s="176"/>
      <c r="FV35" s="176"/>
      <c r="FW35" s="176"/>
      <c r="FX35" s="176"/>
      <c r="FY35" s="176"/>
      <c r="FZ35" s="176"/>
      <c r="GA35" s="176"/>
      <c r="GB35" s="176"/>
      <c r="GC35" s="176"/>
      <c r="GD35" s="176"/>
      <c r="GE35" s="176"/>
      <c r="GF35" s="176"/>
      <c r="GG35" s="176"/>
      <c r="GH35" s="176"/>
      <c r="GI35" s="176"/>
      <c r="GJ35" s="176"/>
      <c r="GK35" s="176"/>
      <c r="GL35" s="176"/>
      <c r="GM35" s="176"/>
      <c r="GN35" s="176"/>
      <c r="GO35" s="176"/>
      <c r="GP35" s="176"/>
      <c r="GQ35" s="176"/>
      <c r="GR35" s="176"/>
      <c r="GS35" s="176"/>
      <c r="GT35" s="176"/>
      <c r="GU35" s="176"/>
      <c r="GV35" s="176"/>
      <c r="GW35" s="176"/>
      <c r="GX35" s="176"/>
      <c r="GY35" s="176"/>
      <c r="GZ35" s="176"/>
      <c r="HA35" s="176"/>
      <c r="HB35" s="176"/>
      <c r="HC35" s="176"/>
      <c r="HD35" s="176"/>
      <c r="HE35" s="176"/>
      <c r="HF35" s="176"/>
      <c r="HG35" s="176"/>
      <c r="HH35" s="176"/>
      <c r="HI35" s="176"/>
      <c r="HJ35" s="176"/>
      <c r="HK35" s="176"/>
      <c r="HL35" s="176"/>
      <c r="HM35" s="176"/>
      <c r="HN35" s="176"/>
      <c r="HO35" s="176"/>
      <c r="HP35" s="176"/>
      <c r="HQ35" s="176"/>
      <c r="HR35" s="176"/>
      <c r="HS35" s="176"/>
      <c r="HT35" s="176"/>
      <c r="HU35" s="176"/>
      <c r="HV35" s="176"/>
      <c r="HW35" s="176"/>
      <c r="HX35" s="176"/>
      <c r="HY35" s="176"/>
      <c r="HZ35" s="176"/>
      <c r="IA35" s="176"/>
      <c r="IB35" s="176"/>
      <c r="IC35" s="176"/>
      <c r="ID35" s="176"/>
      <c r="IE35" s="176"/>
      <c r="IF35" s="176"/>
      <c r="IG35" s="176"/>
      <c r="IH35" s="176"/>
      <c r="II35" s="176"/>
      <c r="IJ35" s="176"/>
      <c r="IK35" s="176"/>
      <c r="IL35" s="176"/>
      <c r="IM35" s="176"/>
      <c r="IN35" s="176"/>
      <c r="IO35" s="176"/>
      <c r="IP35" s="176"/>
      <c r="IQ35" s="176"/>
      <c r="IR35" s="176"/>
      <c r="IS35" s="176"/>
      <c r="IT35" s="176"/>
      <c r="IU35" s="176"/>
      <c r="IV35" s="176"/>
      <c r="IW35" s="176"/>
      <c r="IX35" s="176"/>
      <c r="IY35" s="176"/>
      <c r="IZ35" s="176"/>
      <c r="JA35" s="176"/>
      <c r="JB35" s="176"/>
      <c r="JC35" s="176"/>
      <c r="JD35" s="176"/>
      <c r="JE35" s="176"/>
      <c r="JF35" s="176"/>
      <c r="JG35" s="176"/>
      <c r="JH35" s="176"/>
      <c r="JI35" s="176"/>
      <c r="JJ35" s="176"/>
      <c r="JK35" s="176"/>
      <c r="JL35" s="176"/>
      <c r="JM35" s="176"/>
      <c r="JN35" s="176"/>
      <c r="JO35" s="176"/>
      <c r="JP35" s="176"/>
      <c r="JQ35" s="176"/>
      <c r="JR35" s="176"/>
      <c r="JS35" s="176"/>
      <c r="JT35" s="176"/>
      <c r="JU35" s="176"/>
      <c r="JV35" s="176"/>
      <c r="JW35" s="176"/>
      <c r="JX35" s="176"/>
      <c r="JY35" s="176"/>
      <c r="JZ35" s="176"/>
      <c r="KA35" s="176"/>
      <c r="KB35" s="176"/>
      <c r="KC35" s="176"/>
      <c r="KD35" s="176"/>
      <c r="KE35" s="176"/>
      <c r="KF35" s="176"/>
      <c r="KG35" s="176"/>
      <c r="KH35" s="176"/>
      <c r="KI35" s="176"/>
      <c r="KJ35" s="176"/>
      <c r="KK35" s="176"/>
      <c r="KL35" s="176"/>
      <c r="KM35" s="176"/>
      <c r="KN35" s="176"/>
      <c r="KO35" s="176"/>
      <c r="KP35" s="176"/>
      <c r="KQ35" s="176"/>
      <c r="KR35" s="176"/>
      <c r="KS35" s="176"/>
      <c r="KT35" s="176"/>
      <c r="KU35" s="176"/>
      <c r="KV35" s="176"/>
      <c r="KW35" s="176"/>
      <c r="KX35" s="176"/>
      <c r="KY35" s="176"/>
      <c r="KZ35" s="176"/>
      <c r="LA35" s="176"/>
      <c r="LB35" s="176"/>
      <c r="LC35" s="176"/>
      <c r="LD35" s="176"/>
      <c r="LE35" s="176"/>
      <c r="LF35" s="176"/>
      <c r="LG35" s="176"/>
      <c r="LH35" s="176"/>
      <c r="LI35" s="176"/>
      <c r="LJ35" s="176"/>
      <c r="LK35" s="176"/>
      <c r="LL35" s="176"/>
      <c r="LM35" s="176"/>
      <c r="LN35" s="176"/>
      <c r="LO35" s="176"/>
      <c r="LP35" s="176"/>
      <c r="LQ35" s="176"/>
      <c r="LR35" s="176"/>
      <c r="LS35" s="176"/>
      <c r="LT35" s="176"/>
      <c r="LU35" s="176"/>
      <c r="LV35" s="176"/>
      <c r="LW35" s="176"/>
      <c r="LX35" s="176"/>
      <c r="LY35" s="176"/>
      <c r="LZ35" s="176"/>
      <c r="MA35" s="176"/>
      <c r="MB35" s="176"/>
      <c r="MC35" s="176"/>
      <c r="MD35" s="176"/>
      <c r="ME35" s="176"/>
      <c r="MF35" s="176"/>
      <c r="MG35" s="176"/>
      <c r="MH35" s="176"/>
      <c r="MI35" s="176"/>
      <c r="MJ35" s="176"/>
      <c r="MK35" s="176"/>
      <c r="ML35" s="176"/>
      <c r="MM35" s="176"/>
      <c r="MN35" s="176"/>
      <c r="MO35" s="176"/>
      <c r="MP35" s="176"/>
      <c r="MQ35" s="176"/>
      <c r="MR35" s="176"/>
      <c r="MS35" s="176"/>
      <c r="MT35" s="176"/>
      <c r="MU35" s="176"/>
      <c r="MV35" s="176"/>
      <c r="MW35" s="176"/>
      <c r="MX35" s="176"/>
      <c r="MY35" s="176"/>
      <c r="MZ35" s="176"/>
      <c r="NA35" s="176"/>
      <c r="NB35" s="176"/>
      <c r="NC35" s="176"/>
      <c r="ND35" s="176"/>
      <c r="NE35" s="176"/>
      <c r="NF35" s="176"/>
      <c r="NG35" s="176"/>
      <c r="NH35" s="176"/>
      <c r="NI35" s="176"/>
      <c r="NJ35" s="176"/>
      <c r="NK35" s="176"/>
      <c r="NL35" s="176"/>
      <c r="NM35" s="176"/>
      <c r="NN35" s="176"/>
      <c r="NO35" s="176"/>
      <c r="NP35" s="176"/>
      <c r="NQ35" s="176"/>
      <c r="NR35" s="176"/>
      <c r="NS35" s="176"/>
      <c r="NT35" s="176"/>
      <c r="NU35" s="176"/>
      <c r="NV35" s="176"/>
      <c r="NW35" s="176"/>
      <c r="NX35" s="176"/>
      <c r="NY35" s="176"/>
      <c r="NZ35" s="176"/>
      <c r="OA35" s="176"/>
      <c r="OB35" s="176"/>
      <c r="OC35" s="176"/>
      <c r="OD35" s="176"/>
      <c r="OE35" s="176"/>
      <c r="OF35" s="176"/>
      <c r="OG35" s="176"/>
      <c r="OH35" s="176"/>
      <c r="OI35" s="176"/>
      <c r="OJ35" s="176"/>
      <c r="OK35" s="176"/>
      <c r="OL35" s="176"/>
      <c r="OM35" s="176"/>
      <c r="ON35" s="176"/>
      <c r="OO35" s="176"/>
      <c r="OP35" s="176"/>
      <c r="OQ35" s="176"/>
      <c r="OR35" s="176"/>
      <c r="OS35" s="176"/>
      <c r="OT35" s="176"/>
      <c r="OU35" s="176"/>
      <c r="OV35" s="176"/>
      <c r="OW35" s="176"/>
      <c r="OX35" s="176"/>
      <c r="OY35" s="176"/>
      <c r="OZ35" s="176"/>
      <c r="PA35" s="176"/>
      <c r="PB35" s="176"/>
      <c r="PC35" s="176"/>
      <c r="PD35" s="176"/>
      <c r="PE35" s="176"/>
      <c r="PF35" s="176"/>
      <c r="PG35" s="176"/>
      <c r="PH35" s="176"/>
      <c r="PI35" s="176"/>
      <c r="PJ35" s="176"/>
      <c r="PK35" s="176"/>
      <c r="PL35" s="176"/>
      <c r="PM35" s="176"/>
      <c r="PN35" s="176"/>
      <c r="PO35" s="176"/>
      <c r="PP35" s="176"/>
      <c r="PQ35" s="176"/>
      <c r="PR35" s="176"/>
      <c r="PS35" s="176"/>
      <c r="PT35" s="176"/>
      <c r="PU35" s="176"/>
      <c r="PV35" s="176"/>
      <c r="PW35" s="176"/>
      <c r="PX35" s="176"/>
      <c r="PY35" s="176"/>
      <c r="PZ35" s="176"/>
      <c r="QA35" s="176"/>
      <c r="QB35" s="176"/>
      <c r="QC35" s="176"/>
      <c r="QD35" s="176"/>
      <c r="QE35" s="176"/>
      <c r="QF35" s="176"/>
      <c r="QG35" s="176"/>
      <c r="QH35" s="176"/>
      <c r="QI35" s="176"/>
      <c r="QJ35" s="176"/>
      <c r="QK35" s="176"/>
      <c r="QL35" s="176"/>
      <c r="QM35" s="176"/>
      <c r="QN35" s="176"/>
      <c r="QO35" s="176"/>
      <c r="QP35" s="176"/>
      <c r="QQ35" s="176"/>
      <c r="QR35" s="176"/>
      <c r="QS35" s="176"/>
      <c r="QT35" s="176"/>
      <c r="QU35" s="176"/>
      <c r="QV35" s="176"/>
      <c r="QW35" s="176"/>
      <c r="QX35" s="176"/>
      <c r="QY35" s="176"/>
      <c r="QZ35" s="176"/>
      <c r="RA35" s="176"/>
      <c r="RB35" s="176"/>
      <c r="RC35" s="176"/>
      <c r="RD35" s="176"/>
      <c r="RE35" s="176"/>
      <c r="RF35" s="176"/>
      <c r="RG35" s="176"/>
      <c r="RH35" s="176"/>
      <c r="RI35" s="176"/>
      <c r="RJ35" s="176"/>
      <c r="RK35" s="176"/>
      <c r="RL35" s="176"/>
      <c r="RM35" s="176"/>
      <c r="RN35" s="176"/>
      <c r="RO35" s="176"/>
      <c r="RP35" s="176"/>
      <c r="RQ35" s="176"/>
      <c r="RR35" s="176"/>
      <c r="RS35" s="176"/>
      <c r="RT35" s="176"/>
      <c r="RU35" s="176"/>
      <c r="RV35" s="176"/>
      <c r="RW35" s="176"/>
      <c r="RX35" s="176"/>
      <c r="RY35" s="176"/>
      <c r="RZ35" s="176"/>
      <c r="SA35" s="176"/>
      <c r="SB35" s="176"/>
      <c r="SC35" s="176"/>
      <c r="SD35" s="176"/>
      <c r="SE35" s="176"/>
      <c r="SF35" s="176"/>
      <c r="SG35" s="176"/>
      <c r="SH35" s="176"/>
      <c r="SI35" s="176"/>
      <c r="SJ35" s="176"/>
      <c r="SK35" s="176"/>
      <c r="SL35" s="176"/>
      <c r="SM35" s="176"/>
      <c r="SN35" s="176"/>
      <c r="SO35" s="176"/>
      <c r="SP35" s="176"/>
      <c r="SQ35" s="176"/>
      <c r="SR35" s="176"/>
      <c r="SS35" s="176"/>
      <c r="ST35" s="176"/>
      <c r="SU35" s="176"/>
      <c r="SV35" s="176"/>
      <c r="SW35" s="176"/>
      <c r="SX35" s="176"/>
      <c r="SY35" s="176"/>
      <c r="SZ35" s="176"/>
      <c r="TA35" s="176"/>
      <c r="TB35" s="176"/>
      <c r="TC35" s="176"/>
      <c r="TD35" s="176"/>
      <c r="TE35" s="176"/>
      <c r="TF35" s="176"/>
      <c r="TG35" s="176"/>
      <c r="TH35" s="176"/>
      <c r="TI35" s="176"/>
      <c r="TJ35" s="176"/>
      <c r="TK35" s="176"/>
      <c r="TL35" s="176"/>
      <c r="TM35" s="176"/>
      <c r="TN35" s="176"/>
      <c r="TO35" s="176"/>
      <c r="TP35" s="176"/>
      <c r="TQ35" s="176"/>
      <c r="TR35" s="176"/>
      <c r="TS35" s="176"/>
      <c r="TT35" s="176"/>
      <c r="TU35" s="176"/>
      <c r="TV35" s="176"/>
      <c r="TW35" s="176"/>
      <c r="TX35" s="176"/>
      <c r="TY35" s="176"/>
      <c r="TZ35" s="176"/>
      <c r="UA35" s="176"/>
      <c r="UB35" s="176"/>
      <c r="UC35" s="176"/>
      <c r="UD35" s="176"/>
      <c r="UE35" s="176"/>
      <c r="UF35" s="176"/>
      <c r="UG35" s="176"/>
      <c r="UH35" s="176"/>
      <c r="UI35" s="176"/>
      <c r="UJ35" s="176"/>
      <c r="UK35" s="176"/>
      <c r="UL35" s="176"/>
      <c r="UM35" s="176"/>
      <c r="UN35" s="176"/>
      <c r="UO35" s="176"/>
      <c r="UP35" s="176"/>
      <c r="UQ35" s="176"/>
      <c r="UR35" s="176"/>
      <c r="US35" s="176"/>
      <c r="UT35" s="176"/>
      <c r="UU35" s="176"/>
      <c r="UV35" s="176"/>
      <c r="UW35" s="176"/>
      <c r="UX35" s="176"/>
      <c r="UY35" s="176"/>
      <c r="UZ35" s="176"/>
      <c r="VA35" s="176"/>
      <c r="VB35" s="176"/>
      <c r="VC35" s="176"/>
      <c r="VD35" s="176"/>
      <c r="VE35" s="176"/>
      <c r="VF35" s="176"/>
      <c r="VG35" s="176"/>
      <c r="VH35" s="176"/>
      <c r="VI35" s="176"/>
      <c r="VJ35" s="176"/>
      <c r="VK35" s="176"/>
      <c r="VL35" s="176"/>
      <c r="VM35" s="176"/>
      <c r="VN35" s="176"/>
      <c r="VO35" s="176"/>
      <c r="VP35" s="176"/>
      <c r="VQ35" s="176"/>
      <c r="VR35" s="176"/>
      <c r="VS35" s="176"/>
      <c r="VT35" s="176"/>
      <c r="VU35" s="176"/>
      <c r="VV35" s="176"/>
      <c r="VW35" s="176"/>
      <c r="VX35" s="176"/>
      <c r="VY35" s="176"/>
      <c r="VZ35" s="176"/>
      <c r="WA35" s="176"/>
      <c r="WB35" s="176"/>
      <c r="WC35" s="176"/>
      <c r="WD35" s="176"/>
      <c r="WE35" s="176"/>
      <c r="WF35" s="176"/>
      <c r="WG35" s="176"/>
      <c r="WH35" s="176"/>
      <c r="WI35" s="176"/>
      <c r="WJ35" s="176"/>
      <c r="WK35" s="176"/>
      <c r="WL35" s="176"/>
      <c r="WM35" s="176"/>
      <c r="WN35" s="176"/>
      <c r="WO35" s="176"/>
      <c r="WP35" s="176"/>
      <c r="WQ35" s="176"/>
      <c r="WR35" s="176"/>
      <c r="WS35" s="176"/>
      <c r="WT35" s="176"/>
      <c r="WU35" s="176"/>
      <c r="WV35" s="176"/>
      <c r="WW35" s="176"/>
      <c r="WX35" s="176"/>
      <c r="WY35" s="176"/>
      <c r="WZ35" s="176"/>
      <c r="XA35" s="176"/>
      <c r="XB35" s="176"/>
      <c r="XC35" s="176"/>
      <c r="XD35" s="176"/>
      <c r="XE35" s="176"/>
      <c r="XF35" s="176"/>
      <c r="XG35" s="176"/>
      <c r="XH35" s="176"/>
      <c r="XI35" s="176"/>
      <c r="XJ35" s="176"/>
      <c r="XK35" s="176"/>
      <c r="XL35" s="176"/>
      <c r="XM35" s="176"/>
      <c r="XN35" s="176"/>
      <c r="XO35" s="176"/>
      <c r="XP35" s="176"/>
      <c r="XQ35" s="176"/>
      <c r="XR35" s="176"/>
      <c r="XS35" s="176"/>
      <c r="XT35" s="176"/>
      <c r="XU35" s="176"/>
      <c r="XV35" s="176"/>
      <c r="XW35" s="176"/>
    </row>
    <row r="36" spans="1:647" s="179" customFormat="1" ht="14.25" customHeight="1">
      <c r="A36" s="88"/>
      <c r="B36" s="89"/>
      <c r="C36" s="92"/>
      <c r="D36" s="92"/>
      <c r="E36" s="94"/>
      <c r="F36" s="92"/>
      <c r="G36" s="92"/>
      <c r="H36" s="92"/>
      <c r="I36" s="276"/>
      <c r="J36" s="280"/>
      <c r="K36" s="285"/>
      <c r="L36" s="346"/>
      <c r="M36" s="212"/>
      <c r="N36" s="212"/>
      <c r="O36" s="212"/>
      <c r="P36" s="212"/>
      <c r="Q36" s="213"/>
      <c r="R36" s="91"/>
      <c r="S36" s="156"/>
      <c r="T36" s="92"/>
      <c r="U36" s="95"/>
      <c r="V36" s="92"/>
      <c r="W36" s="92"/>
      <c r="X36" s="92"/>
      <c r="Y36" s="177"/>
      <c r="Z36" s="177"/>
      <c r="AA36" s="178"/>
      <c r="AB36" s="85"/>
      <c r="AC36" s="176"/>
      <c r="AD36" s="176"/>
      <c r="AE36" s="176"/>
      <c r="AF36" s="176"/>
      <c r="AG36" s="176"/>
      <c r="AH36" s="176"/>
      <c r="AI36" s="176"/>
      <c r="AJ36" s="176"/>
      <c r="AK36" s="176"/>
      <c r="AL36" s="176"/>
      <c r="AM36" s="176"/>
      <c r="AN36" s="176"/>
      <c r="AO36" s="176"/>
      <c r="AP36" s="176"/>
      <c r="AQ36" s="176"/>
      <c r="AR36" s="176"/>
      <c r="AS36" s="176"/>
      <c r="AT36" s="176"/>
      <c r="AU36" s="176"/>
      <c r="AV36" s="176"/>
      <c r="AW36" s="176"/>
      <c r="AX36" s="176"/>
      <c r="AY36" s="176"/>
      <c r="AZ36" s="176"/>
      <c r="BA36" s="176"/>
      <c r="BB36" s="176"/>
      <c r="BC36" s="176"/>
      <c r="BD36" s="176"/>
      <c r="BE36" s="176"/>
      <c r="BF36" s="176"/>
      <c r="BG36" s="176"/>
      <c r="BH36" s="176"/>
      <c r="BI36" s="176"/>
      <c r="BJ36" s="176"/>
      <c r="BK36" s="176"/>
      <c r="BL36" s="176"/>
      <c r="BM36" s="176"/>
      <c r="BN36" s="176"/>
      <c r="BO36" s="176"/>
      <c r="BP36" s="176"/>
      <c r="BQ36" s="176"/>
      <c r="BR36" s="176"/>
      <c r="BS36" s="176"/>
      <c r="BT36" s="176"/>
      <c r="BU36" s="176"/>
      <c r="BV36" s="176"/>
      <c r="BW36" s="176"/>
      <c r="BX36" s="176"/>
      <c r="BY36" s="176"/>
      <c r="BZ36" s="176"/>
      <c r="CA36" s="176"/>
      <c r="CB36" s="176"/>
      <c r="CC36" s="176"/>
      <c r="CD36" s="176"/>
      <c r="CE36" s="176"/>
      <c r="CF36" s="176"/>
      <c r="CG36" s="176"/>
      <c r="CH36" s="176"/>
      <c r="CI36" s="176"/>
      <c r="CJ36" s="176"/>
      <c r="CK36" s="176"/>
      <c r="CL36" s="176"/>
      <c r="CM36" s="176"/>
      <c r="CN36" s="176"/>
      <c r="CO36" s="176"/>
      <c r="CP36" s="176"/>
      <c r="CQ36" s="176"/>
      <c r="CR36" s="176"/>
      <c r="CS36" s="176"/>
      <c r="CT36" s="176"/>
      <c r="CU36" s="176"/>
      <c r="CV36" s="176"/>
      <c r="CW36" s="176"/>
      <c r="CX36" s="176"/>
      <c r="CY36" s="176"/>
      <c r="CZ36" s="176"/>
      <c r="DA36" s="176"/>
      <c r="DB36" s="176"/>
      <c r="DC36" s="176"/>
      <c r="DD36" s="176"/>
      <c r="DE36" s="176"/>
      <c r="DF36" s="176"/>
      <c r="DG36" s="176"/>
      <c r="DH36" s="176"/>
      <c r="DI36" s="176"/>
      <c r="DJ36" s="176"/>
      <c r="DK36" s="176"/>
      <c r="DL36" s="176"/>
      <c r="DM36" s="176"/>
      <c r="DN36" s="176"/>
      <c r="DO36" s="176"/>
      <c r="DP36" s="176"/>
      <c r="DQ36" s="176"/>
      <c r="DR36" s="176"/>
      <c r="DS36" s="176"/>
      <c r="DT36" s="176"/>
      <c r="DU36" s="176"/>
      <c r="DV36" s="176"/>
      <c r="DW36" s="176"/>
      <c r="DX36" s="176"/>
      <c r="DY36" s="176"/>
      <c r="DZ36" s="176"/>
      <c r="EA36" s="176"/>
      <c r="EB36" s="176"/>
      <c r="EC36" s="176"/>
      <c r="ED36" s="176"/>
      <c r="EE36" s="176"/>
      <c r="EF36" s="176"/>
      <c r="EG36" s="176"/>
      <c r="EH36" s="176"/>
      <c r="EI36" s="176"/>
      <c r="EJ36" s="176"/>
      <c r="EK36" s="176"/>
      <c r="EL36" s="176"/>
      <c r="EM36" s="176"/>
      <c r="EN36" s="176"/>
      <c r="EO36" s="176"/>
      <c r="EP36" s="176"/>
      <c r="EQ36" s="176"/>
      <c r="ER36" s="176"/>
      <c r="ES36" s="176"/>
      <c r="ET36" s="176"/>
      <c r="EU36" s="176"/>
      <c r="EV36" s="176"/>
      <c r="EW36" s="176"/>
      <c r="EX36" s="176"/>
      <c r="EY36" s="176"/>
      <c r="EZ36" s="176"/>
      <c r="FA36" s="176"/>
      <c r="FB36" s="176"/>
      <c r="FC36" s="176"/>
      <c r="FD36" s="176"/>
      <c r="FE36" s="176"/>
      <c r="FF36" s="176"/>
      <c r="FG36" s="176"/>
      <c r="FH36" s="176"/>
      <c r="FI36" s="176"/>
      <c r="FJ36" s="176"/>
      <c r="FK36" s="176"/>
      <c r="FL36" s="176"/>
      <c r="FM36" s="176"/>
      <c r="FN36" s="176"/>
      <c r="FO36" s="176"/>
      <c r="FP36" s="176"/>
      <c r="FQ36" s="176"/>
      <c r="FR36" s="176"/>
      <c r="FS36" s="176"/>
      <c r="FT36" s="176"/>
      <c r="FU36" s="176"/>
      <c r="FV36" s="176"/>
      <c r="FW36" s="176"/>
      <c r="FX36" s="176"/>
      <c r="FY36" s="176"/>
      <c r="FZ36" s="176"/>
      <c r="GA36" s="176"/>
      <c r="GB36" s="176"/>
      <c r="GC36" s="176"/>
      <c r="GD36" s="176"/>
      <c r="GE36" s="176"/>
      <c r="GF36" s="176"/>
      <c r="GG36" s="176"/>
      <c r="GH36" s="176"/>
      <c r="GI36" s="176"/>
      <c r="GJ36" s="176"/>
      <c r="GK36" s="176"/>
      <c r="GL36" s="176"/>
      <c r="GM36" s="176"/>
      <c r="GN36" s="176"/>
      <c r="GO36" s="176"/>
      <c r="GP36" s="176"/>
      <c r="GQ36" s="176"/>
      <c r="GR36" s="176"/>
      <c r="GS36" s="176"/>
      <c r="GT36" s="176"/>
      <c r="GU36" s="176"/>
      <c r="GV36" s="176"/>
      <c r="GW36" s="176"/>
      <c r="GX36" s="176"/>
      <c r="GY36" s="176"/>
      <c r="GZ36" s="176"/>
      <c r="HA36" s="176"/>
      <c r="HB36" s="176"/>
      <c r="HC36" s="176"/>
      <c r="HD36" s="176"/>
      <c r="HE36" s="176"/>
      <c r="HF36" s="176"/>
      <c r="HG36" s="176"/>
      <c r="HH36" s="176"/>
      <c r="HI36" s="176"/>
      <c r="HJ36" s="176"/>
      <c r="HK36" s="176"/>
      <c r="HL36" s="176"/>
      <c r="HM36" s="176"/>
      <c r="HN36" s="176"/>
      <c r="HO36" s="176"/>
      <c r="HP36" s="176"/>
      <c r="HQ36" s="176"/>
      <c r="HR36" s="176"/>
      <c r="HS36" s="176"/>
      <c r="HT36" s="176"/>
      <c r="HU36" s="176"/>
      <c r="HV36" s="176"/>
      <c r="HW36" s="176"/>
      <c r="HX36" s="176"/>
      <c r="HY36" s="176"/>
      <c r="HZ36" s="176"/>
      <c r="IA36" s="176"/>
      <c r="IB36" s="176"/>
      <c r="IC36" s="176"/>
      <c r="ID36" s="176"/>
      <c r="IE36" s="176"/>
      <c r="IF36" s="176"/>
      <c r="IG36" s="176"/>
      <c r="IH36" s="176"/>
      <c r="II36" s="176"/>
      <c r="IJ36" s="176"/>
      <c r="IK36" s="176"/>
      <c r="IL36" s="176"/>
      <c r="IM36" s="176"/>
      <c r="IN36" s="176"/>
      <c r="IO36" s="176"/>
      <c r="IP36" s="176"/>
      <c r="IQ36" s="176"/>
      <c r="IR36" s="176"/>
      <c r="IS36" s="176"/>
      <c r="IT36" s="176"/>
      <c r="IU36" s="176"/>
      <c r="IV36" s="176"/>
      <c r="IW36" s="176"/>
      <c r="IX36" s="176"/>
      <c r="IY36" s="176"/>
      <c r="IZ36" s="176"/>
      <c r="JA36" s="176"/>
      <c r="JB36" s="176"/>
      <c r="JC36" s="176"/>
      <c r="JD36" s="176"/>
      <c r="JE36" s="176"/>
      <c r="JF36" s="176"/>
      <c r="JG36" s="176"/>
      <c r="JH36" s="176"/>
      <c r="JI36" s="176"/>
      <c r="JJ36" s="176"/>
      <c r="JK36" s="176"/>
      <c r="JL36" s="176"/>
      <c r="JM36" s="176"/>
      <c r="JN36" s="176"/>
      <c r="JO36" s="176"/>
      <c r="JP36" s="176"/>
      <c r="JQ36" s="176"/>
      <c r="JR36" s="176"/>
      <c r="JS36" s="176"/>
      <c r="JT36" s="176"/>
      <c r="JU36" s="176"/>
      <c r="JV36" s="176"/>
      <c r="JW36" s="176"/>
      <c r="JX36" s="176"/>
      <c r="JY36" s="176"/>
      <c r="JZ36" s="176"/>
      <c r="KA36" s="176"/>
      <c r="KB36" s="176"/>
      <c r="KC36" s="176"/>
      <c r="KD36" s="176"/>
      <c r="KE36" s="176"/>
      <c r="KF36" s="176"/>
      <c r="KG36" s="176"/>
      <c r="KH36" s="176"/>
      <c r="KI36" s="176"/>
      <c r="KJ36" s="176"/>
      <c r="KK36" s="176"/>
      <c r="KL36" s="176"/>
      <c r="KM36" s="176"/>
      <c r="KN36" s="176"/>
      <c r="KO36" s="176"/>
      <c r="KP36" s="176"/>
      <c r="KQ36" s="176"/>
      <c r="KR36" s="176"/>
      <c r="KS36" s="176"/>
      <c r="KT36" s="176"/>
      <c r="KU36" s="176"/>
      <c r="KV36" s="176"/>
      <c r="KW36" s="176"/>
      <c r="KX36" s="176"/>
      <c r="KY36" s="176"/>
      <c r="KZ36" s="176"/>
      <c r="LA36" s="176"/>
      <c r="LB36" s="176"/>
      <c r="LC36" s="176"/>
      <c r="LD36" s="176"/>
      <c r="LE36" s="176"/>
      <c r="LF36" s="176"/>
      <c r="LG36" s="176"/>
      <c r="LH36" s="176"/>
      <c r="LI36" s="176"/>
      <c r="LJ36" s="176"/>
      <c r="LK36" s="176"/>
      <c r="LL36" s="176"/>
      <c r="LM36" s="176"/>
      <c r="LN36" s="176"/>
      <c r="LO36" s="176"/>
      <c r="LP36" s="176"/>
      <c r="LQ36" s="176"/>
      <c r="LR36" s="176"/>
      <c r="LS36" s="176"/>
      <c r="LT36" s="176"/>
      <c r="LU36" s="176"/>
      <c r="LV36" s="176"/>
      <c r="LW36" s="176"/>
      <c r="LX36" s="176"/>
      <c r="LY36" s="176"/>
      <c r="LZ36" s="176"/>
      <c r="MA36" s="176"/>
      <c r="MB36" s="176"/>
      <c r="MC36" s="176"/>
      <c r="MD36" s="176"/>
      <c r="ME36" s="176"/>
      <c r="MF36" s="176"/>
      <c r="MG36" s="176"/>
      <c r="MH36" s="176"/>
      <c r="MI36" s="176"/>
      <c r="MJ36" s="176"/>
      <c r="MK36" s="176"/>
      <c r="ML36" s="176"/>
      <c r="MM36" s="176"/>
      <c r="MN36" s="176"/>
      <c r="MO36" s="176"/>
      <c r="MP36" s="176"/>
      <c r="MQ36" s="176"/>
      <c r="MR36" s="176"/>
      <c r="MS36" s="176"/>
      <c r="MT36" s="176"/>
      <c r="MU36" s="176"/>
      <c r="MV36" s="176"/>
      <c r="MW36" s="176"/>
      <c r="MX36" s="176"/>
      <c r="MY36" s="176"/>
      <c r="MZ36" s="176"/>
      <c r="NA36" s="176"/>
      <c r="NB36" s="176"/>
      <c r="NC36" s="176"/>
      <c r="ND36" s="176"/>
      <c r="NE36" s="176"/>
      <c r="NF36" s="176"/>
      <c r="NG36" s="176"/>
      <c r="NH36" s="176"/>
      <c r="NI36" s="176"/>
      <c r="NJ36" s="176"/>
      <c r="NK36" s="176"/>
      <c r="NL36" s="176"/>
      <c r="NM36" s="176"/>
      <c r="NN36" s="176"/>
      <c r="NO36" s="176"/>
      <c r="NP36" s="176"/>
      <c r="NQ36" s="176"/>
      <c r="NR36" s="176"/>
      <c r="NS36" s="176"/>
      <c r="NT36" s="176"/>
      <c r="NU36" s="176"/>
      <c r="NV36" s="176"/>
      <c r="NW36" s="176"/>
      <c r="NX36" s="176"/>
      <c r="NY36" s="176"/>
      <c r="NZ36" s="176"/>
      <c r="OA36" s="176"/>
      <c r="OB36" s="176"/>
      <c r="OC36" s="176"/>
      <c r="OD36" s="176"/>
      <c r="OE36" s="176"/>
      <c r="OF36" s="176"/>
      <c r="OG36" s="176"/>
      <c r="OH36" s="176"/>
      <c r="OI36" s="176"/>
      <c r="OJ36" s="176"/>
      <c r="OK36" s="176"/>
      <c r="OL36" s="176"/>
      <c r="OM36" s="176"/>
      <c r="ON36" s="176"/>
      <c r="OO36" s="176"/>
      <c r="OP36" s="176"/>
      <c r="OQ36" s="176"/>
      <c r="OR36" s="176"/>
      <c r="OS36" s="176"/>
      <c r="OT36" s="176"/>
      <c r="OU36" s="176"/>
      <c r="OV36" s="176"/>
      <c r="OW36" s="176"/>
      <c r="OX36" s="176"/>
      <c r="OY36" s="176"/>
      <c r="OZ36" s="176"/>
      <c r="PA36" s="176"/>
      <c r="PB36" s="176"/>
      <c r="PC36" s="176"/>
      <c r="PD36" s="176"/>
      <c r="PE36" s="176"/>
      <c r="PF36" s="176"/>
      <c r="PG36" s="176"/>
      <c r="PH36" s="176"/>
      <c r="PI36" s="176"/>
      <c r="PJ36" s="176"/>
      <c r="PK36" s="176"/>
      <c r="PL36" s="176"/>
      <c r="PM36" s="176"/>
      <c r="PN36" s="176"/>
      <c r="PO36" s="176"/>
      <c r="PP36" s="176"/>
      <c r="PQ36" s="176"/>
      <c r="PR36" s="176"/>
      <c r="PS36" s="176"/>
      <c r="PT36" s="176"/>
      <c r="PU36" s="176"/>
      <c r="PV36" s="176"/>
      <c r="PW36" s="176"/>
      <c r="PX36" s="176"/>
      <c r="PY36" s="176"/>
      <c r="PZ36" s="176"/>
      <c r="QA36" s="176"/>
      <c r="QB36" s="176"/>
      <c r="QC36" s="176"/>
      <c r="QD36" s="176"/>
      <c r="QE36" s="176"/>
      <c r="QF36" s="176"/>
      <c r="QG36" s="176"/>
      <c r="QH36" s="176"/>
      <c r="QI36" s="176"/>
      <c r="QJ36" s="176"/>
      <c r="QK36" s="176"/>
      <c r="QL36" s="176"/>
      <c r="QM36" s="176"/>
      <c r="QN36" s="176"/>
      <c r="QO36" s="176"/>
      <c r="QP36" s="176"/>
      <c r="QQ36" s="176"/>
      <c r="QR36" s="176"/>
      <c r="QS36" s="176"/>
      <c r="QT36" s="176"/>
      <c r="QU36" s="176"/>
      <c r="QV36" s="176"/>
      <c r="QW36" s="176"/>
      <c r="QX36" s="176"/>
      <c r="QY36" s="176"/>
      <c r="QZ36" s="176"/>
      <c r="RA36" s="176"/>
      <c r="RB36" s="176"/>
      <c r="RC36" s="176"/>
      <c r="RD36" s="176"/>
      <c r="RE36" s="176"/>
      <c r="RF36" s="176"/>
      <c r="RG36" s="176"/>
      <c r="RH36" s="176"/>
      <c r="RI36" s="176"/>
      <c r="RJ36" s="176"/>
      <c r="RK36" s="176"/>
      <c r="RL36" s="176"/>
      <c r="RM36" s="176"/>
      <c r="RN36" s="176"/>
      <c r="RO36" s="176"/>
      <c r="RP36" s="176"/>
      <c r="RQ36" s="176"/>
      <c r="RR36" s="176"/>
      <c r="RS36" s="176"/>
      <c r="RT36" s="176"/>
      <c r="RU36" s="176"/>
      <c r="RV36" s="176"/>
      <c r="RW36" s="176"/>
      <c r="RX36" s="176"/>
      <c r="RY36" s="176"/>
      <c r="RZ36" s="176"/>
      <c r="SA36" s="176"/>
      <c r="SB36" s="176"/>
      <c r="SC36" s="176"/>
      <c r="SD36" s="176"/>
      <c r="SE36" s="176"/>
      <c r="SF36" s="176"/>
      <c r="SG36" s="176"/>
      <c r="SH36" s="176"/>
      <c r="SI36" s="176"/>
      <c r="SJ36" s="176"/>
      <c r="SK36" s="176"/>
      <c r="SL36" s="176"/>
      <c r="SM36" s="176"/>
      <c r="SN36" s="176"/>
      <c r="SO36" s="176"/>
      <c r="SP36" s="176"/>
      <c r="SQ36" s="176"/>
      <c r="SR36" s="176"/>
      <c r="SS36" s="176"/>
      <c r="ST36" s="176"/>
      <c r="SU36" s="176"/>
      <c r="SV36" s="176"/>
      <c r="SW36" s="176"/>
      <c r="SX36" s="176"/>
      <c r="SY36" s="176"/>
      <c r="SZ36" s="176"/>
      <c r="TA36" s="176"/>
      <c r="TB36" s="176"/>
      <c r="TC36" s="176"/>
      <c r="TD36" s="176"/>
      <c r="TE36" s="176"/>
      <c r="TF36" s="176"/>
      <c r="TG36" s="176"/>
      <c r="TH36" s="176"/>
      <c r="TI36" s="176"/>
      <c r="TJ36" s="176"/>
      <c r="TK36" s="176"/>
      <c r="TL36" s="176"/>
      <c r="TM36" s="176"/>
      <c r="TN36" s="176"/>
      <c r="TO36" s="176"/>
      <c r="TP36" s="176"/>
      <c r="TQ36" s="176"/>
      <c r="TR36" s="176"/>
      <c r="TS36" s="176"/>
      <c r="TT36" s="176"/>
      <c r="TU36" s="176"/>
      <c r="TV36" s="176"/>
      <c r="TW36" s="176"/>
      <c r="TX36" s="176"/>
      <c r="TY36" s="176"/>
      <c r="TZ36" s="176"/>
      <c r="UA36" s="176"/>
      <c r="UB36" s="176"/>
      <c r="UC36" s="176"/>
      <c r="UD36" s="176"/>
      <c r="UE36" s="176"/>
      <c r="UF36" s="176"/>
      <c r="UG36" s="176"/>
      <c r="UH36" s="176"/>
      <c r="UI36" s="176"/>
      <c r="UJ36" s="176"/>
      <c r="UK36" s="176"/>
      <c r="UL36" s="176"/>
      <c r="UM36" s="176"/>
      <c r="UN36" s="176"/>
      <c r="UO36" s="176"/>
      <c r="UP36" s="176"/>
      <c r="UQ36" s="176"/>
      <c r="UR36" s="176"/>
      <c r="US36" s="176"/>
      <c r="UT36" s="176"/>
      <c r="UU36" s="176"/>
      <c r="UV36" s="176"/>
      <c r="UW36" s="176"/>
      <c r="UX36" s="176"/>
      <c r="UY36" s="176"/>
      <c r="UZ36" s="176"/>
      <c r="VA36" s="176"/>
      <c r="VB36" s="176"/>
      <c r="VC36" s="176"/>
      <c r="VD36" s="176"/>
      <c r="VE36" s="176"/>
      <c r="VF36" s="176"/>
      <c r="VG36" s="176"/>
      <c r="VH36" s="176"/>
      <c r="VI36" s="176"/>
      <c r="VJ36" s="176"/>
      <c r="VK36" s="176"/>
      <c r="VL36" s="176"/>
      <c r="VM36" s="176"/>
      <c r="VN36" s="176"/>
      <c r="VO36" s="176"/>
      <c r="VP36" s="176"/>
      <c r="VQ36" s="176"/>
      <c r="VR36" s="176"/>
      <c r="VS36" s="176"/>
      <c r="VT36" s="176"/>
      <c r="VU36" s="176"/>
      <c r="VV36" s="176"/>
      <c r="VW36" s="176"/>
      <c r="VX36" s="176"/>
      <c r="VY36" s="176"/>
      <c r="VZ36" s="176"/>
      <c r="WA36" s="176"/>
      <c r="WB36" s="176"/>
      <c r="WC36" s="176"/>
      <c r="WD36" s="176"/>
      <c r="WE36" s="176"/>
      <c r="WF36" s="176"/>
      <c r="WG36" s="176"/>
      <c r="WH36" s="176"/>
      <c r="WI36" s="176"/>
      <c r="WJ36" s="176"/>
      <c r="WK36" s="176"/>
      <c r="WL36" s="176"/>
      <c r="WM36" s="176"/>
      <c r="WN36" s="176"/>
      <c r="WO36" s="176"/>
      <c r="WP36" s="176"/>
      <c r="WQ36" s="176"/>
      <c r="WR36" s="176"/>
      <c r="WS36" s="176"/>
      <c r="WT36" s="176"/>
      <c r="WU36" s="176"/>
      <c r="WV36" s="176"/>
      <c r="WW36" s="176"/>
      <c r="WX36" s="176"/>
      <c r="WY36" s="176"/>
      <c r="WZ36" s="176"/>
      <c r="XA36" s="176"/>
      <c r="XB36" s="176"/>
      <c r="XC36" s="176"/>
      <c r="XD36" s="176"/>
      <c r="XE36" s="176"/>
      <c r="XF36" s="176"/>
      <c r="XG36" s="176"/>
      <c r="XH36" s="176"/>
      <c r="XI36" s="176"/>
      <c r="XJ36" s="176"/>
      <c r="XK36" s="176"/>
      <c r="XL36" s="176"/>
      <c r="XM36" s="176"/>
      <c r="XN36" s="176"/>
      <c r="XO36" s="176"/>
      <c r="XP36" s="176"/>
      <c r="XQ36" s="176"/>
      <c r="XR36" s="176"/>
      <c r="XS36" s="176"/>
      <c r="XT36" s="176"/>
      <c r="XU36" s="176"/>
      <c r="XV36" s="176"/>
      <c r="XW36" s="176"/>
    </row>
    <row r="37" spans="1:647" s="179" customFormat="1" ht="14.25" customHeight="1">
      <c r="A37" s="88"/>
      <c r="B37" s="89"/>
      <c r="C37" s="92"/>
      <c r="D37" s="92"/>
      <c r="E37" s="94"/>
      <c r="F37" s="92"/>
      <c r="G37" s="92"/>
      <c r="H37" s="92"/>
      <c r="I37" s="276"/>
      <c r="J37" s="280"/>
      <c r="K37" s="285"/>
      <c r="L37" s="346"/>
      <c r="M37" s="212"/>
      <c r="N37" s="212"/>
      <c r="O37" s="212"/>
      <c r="P37" s="212"/>
      <c r="Q37" s="213"/>
      <c r="R37" s="91"/>
      <c r="S37" s="156"/>
      <c r="T37" s="92"/>
      <c r="U37" s="95"/>
      <c r="V37" s="92"/>
      <c r="W37" s="92"/>
      <c r="X37" s="92"/>
      <c r="Y37" s="177"/>
      <c r="Z37" s="177"/>
      <c r="AA37" s="178"/>
      <c r="AB37" s="85"/>
      <c r="AC37" s="176"/>
      <c r="AD37" s="176"/>
      <c r="AE37" s="176"/>
      <c r="AF37" s="176"/>
      <c r="AG37" s="176"/>
      <c r="AH37" s="176"/>
      <c r="AI37" s="176"/>
      <c r="AJ37" s="176"/>
      <c r="AK37" s="176"/>
      <c r="AL37" s="176"/>
      <c r="AM37" s="176"/>
      <c r="AN37" s="176"/>
      <c r="AO37" s="176"/>
      <c r="AP37" s="176"/>
      <c r="AQ37" s="176"/>
      <c r="AR37" s="176"/>
      <c r="AS37" s="176"/>
      <c r="AT37" s="176"/>
      <c r="AU37" s="176"/>
      <c r="AV37" s="176"/>
      <c r="AW37" s="176"/>
      <c r="AX37" s="176"/>
      <c r="AY37" s="176"/>
      <c r="AZ37" s="176"/>
      <c r="BA37" s="176"/>
      <c r="BB37" s="176"/>
      <c r="BC37" s="176"/>
      <c r="BD37" s="176"/>
      <c r="BE37" s="176"/>
      <c r="BF37" s="176"/>
      <c r="BG37" s="176"/>
      <c r="BH37" s="176"/>
      <c r="BI37" s="176"/>
      <c r="BJ37" s="176"/>
      <c r="BK37" s="176"/>
      <c r="BL37" s="176"/>
      <c r="BM37" s="176"/>
      <c r="BN37" s="176"/>
      <c r="BO37" s="176"/>
      <c r="BP37" s="176"/>
      <c r="BQ37" s="176"/>
      <c r="BR37" s="176"/>
      <c r="BS37" s="176"/>
      <c r="BT37" s="176"/>
      <c r="BU37" s="176"/>
      <c r="BV37" s="176"/>
      <c r="BW37" s="176"/>
      <c r="BX37" s="176"/>
      <c r="BY37" s="176"/>
      <c r="BZ37" s="176"/>
      <c r="CA37" s="176"/>
      <c r="CB37" s="176"/>
      <c r="CC37" s="176"/>
      <c r="CD37" s="176"/>
      <c r="CE37" s="176"/>
      <c r="CF37" s="176"/>
      <c r="CG37" s="176"/>
      <c r="CH37" s="176"/>
      <c r="CI37" s="176"/>
      <c r="CJ37" s="176"/>
      <c r="CK37" s="176"/>
      <c r="CL37" s="176"/>
      <c r="CM37" s="176"/>
      <c r="CN37" s="176"/>
      <c r="CO37" s="176"/>
      <c r="CP37" s="176"/>
      <c r="CQ37" s="176"/>
      <c r="CR37" s="176"/>
      <c r="CS37" s="176"/>
      <c r="CT37" s="176"/>
      <c r="CU37" s="176"/>
      <c r="CV37" s="176"/>
      <c r="CW37" s="176"/>
      <c r="CX37" s="176"/>
      <c r="CY37" s="176"/>
      <c r="CZ37" s="176"/>
      <c r="DA37" s="176"/>
      <c r="DB37" s="176"/>
      <c r="DC37" s="176"/>
      <c r="DD37" s="176"/>
      <c r="DE37" s="176"/>
      <c r="DF37" s="176"/>
      <c r="DG37" s="176"/>
      <c r="DH37" s="176"/>
      <c r="DI37" s="176"/>
      <c r="DJ37" s="176"/>
      <c r="DK37" s="176"/>
      <c r="DL37" s="176"/>
      <c r="DM37" s="176"/>
      <c r="DN37" s="176"/>
      <c r="DO37" s="176"/>
      <c r="DP37" s="176"/>
      <c r="DQ37" s="176"/>
      <c r="DR37" s="176"/>
      <c r="DS37" s="176"/>
      <c r="DT37" s="176"/>
      <c r="DU37" s="176"/>
      <c r="DV37" s="176"/>
      <c r="DW37" s="176"/>
      <c r="DX37" s="176"/>
      <c r="DY37" s="176"/>
      <c r="DZ37" s="176"/>
      <c r="EA37" s="176"/>
      <c r="EB37" s="176"/>
      <c r="EC37" s="176"/>
      <c r="ED37" s="176"/>
      <c r="EE37" s="176"/>
      <c r="EF37" s="176"/>
      <c r="EG37" s="176"/>
      <c r="EH37" s="176"/>
      <c r="EI37" s="176"/>
      <c r="EJ37" s="176"/>
      <c r="EK37" s="176"/>
      <c r="EL37" s="176"/>
      <c r="EM37" s="176"/>
      <c r="EN37" s="176"/>
      <c r="EO37" s="176"/>
      <c r="EP37" s="176"/>
      <c r="EQ37" s="176"/>
      <c r="ER37" s="176"/>
      <c r="ES37" s="176"/>
      <c r="ET37" s="176"/>
      <c r="EU37" s="176"/>
      <c r="EV37" s="176"/>
      <c r="EW37" s="176"/>
      <c r="EX37" s="176"/>
      <c r="EY37" s="176"/>
      <c r="EZ37" s="176"/>
      <c r="FA37" s="176"/>
      <c r="FB37" s="176"/>
      <c r="FC37" s="176"/>
      <c r="FD37" s="176"/>
      <c r="FE37" s="176"/>
      <c r="FF37" s="176"/>
      <c r="FG37" s="176"/>
      <c r="FH37" s="176"/>
      <c r="FI37" s="176"/>
      <c r="FJ37" s="176"/>
      <c r="FK37" s="176"/>
      <c r="FL37" s="176"/>
      <c r="FM37" s="176"/>
      <c r="FN37" s="176"/>
      <c r="FO37" s="176"/>
      <c r="FP37" s="176"/>
      <c r="FQ37" s="176"/>
      <c r="FR37" s="176"/>
      <c r="FS37" s="176"/>
      <c r="FT37" s="176"/>
      <c r="FU37" s="176"/>
      <c r="FV37" s="176"/>
      <c r="FW37" s="176"/>
      <c r="FX37" s="176"/>
      <c r="FY37" s="176"/>
      <c r="FZ37" s="176"/>
      <c r="GA37" s="176"/>
      <c r="GB37" s="176"/>
      <c r="GC37" s="176"/>
      <c r="GD37" s="176"/>
      <c r="GE37" s="176"/>
      <c r="GF37" s="176"/>
      <c r="GG37" s="176"/>
      <c r="GH37" s="176"/>
      <c r="GI37" s="176"/>
      <c r="GJ37" s="176"/>
      <c r="GK37" s="176"/>
      <c r="GL37" s="176"/>
      <c r="GM37" s="176"/>
      <c r="GN37" s="176"/>
      <c r="GO37" s="176"/>
      <c r="GP37" s="176"/>
      <c r="GQ37" s="176"/>
      <c r="GR37" s="176"/>
      <c r="GS37" s="176"/>
      <c r="GT37" s="176"/>
      <c r="GU37" s="176"/>
      <c r="GV37" s="176"/>
      <c r="GW37" s="176"/>
      <c r="GX37" s="176"/>
      <c r="GY37" s="176"/>
      <c r="GZ37" s="176"/>
      <c r="HA37" s="176"/>
      <c r="HB37" s="176"/>
      <c r="HC37" s="176"/>
      <c r="HD37" s="176"/>
      <c r="HE37" s="176"/>
      <c r="HF37" s="176"/>
      <c r="HG37" s="176"/>
      <c r="HH37" s="176"/>
      <c r="HI37" s="176"/>
      <c r="HJ37" s="176"/>
      <c r="HK37" s="176"/>
      <c r="HL37" s="176"/>
      <c r="HM37" s="176"/>
      <c r="HN37" s="176"/>
      <c r="HO37" s="176"/>
      <c r="HP37" s="176"/>
      <c r="HQ37" s="176"/>
      <c r="HR37" s="176"/>
      <c r="HS37" s="176"/>
      <c r="HT37" s="176"/>
      <c r="HU37" s="176"/>
      <c r="HV37" s="176"/>
      <c r="HW37" s="176"/>
      <c r="HX37" s="176"/>
      <c r="HY37" s="176"/>
      <c r="HZ37" s="176"/>
      <c r="IA37" s="176"/>
      <c r="IB37" s="176"/>
      <c r="IC37" s="176"/>
      <c r="ID37" s="176"/>
      <c r="IE37" s="176"/>
      <c r="IF37" s="176"/>
      <c r="IG37" s="176"/>
      <c r="IH37" s="176"/>
      <c r="II37" s="176"/>
      <c r="IJ37" s="176"/>
      <c r="IK37" s="176"/>
      <c r="IL37" s="176"/>
      <c r="IM37" s="176"/>
      <c r="IN37" s="176"/>
      <c r="IO37" s="176"/>
      <c r="IP37" s="176"/>
      <c r="IQ37" s="176"/>
      <c r="IR37" s="176"/>
      <c r="IS37" s="176"/>
      <c r="IT37" s="176"/>
      <c r="IU37" s="176"/>
      <c r="IV37" s="176"/>
      <c r="IW37" s="176"/>
      <c r="IX37" s="176"/>
      <c r="IY37" s="176"/>
      <c r="IZ37" s="176"/>
      <c r="JA37" s="176"/>
      <c r="JB37" s="176"/>
      <c r="JC37" s="176"/>
      <c r="JD37" s="176"/>
      <c r="JE37" s="176"/>
      <c r="JF37" s="176"/>
      <c r="JG37" s="176"/>
      <c r="JH37" s="176"/>
      <c r="JI37" s="176"/>
      <c r="JJ37" s="176"/>
      <c r="JK37" s="176"/>
      <c r="JL37" s="176"/>
      <c r="JM37" s="176"/>
      <c r="JN37" s="176"/>
      <c r="JO37" s="176"/>
      <c r="JP37" s="176"/>
      <c r="JQ37" s="176"/>
      <c r="JR37" s="176"/>
      <c r="JS37" s="176"/>
      <c r="JT37" s="176"/>
      <c r="JU37" s="176"/>
      <c r="JV37" s="176"/>
      <c r="JW37" s="176"/>
      <c r="JX37" s="176"/>
      <c r="JY37" s="176"/>
      <c r="JZ37" s="176"/>
      <c r="KA37" s="176"/>
      <c r="KB37" s="176"/>
      <c r="KC37" s="176"/>
      <c r="KD37" s="176"/>
      <c r="KE37" s="176"/>
      <c r="KF37" s="176"/>
      <c r="KG37" s="176"/>
      <c r="KH37" s="176"/>
      <c r="KI37" s="176"/>
      <c r="KJ37" s="176"/>
      <c r="KK37" s="176"/>
      <c r="KL37" s="176"/>
      <c r="KM37" s="176"/>
      <c r="KN37" s="176"/>
      <c r="KO37" s="176"/>
      <c r="KP37" s="176"/>
      <c r="KQ37" s="176"/>
      <c r="KR37" s="176"/>
      <c r="KS37" s="176"/>
      <c r="KT37" s="176"/>
      <c r="KU37" s="176"/>
      <c r="KV37" s="176"/>
      <c r="KW37" s="176"/>
      <c r="KX37" s="176"/>
      <c r="KY37" s="176"/>
      <c r="KZ37" s="176"/>
      <c r="LA37" s="176"/>
      <c r="LB37" s="176"/>
      <c r="LC37" s="176"/>
      <c r="LD37" s="176"/>
      <c r="LE37" s="176"/>
      <c r="LF37" s="176"/>
      <c r="LG37" s="176"/>
      <c r="LH37" s="176"/>
      <c r="LI37" s="176"/>
      <c r="LJ37" s="176"/>
      <c r="LK37" s="176"/>
      <c r="LL37" s="176"/>
      <c r="LM37" s="176"/>
      <c r="LN37" s="176"/>
      <c r="LO37" s="176"/>
      <c r="LP37" s="176"/>
      <c r="LQ37" s="176"/>
      <c r="LR37" s="176"/>
      <c r="LS37" s="176"/>
      <c r="LT37" s="176"/>
      <c r="LU37" s="176"/>
      <c r="LV37" s="176"/>
      <c r="LW37" s="176"/>
      <c r="LX37" s="176"/>
      <c r="LY37" s="176"/>
      <c r="LZ37" s="176"/>
      <c r="MA37" s="176"/>
      <c r="MB37" s="176"/>
      <c r="MC37" s="176"/>
      <c r="MD37" s="176"/>
      <c r="ME37" s="176"/>
      <c r="MF37" s="176"/>
      <c r="MG37" s="176"/>
      <c r="MH37" s="176"/>
      <c r="MI37" s="176"/>
      <c r="MJ37" s="176"/>
      <c r="MK37" s="176"/>
      <c r="ML37" s="176"/>
      <c r="MM37" s="176"/>
      <c r="MN37" s="176"/>
      <c r="MO37" s="176"/>
      <c r="MP37" s="176"/>
      <c r="MQ37" s="176"/>
      <c r="MR37" s="176"/>
      <c r="MS37" s="176"/>
      <c r="MT37" s="176"/>
      <c r="MU37" s="176"/>
      <c r="MV37" s="176"/>
      <c r="MW37" s="176"/>
      <c r="MX37" s="176"/>
      <c r="MY37" s="176"/>
      <c r="MZ37" s="176"/>
      <c r="NA37" s="176"/>
      <c r="NB37" s="176"/>
      <c r="NC37" s="176"/>
      <c r="ND37" s="176"/>
      <c r="NE37" s="176"/>
      <c r="NF37" s="176"/>
      <c r="NG37" s="176"/>
      <c r="NH37" s="176"/>
      <c r="NI37" s="176"/>
      <c r="NJ37" s="176"/>
      <c r="NK37" s="176"/>
      <c r="NL37" s="176"/>
      <c r="NM37" s="176"/>
      <c r="NN37" s="176"/>
      <c r="NO37" s="176"/>
      <c r="NP37" s="176"/>
      <c r="NQ37" s="176"/>
      <c r="NR37" s="176"/>
      <c r="NS37" s="176"/>
      <c r="NT37" s="176"/>
      <c r="NU37" s="176"/>
      <c r="NV37" s="176"/>
      <c r="NW37" s="176"/>
      <c r="NX37" s="176"/>
      <c r="NY37" s="176"/>
      <c r="NZ37" s="176"/>
      <c r="OA37" s="176"/>
      <c r="OB37" s="176"/>
      <c r="OC37" s="176"/>
      <c r="OD37" s="176"/>
      <c r="OE37" s="176"/>
      <c r="OF37" s="176"/>
      <c r="OG37" s="176"/>
      <c r="OH37" s="176"/>
      <c r="OI37" s="176"/>
      <c r="OJ37" s="176"/>
      <c r="OK37" s="176"/>
      <c r="OL37" s="176"/>
      <c r="OM37" s="176"/>
      <c r="ON37" s="176"/>
      <c r="OO37" s="176"/>
      <c r="OP37" s="176"/>
      <c r="OQ37" s="176"/>
      <c r="OR37" s="176"/>
      <c r="OS37" s="176"/>
      <c r="OT37" s="176"/>
      <c r="OU37" s="176"/>
      <c r="OV37" s="176"/>
      <c r="OW37" s="176"/>
      <c r="OX37" s="176"/>
      <c r="OY37" s="176"/>
      <c r="OZ37" s="176"/>
      <c r="PA37" s="176"/>
      <c r="PB37" s="176"/>
      <c r="PC37" s="176"/>
      <c r="PD37" s="176"/>
      <c r="PE37" s="176"/>
      <c r="PF37" s="176"/>
      <c r="PG37" s="176"/>
      <c r="PH37" s="176"/>
      <c r="PI37" s="176"/>
      <c r="PJ37" s="176"/>
      <c r="PK37" s="176"/>
      <c r="PL37" s="176"/>
      <c r="PM37" s="176"/>
      <c r="PN37" s="176"/>
      <c r="PO37" s="176"/>
      <c r="PP37" s="176"/>
      <c r="PQ37" s="176"/>
      <c r="PR37" s="176"/>
      <c r="PS37" s="176"/>
      <c r="PT37" s="176"/>
      <c r="PU37" s="176"/>
      <c r="PV37" s="176"/>
      <c r="PW37" s="176"/>
      <c r="PX37" s="176"/>
      <c r="PY37" s="176"/>
      <c r="PZ37" s="176"/>
      <c r="QA37" s="176"/>
      <c r="QB37" s="176"/>
      <c r="QC37" s="176"/>
      <c r="QD37" s="176"/>
      <c r="QE37" s="176"/>
      <c r="QF37" s="176"/>
      <c r="QG37" s="176"/>
      <c r="QH37" s="176"/>
      <c r="QI37" s="176"/>
      <c r="QJ37" s="176"/>
      <c r="QK37" s="176"/>
      <c r="QL37" s="176"/>
      <c r="QM37" s="176"/>
      <c r="QN37" s="176"/>
      <c r="QO37" s="176"/>
      <c r="QP37" s="176"/>
      <c r="QQ37" s="176"/>
      <c r="QR37" s="176"/>
      <c r="QS37" s="176"/>
      <c r="QT37" s="176"/>
      <c r="QU37" s="176"/>
      <c r="QV37" s="176"/>
      <c r="QW37" s="176"/>
      <c r="QX37" s="176"/>
      <c r="QY37" s="176"/>
      <c r="QZ37" s="176"/>
      <c r="RA37" s="176"/>
      <c r="RB37" s="176"/>
      <c r="RC37" s="176"/>
      <c r="RD37" s="176"/>
      <c r="RE37" s="176"/>
      <c r="RF37" s="176"/>
      <c r="RG37" s="176"/>
      <c r="RH37" s="176"/>
      <c r="RI37" s="176"/>
      <c r="RJ37" s="176"/>
      <c r="RK37" s="176"/>
      <c r="RL37" s="176"/>
      <c r="RM37" s="176"/>
      <c r="RN37" s="176"/>
      <c r="RO37" s="176"/>
      <c r="RP37" s="176"/>
      <c r="RQ37" s="176"/>
      <c r="RR37" s="176"/>
      <c r="RS37" s="176"/>
      <c r="RT37" s="176"/>
      <c r="RU37" s="176"/>
      <c r="RV37" s="176"/>
      <c r="RW37" s="176"/>
      <c r="RX37" s="176"/>
      <c r="RY37" s="176"/>
      <c r="RZ37" s="176"/>
      <c r="SA37" s="176"/>
      <c r="SB37" s="176"/>
      <c r="SC37" s="176"/>
      <c r="SD37" s="176"/>
      <c r="SE37" s="176"/>
      <c r="SF37" s="176"/>
      <c r="SG37" s="176"/>
      <c r="SH37" s="176"/>
      <c r="SI37" s="176"/>
      <c r="SJ37" s="176"/>
      <c r="SK37" s="176"/>
      <c r="SL37" s="176"/>
      <c r="SM37" s="176"/>
      <c r="SN37" s="176"/>
      <c r="SO37" s="176"/>
      <c r="SP37" s="176"/>
      <c r="SQ37" s="176"/>
      <c r="SR37" s="176"/>
      <c r="SS37" s="176"/>
      <c r="ST37" s="176"/>
      <c r="SU37" s="176"/>
      <c r="SV37" s="176"/>
      <c r="SW37" s="176"/>
      <c r="SX37" s="176"/>
      <c r="SY37" s="176"/>
      <c r="SZ37" s="176"/>
      <c r="TA37" s="176"/>
      <c r="TB37" s="176"/>
      <c r="TC37" s="176"/>
      <c r="TD37" s="176"/>
      <c r="TE37" s="176"/>
      <c r="TF37" s="176"/>
      <c r="TG37" s="176"/>
      <c r="TH37" s="176"/>
      <c r="TI37" s="176"/>
      <c r="TJ37" s="176"/>
      <c r="TK37" s="176"/>
      <c r="TL37" s="176"/>
      <c r="TM37" s="176"/>
      <c r="TN37" s="176"/>
      <c r="TO37" s="176"/>
      <c r="TP37" s="176"/>
      <c r="TQ37" s="176"/>
      <c r="TR37" s="176"/>
      <c r="TS37" s="176"/>
      <c r="TT37" s="176"/>
      <c r="TU37" s="176"/>
      <c r="TV37" s="176"/>
      <c r="TW37" s="176"/>
      <c r="TX37" s="176"/>
      <c r="TY37" s="176"/>
      <c r="TZ37" s="176"/>
      <c r="UA37" s="176"/>
      <c r="UB37" s="176"/>
      <c r="UC37" s="176"/>
      <c r="UD37" s="176"/>
      <c r="UE37" s="176"/>
      <c r="UF37" s="176"/>
      <c r="UG37" s="176"/>
      <c r="UH37" s="176"/>
      <c r="UI37" s="176"/>
      <c r="UJ37" s="176"/>
      <c r="UK37" s="176"/>
      <c r="UL37" s="176"/>
      <c r="UM37" s="176"/>
      <c r="UN37" s="176"/>
      <c r="UO37" s="176"/>
      <c r="UP37" s="176"/>
      <c r="UQ37" s="176"/>
      <c r="UR37" s="176"/>
      <c r="US37" s="176"/>
      <c r="UT37" s="176"/>
      <c r="UU37" s="176"/>
      <c r="UV37" s="176"/>
      <c r="UW37" s="176"/>
      <c r="UX37" s="176"/>
      <c r="UY37" s="176"/>
      <c r="UZ37" s="176"/>
      <c r="VA37" s="176"/>
      <c r="VB37" s="176"/>
      <c r="VC37" s="176"/>
      <c r="VD37" s="176"/>
      <c r="VE37" s="176"/>
      <c r="VF37" s="176"/>
      <c r="VG37" s="176"/>
      <c r="VH37" s="176"/>
      <c r="VI37" s="176"/>
      <c r="VJ37" s="176"/>
      <c r="VK37" s="176"/>
      <c r="VL37" s="176"/>
      <c r="VM37" s="176"/>
      <c r="VN37" s="176"/>
      <c r="VO37" s="176"/>
      <c r="VP37" s="176"/>
      <c r="VQ37" s="176"/>
      <c r="VR37" s="176"/>
      <c r="VS37" s="176"/>
      <c r="VT37" s="176"/>
      <c r="VU37" s="176"/>
      <c r="VV37" s="176"/>
      <c r="VW37" s="176"/>
      <c r="VX37" s="176"/>
      <c r="VY37" s="176"/>
      <c r="VZ37" s="176"/>
      <c r="WA37" s="176"/>
      <c r="WB37" s="176"/>
      <c r="WC37" s="176"/>
      <c r="WD37" s="176"/>
      <c r="WE37" s="176"/>
      <c r="WF37" s="176"/>
      <c r="WG37" s="176"/>
      <c r="WH37" s="176"/>
      <c r="WI37" s="176"/>
      <c r="WJ37" s="176"/>
      <c r="WK37" s="176"/>
      <c r="WL37" s="176"/>
      <c r="WM37" s="176"/>
      <c r="WN37" s="176"/>
      <c r="WO37" s="176"/>
      <c r="WP37" s="176"/>
      <c r="WQ37" s="176"/>
      <c r="WR37" s="176"/>
      <c r="WS37" s="176"/>
      <c r="WT37" s="176"/>
      <c r="WU37" s="176"/>
      <c r="WV37" s="176"/>
      <c r="WW37" s="176"/>
      <c r="WX37" s="176"/>
      <c r="WY37" s="176"/>
      <c r="WZ37" s="176"/>
      <c r="XA37" s="176"/>
      <c r="XB37" s="176"/>
      <c r="XC37" s="176"/>
      <c r="XD37" s="176"/>
      <c r="XE37" s="176"/>
      <c r="XF37" s="176"/>
      <c r="XG37" s="176"/>
      <c r="XH37" s="176"/>
      <c r="XI37" s="176"/>
      <c r="XJ37" s="176"/>
      <c r="XK37" s="176"/>
      <c r="XL37" s="176"/>
      <c r="XM37" s="176"/>
      <c r="XN37" s="176"/>
      <c r="XO37" s="176"/>
      <c r="XP37" s="176"/>
      <c r="XQ37" s="176"/>
      <c r="XR37" s="176"/>
      <c r="XS37" s="176"/>
      <c r="XT37" s="176"/>
      <c r="XU37" s="176"/>
      <c r="XV37" s="176"/>
      <c r="XW37" s="176"/>
    </row>
    <row r="38" spans="1:647" ht="14.25" customHeight="1">
      <c r="A38" s="88"/>
      <c r="B38" s="89"/>
      <c r="C38" s="92"/>
      <c r="D38" s="92"/>
      <c r="E38" s="94"/>
      <c r="F38" s="92"/>
      <c r="G38" s="92"/>
      <c r="H38" s="92"/>
      <c r="I38" s="276"/>
      <c r="J38" s="280"/>
      <c r="K38" s="285"/>
      <c r="L38" s="347"/>
      <c r="M38" s="159"/>
      <c r="N38" s="159"/>
      <c r="O38" s="159"/>
      <c r="P38" s="159"/>
      <c r="Q38" s="175"/>
      <c r="R38" s="91"/>
      <c r="S38" s="156"/>
      <c r="T38" s="92"/>
      <c r="U38" s="95"/>
      <c r="V38" s="92"/>
      <c r="W38" s="92"/>
      <c r="X38" s="92"/>
      <c r="Y38" s="169"/>
      <c r="Z38" s="169"/>
      <c r="AA38" s="162"/>
      <c r="AB38" s="85"/>
    </row>
    <row r="39" spans="1:647" ht="14.25" customHeight="1">
      <c r="A39" s="88"/>
      <c r="B39" s="89"/>
      <c r="C39" s="92"/>
      <c r="D39" s="92"/>
      <c r="E39" s="94"/>
      <c r="F39" s="92"/>
      <c r="G39" s="92"/>
      <c r="H39" s="92"/>
      <c r="I39" s="276"/>
      <c r="J39" s="280"/>
      <c r="K39" s="285"/>
      <c r="L39" s="347"/>
      <c r="M39" s="159"/>
      <c r="N39" s="159"/>
      <c r="O39" s="159"/>
      <c r="P39" s="159"/>
      <c r="Q39" s="175"/>
      <c r="R39" s="91"/>
      <c r="S39" s="156"/>
      <c r="T39" s="92"/>
      <c r="U39" s="95"/>
      <c r="V39" s="92"/>
      <c r="W39" s="92"/>
      <c r="X39" s="92"/>
      <c r="Y39" s="169"/>
      <c r="Z39" s="169"/>
      <c r="AA39" s="162"/>
      <c r="AB39" s="85"/>
    </row>
    <row r="40" spans="1:647" ht="14.25" customHeight="1">
      <c r="A40" s="88"/>
      <c r="B40" s="89"/>
      <c r="C40" s="92"/>
      <c r="D40" s="92"/>
      <c r="E40" s="94"/>
      <c r="F40" s="92"/>
      <c r="G40" s="92"/>
      <c r="H40" s="92"/>
      <c r="I40" s="276"/>
      <c r="J40" s="280"/>
      <c r="K40" s="285"/>
      <c r="L40" s="347"/>
      <c r="M40" s="159"/>
      <c r="N40" s="159"/>
      <c r="O40" s="159"/>
      <c r="P40" s="159"/>
      <c r="Q40" s="175"/>
      <c r="R40" s="91"/>
      <c r="S40" s="156"/>
      <c r="T40" s="92"/>
      <c r="U40" s="95"/>
      <c r="V40" s="92"/>
      <c r="W40" s="92"/>
      <c r="X40" s="92"/>
      <c r="Y40" s="169"/>
      <c r="Z40" s="169"/>
      <c r="AA40" s="162"/>
      <c r="AB40" s="85"/>
    </row>
    <row r="41" spans="1:647" ht="14.25" customHeight="1">
      <c r="A41" s="88"/>
      <c r="B41" s="89"/>
      <c r="C41" s="92"/>
      <c r="D41" s="92"/>
      <c r="E41" s="94"/>
      <c r="F41" s="92"/>
      <c r="G41" s="92"/>
      <c r="H41" s="92"/>
      <c r="I41" s="276"/>
      <c r="J41" s="280"/>
      <c r="K41" s="285"/>
      <c r="L41" s="347"/>
      <c r="M41" s="159"/>
      <c r="N41" s="159"/>
      <c r="O41" s="159"/>
      <c r="P41" s="159"/>
      <c r="Q41" s="175"/>
      <c r="R41" s="91"/>
      <c r="S41" s="156"/>
      <c r="T41" s="92"/>
      <c r="U41" s="95"/>
      <c r="V41" s="92"/>
      <c r="W41" s="92"/>
      <c r="X41" s="92"/>
      <c r="Y41" s="169"/>
      <c r="Z41" s="169"/>
      <c r="AA41" s="162"/>
      <c r="AB41" s="85"/>
    </row>
    <row r="42" spans="1:647" ht="14.25" customHeight="1">
      <c r="A42" s="88"/>
      <c r="B42" s="89"/>
      <c r="C42" s="92"/>
      <c r="D42" s="92"/>
      <c r="E42" s="94"/>
      <c r="F42" s="92"/>
      <c r="G42" s="92"/>
      <c r="H42" s="92"/>
      <c r="I42" s="276"/>
      <c r="J42" s="280"/>
      <c r="K42" s="285"/>
      <c r="L42" s="347"/>
      <c r="M42" s="159"/>
      <c r="N42" s="159"/>
      <c r="O42" s="159"/>
      <c r="P42" s="159"/>
      <c r="Q42" s="175"/>
      <c r="R42" s="91"/>
      <c r="S42" s="156"/>
      <c r="T42" s="92"/>
      <c r="U42" s="95"/>
      <c r="V42" s="92"/>
      <c r="W42" s="92"/>
      <c r="X42" s="92"/>
      <c r="Y42" s="169"/>
      <c r="Z42" s="169"/>
      <c r="AA42" s="162"/>
      <c r="AB42" s="85"/>
    </row>
    <row r="43" spans="1:647" ht="14.25" customHeight="1">
      <c r="A43" s="88"/>
      <c r="B43" s="89"/>
      <c r="C43" s="92"/>
      <c r="D43" s="92"/>
      <c r="E43" s="94"/>
      <c r="F43" s="92"/>
      <c r="G43" s="92"/>
      <c r="H43" s="92"/>
      <c r="I43" s="276"/>
      <c r="J43" s="280"/>
      <c r="K43" s="285"/>
      <c r="L43" s="347"/>
      <c r="M43" s="159"/>
      <c r="N43" s="159"/>
      <c r="O43" s="159"/>
      <c r="P43" s="159"/>
      <c r="Q43" s="175"/>
      <c r="R43" s="91"/>
      <c r="S43" s="156"/>
      <c r="T43" s="92"/>
      <c r="U43" s="95"/>
      <c r="V43" s="92"/>
      <c r="W43" s="92"/>
      <c r="X43" s="92"/>
      <c r="Y43" s="169"/>
      <c r="Z43" s="169"/>
      <c r="AA43" s="162"/>
      <c r="AB43" s="85"/>
    </row>
    <row r="44" spans="1:647" ht="14.25" customHeight="1">
      <c r="A44" s="88"/>
      <c r="B44" s="89"/>
      <c r="C44" s="92"/>
      <c r="D44" s="92"/>
      <c r="E44" s="94"/>
      <c r="F44" s="92"/>
      <c r="G44" s="92"/>
      <c r="H44" s="92"/>
      <c r="I44" s="277"/>
      <c r="J44" s="281"/>
      <c r="K44" s="286"/>
      <c r="L44" s="346"/>
      <c r="M44" s="159"/>
      <c r="N44" s="159"/>
      <c r="O44" s="159"/>
      <c r="P44" s="159"/>
      <c r="Q44" s="175"/>
      <c r="R44" s="91"/>
      <c r="S44" s="156"/>
      <c r="T44" s="92"/>
      <c r="U44" s="95"/>
      <c r="V44" s="92"/>
      <c r="W44" s="92"/>
      <c r="X44" s="92"/>
      <c r="Y44" s="169"/>
      <c r="Z44" s="169"/>
      <c r="AA44" s="162"/>
      <c r="AB44" s="85"/>
    </row>
    <row r="45" spans="1:647" ht="13.95" customHeight="1">
      <c r="A45" s="88"/>
      <c r="B45" s="89"/>
      <c r="C45" s="92"/>
      <c r="D45" s="92"/>
      <c r="E45" s="94"/>
      <c r="F45" s="92"/>
      <c r="G45" s="92"/>
      <c r="H45" s="92"/>
      <c r="I45" s="277"/>
      <c r="J45" s="281"/>
      <c r="K45" s="286"/>
      <c r="L45" s="346"/>
      <c r="M45" s="159"/>
      <c r="N45" s="159"/>
      <c r="O45" s="159"/>
      <c r="P45" s="159"/>
      <c r="Q45" s="175"/>
      <c r="R45" s="91"/>
      <c r="S45" s="156"/>
      <c r="T45" s="92"/>
      <c r="U45" s="95"/>
      <c r="V45" s="92"/>
      <c r="W45" s="92"/>
      <c r="X45" s="92"/>
      <c r="Y45" s="169"/>
      <c r="Z45" s="169"/>
      <c r="AA45" s="162"/>
      <c r="AB45" s="85"/>
    </row>
    <row r="46" spans="1:647" ht="14.25" customHeight="1">
      <c r="A46" s="88"/>
      <c r="B46" s="89"/>
      <c r="C46" s="92"/>
      <c r="D46" s="92"/>
      <c r="E46" s="94"/>
      <c r="F46" s="92"/>
      <c r="G46" s="92"/>
      <c r="H46" s="92"/>
      <c r="I46" s="277"/>
      <c r="J46" s="281"/>
      <c r="K46" s="286"/>
      <c r="L46" s="346"/>
      <c r="M46" s="159"/>
      <c r="N46" s="159"/>
      <c r="O46" s="159"/>
      <c r="P46" s="159"/>
      <c r="Q46" s="175"/>
      <c r="R46" s="91"/>
      <c r="S46" s="156"/>
      <c r="T46" s="92"/>
      <c r="U46" s="95"/>
      <c r="V46" s="92"/>
      <c r="W46" s="92"/>
      <c r="X46" s="92"/>
      <c r="Y46" s="169"/>
      <c r="Z46" s="169"/>
      <c r="AA46" s="162"/>
      <c r="AB46" s="85"/>
    </row>
    <row r="47" spans="1:647" ht="14.25" customHeight="1">
      <c r="A47" s="88"/>
      <c r="B47" s="89"/>
      <c r="C47" s="92"/>
      <c r="D47" s="92"/>
      <c r="E47" s="94"/>
      <c r="F47" s="92"/>
      <c r="G47" s="92"/>
      <c r="H47" s="92"/>
      <c r="I47" s="277"/>
      <c r="J47" s="281"/>
      <c r="K47" s="286"/>
      <c r="L47" s="347"/>
      <c r="M47" s="159"/>
      <c r="N47" s="159"/>
      <c r="O47" s="159"/>
      <c r="P47" s="159"/>
      <c r="Q47" s="175"/>
      <c r="R47" s="91"/>
      <c r="S47" s="156"/>
      <c r="T47" s="92"/>
      <c r="U47" s="95"/>
      <c r="V47" s="92"/>
      <c r="W47" s="92"/>
      <c r="X47" s="92"/>
      <c r="Y47" s="169"/>
      <c r="Z47" s="169"/>
      <c r="AA47" s="162"/>
      <c r="AB47" s="85"/>
    </row>
    <row r="48" spans="1:647" ht="14.25" customHeight="1">
      <c r="A48" s="88"/>
      <c r="B48" s="89"/>
      <c r="C48" s="92"/>
      <c r="D48" s="92"/>
      <c r="E48" s="94"/>
      <c r="F48" s="92"/>
      <c r="G48" s="92"/>
      <c r="H48" s="92"/>
      <c r="I48" s="277"/>
      <c r="J48" s="281"/>
      <c r="K48" s="286"/>
      <c r="L48" s="347"/>
      <c r="M48" s="159"/>
      <c r="N48" s="159"/>
      <c r="O48" s="159"/>
      <c r="P48" s="159"/>
      <c r="Q48" s="175"/>
      <c r="R48" s="91"/>
      <c r="S48" s="156"/>
      <c r="T48" s="92"/>
      <c r="U48" s="95"/>
      <c r="V48" s="92"/>
      <c r="W48" s="92"/>
      <c r="X48" s="92"/>
      <c r="Y48" s="169"/>
      <c r="Z48" s="169"/>
      <c r="AA48" s="162"/>
      <c r="AB48" s="85"/>
    </row>
    <row r="49" spans="1:647" ht="14.25" customHeight="1">
      <c r="A49" s="88"/>
      <c r="B49" s="89"/>
      <c r="C49" s="92"/>
      <c r="D49" s="92"/>
      <c r="E49" s="94"/>
      <c r="F49" s="92"/>
      <c r="G49" s="92"/>
      <c r="H49" s="92"/>
      <c r="I49" s="277"/>
      <c r="J49" s="281"/>
      <c r="K49" s="286"/>
      <c r="L49" s="347"/>
      <c r="M49" s="159"/>
      <c r="N49" s="159"/>
      <c r="O49" s="159"/>
      <c r="P49" s="159"/>
      <c r="Q49" s="175"/>
      <c r="R49" s="91"/>
      <c r="S49" s="156"/>
      <c r="T49" s="92"/>
      <c r="U49" s="95"/>
      <c r="V49" s="92"/>
      <c r="W49" s="92"/>
      <c r="X49" s="92"/>
      <c r="Y49" s="169"/>
      <c r="Z49" s="169"/>
      <c r="AA49" s="162"/>
      <c r="AB49" s="85"/>
    </row>
    <row r="50" spans="1:647" ht="14.25" customHeight="1">
      <c r="A50" s="88"/>
      <c r="B50" s="89"/>
      <c r="C50" s="92"/>
      <c r="D50" s="92"/>
      <c r="E50" s="94"/>
      <c r="F50" s="92"/>
      <c r="G50" s="92"/>
      <c r="H50" s="92"/>
      <c r="I50" s="277"/>
      <c r="J50" s="281"/>
      <c r="K50" s="286"/>
      <c r="L50" s="347"/>
      <c r="M50" s="159"/>
      <c r="N50" s="159"/>
      <c r="O50" s="159"/>
      <c r="P50" s="159"/>
      <c r="Q50" s="175"/>
      <c r="R50" s="91"/>
      <c r="S50" s="156"/>
      <c r="T50" s="92"/>
      <c r="U50" s="95"/>
      <c r="V50" s="92"/>
      <c r="W50" s="92"/>
      <c r="X50" s="92"/>
      <c r="Y50" s="169"/>
      <c r="Z50" s="169"/>
      <c r="AA50" s="162"/>
      <c r="AB50" s="85"/>
    </row>
    <row r="51" spans="1:647" ht="14.25" customHeight="1">
      <c r="A51" s="88"/>
      <c r="B51" s="89"/>
      <c r="C51" s="92"/>
      <c r="D51" s="92"/>
      <c r="E51" s="94"/>
      <c r="F51" s="92"/>
      <c r="G51" s="92"/>
      <c r="H51" s="92"/>
      <c r="I51" s="277"/>
      <c r="J51" s="281"/>
      <c r="K51" s="286"/>
      <c r="L51" s="347"/>
      <c r="M51" s="159"/>
      <c r="N51" s="159"/>
      <c r="O51" s="159"/>
      <c r="P51" s="159"/>
      <c r="Q51" s="175"/>
      <c r="R51" s="91"/>
      <c r="S51" s="156"/>
      <c r="T51" s="92"/>
      <c r="U51" s="95"/>
      <c r="V51" s="92"/>
      <c r="W51" s="92"/>
      <c r="X51" s="92"/>
      <c r="Y51" s="169"/>
      <c r="Z51" s="169"/>
      <c r="AA51" s="162"/>
      <c r="AB51" s="85"/>
    </row>
    <row r="52" spans="1:647" ht="14.25" customHeight="1">
      <c r="A52" s="88"/>
      <c r="B52" s="89"/>
      <c r="C52" s="92"/>
      <c r="D52" s="92"/>
      <c r="E52" s="94"/>
      <c r="F52" s="92"/>
      <c r="G52" s="92"/>
      <c r="H52" s="92"/>
      <c r="I52" s="277"/>
      <c r="J52" s="281"/>
      <c r="K52" s="286"/>
      <c r="L52" s="347"/>
      <c r="M52" s="159"/>
      <c r="N52" s="159"/>
      <c r="O52" s="159"/>
      <c r="P52" s="159"/>
      <c r="Q52" s="175"/>
      <c r="R52" s="91"/>
      <c r="S52" s="156"/>
      <c r="T52" s="92"/>
      <c r="U52" s="95"/>
      <c r="V52" s="92"/>
      <c r="W52" s="92"/>
      <c r="X52" s="92"/>
      <c r="Y52" s="169"/>
      <c r="Z52" s="169"/>
      <c r="AA52" s="162"/>
      <c r="AB52" s="85"/>
    </row>
    <row r="53" spans="1:647" ht="14.25" customHeight="1">
      <c r="A53" s="88"/>
      <c r="B53" s="89"/>
      <c r="C53" s="92"/>
      <c r="D53" s="92"/>
      <c r="E53" s="94"/>
      <c r="F53" s="92"/>
      <c r="G53" s="92"/>
      <c r="H53" s="92"/>
      <c r="I53" s="278"/>
      <c r="J53" s="281"/>
      <c r="K53" s="287"/>
      <c r="L53" s="346"/>
      <c r="M53" s="159"/>
      <c r="N53" s="159"/>
      <c r="O53" s="159"/>
      <c r="P53" s="159"/>
      <c r="Q53" s="175"/>
      <c r="R53" s="91"/>
      <c r="S53" s="156"/>
      <c r="T53" s="92"/>
      <c r="U53" s="95"/>
      <c r="V53" s="92"/>
      <c r="W53" s="92"/>
      <c r="X53" s="92"/>
      <c r="Y53" s="169"/>
      <c r="Z53" s="169"/>
      <c r="AA53" s="162"/>
      <c r="AB53" s="85"/>
    </row>
    <row r="54" spans="1:647" ht="14.25" customHeight="1">
      <c r="A54" s="88"/>
      <c r="B54" s="89"/>
      <c r="C54" s="92"/>
      <c r="D54" s="92"/>
      <c r="E54" s="94"/>
      <c r="F54" s="92"/>
      <c r="G54" s="92"/>
      <c r="H54" s="92"/>
      <c r="I54" s="278"/>
      <c r="J54" s="281"/>
      <c r="K54" s="287"/>
      <c r="L54" s="346"/>
      <c r="M54" s="159"/>
      <c r="N54" s="159"/>
      <c r="O54" s="159"/>
      <c r="P54" s="159"/>
      <c r="Q54" s="175"/>
      <c r="R54" s="91"/>
      <c r="S54" s="156"/>
      <c r="T54" s="92"/>
      <c r="U54" s="95"/>
      <c r="V54" s="92"/>
      <c r="W54" s="92"/>
      <c r="X54" s="92"/>
      <c r="Y54" s="169"/>
      <c r="Z54" s="169"/>
      <c r="AA54" s="162"/>
      <c r="AB54" s="85"/>
    </row>
    <row r="55" spans="1:647" ht="14.25" customHeight="1">
      <c r="A55" s="88"/>
      <c r="B55" s="89"/>
      <c r="C55" s="92"/>
      <c r="D55" s="92"/>
      <c r="E55" s="94"/>
      <c r="F55" s="92"/>
      <c r="G55" s="92"/>
      <c r="H55" s="92"/>
      <c r="I55" s="278"/>
      <c r="J55" s="281"/>
      <c r="K55" s="287"/>
      <c r="L55" s="346"/>
      <c r="M55" s="159"/>
      <c r="N55" s="159"/>
      <c r="O55" s="159"/>
      <c r="P55" s="159"/>
      <c r="Q55" s="175"/>
      <c r="R55" s="91"/>
      <c r="S55" s="156"/>
      <c r="T55" s="92"/>
      <c r="U55" s="95"/>
      <c r="V55" s="92"/>
      <c r="W55" s="92"/>
      <c r="X55" s="92"/>
      <c r="Y55" s="169"/>
      <c r="Z55" s="169"/>
      <c r="AA55" s="162"/>
      <c r="AB55" s="85"/>
    </row>
    <row r="56" spans="1:647" ht="14.25" customHeight="1">
      <c r="A56" s="88"/>
      <c r="B56" s="89"/>
      <c r="C56" s="92"/>
      <c r="D56" s="92"/>
      <c r="E56" s="94"/>
      <c r="F56" s="92"/>
      <c r="G56" s="92"/>
      <c r="H56" s="92"/>
      <c r="I56" s="278"/>
      <c r="J56" s="281"/>
      <c r="K56" s="287"/>
      <c r="L56" s="347"/>
      <c r="M56" s="159"/>
      <c r="N56" s="159"/>
      <c r="O56" s="159"/>
      <c r="P56" s="159"/>
      <c r="Q56" s="175"/>
      <c r="R56" s="91"/>
      <c r="S56" s="156"/>
      <c r="T56" s="92"/>
      <c r="U56" s="95"/>
      <c r="V56" s="92"/>
      <c r="W56" s="92"/>
      <c r="X56" s="92"/>
      <c r="Y56" s="169"/>
      <c r="Z56" s="169"/>
      <c r="AA56" s="162"/>
      <c r="AB56" s="85"/>
    </row>
    <row r="57" spans="1:647" ht="14.25" customHeight="1">
      <c r="A57" s="88"/>
      <c r="B57" s="89"/>
      <c r="C57" s="92"/>
      <c r="D57" s="92"/>
      <c r="E57" s="94"/>
      <c r="F57" s="92"/>
      <c r="G57" s="92"/>
      <c r="H57" s="92"/>
      <c r="I57" s="278"/>
      <c r="J57" s="281"/>
      <c r="K57" s="287"/>
      <c r="L57" s="347"/>
      <c r="M57" s="159"/>
      <c r="N57" s="159"/>
      <c r="O57" s="159"/>
      <c r="P57" s="159"/>
      <c r="Q57" s="175"/>
      <c r="R57" s="91"/>
      <c r="S57" s="156"/>
      <c r="T57" s="92"/>
      <c r="U57" s="95"/>
      <c r="V57" s="92"/>
      <c r="W57" s="92"/>
      <c r="X57" s="92"/>
      <c r="Y57" s="169"/>
      <c r="Z57" s="169"/>
      <c r="AA57" s="162"/>
      <c r="AB57" s="85"/>
    </row>
    <row r="58" spans="1:647" ht="14.25" customHeight="1">
      <c r="A58" s="88"/>
      <c r="B58" s="89"/>
      <c r="C58" s="92"/>
      <c r="D58" s="92"/>
      <c r="E58" s="94"/>
      <c r="F58" s="92"/>
      <c r="G58" s="92"/>
      <c r="H58" s="92"/>
      <c r="I58" s="278"/>
      <c r="J58" s="281"/>
      <c r="K58" s="287"/>
      <c r="L58" s="347"/>
      <c r="M58" s="159"/>
      <c r="N58" s="159"/>
      <c r="O58" s="159"/>
      <c r="P58" s="159"/>
      <c r="Q58" s="175"/>
      <c r="R58" s="91"/>
      <c r="S58" s="156"/>
      <c r="T58" s="92"/>
      <c r="U58" s="95"/>
      <c r="V58" s="92"/>
      <c r="W58" s="92"/>
      <c r="X58" s="92"/>
      <c r="Y58" s="169"/>
      <c r="Z58" s="169"/>
      <c r="AA58" s="162"/>
      <c r="AB58" s="85"/>
    </row>
    <row r="59" spans="1:647" ht="14.25" customHeight="1">
      <c r="A59" s="88"/>
      <c r="B59" s="89"/>
      <c r="C59" s="92"/>
      <c r="D59" s="92"/>
      <c r="E59" s="94"/>
      <c r="F59" s="92"/>
      <c r="G59" s="92"/>
      <c r="H59" s="92"/>
      <c r="I59" s="278"/>
      <c r="J59" s="281"/>
      <c r="K59" s="287"/>
      <c r="L59" s="347"/>
      <c r="M59" s="159"/>
      <c r="N59" s="159"/>
      <c r="O59" s="159"/>
      <c r="P59" s="159"/>
      <c r="Q59" s="175"/>
      <c r="R59" s="91"/>
      <c r="S59" s="156"/>
      <c r="T59" s="92"/>
      <c r="U59" s="95"/>
      <c r="V59" s="92"/>
      <c r="W59" s="92"/>
      <c r="X59" s="92"/>
      <c r="Y59" s="169"/>
      <c r="Z59" s="169"/>
      <c r="AA59" s="162"/>
      <c r="AB59" s="85"/>
    </row>
    <row r="60" spans="1:647" ht="14.25" customHeight="1">
      <c r="A60" s="88"/>
      <c r="B60" s="89"/>
      <c r="C60" s="92"/>
      <c r="D60" s="92"/>
      <c r="E60" s="94"/>
      <c r="F60" s="92"/>
      <c r="G60" s="92"/>
      <c r="H60" s="92"/>
      <c r="I60" s="278"/>
      <c r="J60" s="281"/>
      <c r="K60" s="287"/>
      <c r="L60" s="347"/>
      <c r="M60" s="159"/>
      <c r="N60" s="159"/>
      <c r="O60" s="159"/>
      <c r="P60" s="159"/>
      <c r="Q60" s="175"/>
      <c r="R60" s="91"/>
      <c r="S60" s="156"/>
      <c r="T60" s="92"/>
      <c r="U60" s="95"/>
      <c r="V60" s="92"/>
      <c r="W60" s="92"/>
      <c r="X60" s="92"/>
      <c r="Y60" s="169"/>
      <c r="Z60" s="169"/>
      <c r="AA60" s="162"/>
      <c r="AB60" s="85"/>
    </row>
    <row r="61" spans="1:647" s="237" customFormat="1" ht="14.25" customHeight="1" thickBot="1">
      <c r="A61" s="229"/>
      <c r="B61" s="230"/>
      <c r="C61" s="231"/>
      <c r="D61" s="231"/>
      <c r="E61" s="232"/>
      <c r="F61" s="231"/>
      <c r="G61" s="231"/>
      <c r="H61" s="231"/>
      <c r="I61" s="323"/>
      <c r="J61" s="324"/>
      <c r="K61" s="325"/>
      <c r="L61" s="348"/>
      <c r="M61" s="327"/>
      <c r="N61" s="327"/>
      <c r="O61" s="327"/>
      <c r="P61" s="327"/>
      <c r="Q61" s="328"/>
      <c r="R61" s="234"/>
      <c r="S61" s="329"/>
      <c r="T61" s="231"/>
      <c r="U61" s="233"/>
      <c r="V61" s="231"/>
      <c r="W61" s="231"/>
      <c r="X61" s="231"/>
      <c r="Y61" s="330"/>
      <c r="Z61" s="330"/>
      <c r="AA61" s="331"/>
      <c r="AB61" s="236"/>
      <c r="AC61" s="235"/>
      <c r="AD61" s="235"/>
      <c r="AE61" s="235"/>
      <c r="AF61" s="235"/>
      <c r="AG61" s="235"/>
      <c r="AH61" s="235"/>
      <c r="AI61" s="235"/>
      <c r="AJ61" s="235"/>
      <c r="AK61" s="235"/>
      <c r="AL61" s="235"/>
      <c r="AM61" s="235"/>
      <c r="AN61" s="235"/>
      <c r="AO61" s="235"/>
      <c r="AP61" s="235"/>
      <c r="AQ61" s="235"/>
      <c r="AR61" s="235"/>
      <c r="AS61" s="235"/>
      <c r="AT61" s="235"/>
      <c r="AU61" s="235"/>
      <c r="AV61" s="235"/>
      <c r="AW61" s="235"/>
      <c r="AX61" s="235"/>
      <c r="AY61" s="235"/>
      <c r="AZ61" s="235"/>
      <c r="BA61" s="235"/>
      <c r="BB61" s="235"/>
      <c r="BC61" s="235"/>
      <c r="BD61" s="235"/>
      <c r="BE61" s="235"/>
      <c r="BF61" s="235"/>
      <c r="BG61" s="235"/>
      <c r="BH61" s="235"/>
      <c r="BI61" s="235"/>
      <c r="BJ61" s="235"/>
      <c r="BK61" s="235"/>
      <c r="BL61" s="235"/>
      <c r="BM61" s="235"/>
      <c r="BN61" s="235"/>
      <c r="BO61" s="235"/>
      <c r="BP61" s="235"/>
      <c r="BQ61" s="235"/>
      <c r="BR61" s="235"/>
      <c r="BS61" s="235"/>
      <c r="BT61" s="235"/>
      <c r="BU61" s="235"/>
      <c r="BV61" s="235"/>
      <c r="BW61" s="235"/>
      <c r="BX61" s="235"/>
      <c r="BY61" s="235"/>
      <c r="BZ61" s="235"/>
      <c r="CA61" s="235"/>
      <c r="CB61" s="235"/>
      <c r="CC61" s="235"/>
      <c r="CD61" s="235"/>
      <c r="CE61" s="235"/>
      <c r="CF61" s="235"/>
      <c r="CG61" s="235"/>
      <c r="CH61" s="235"/>
      <c r="CI61" s="235"/>
      <c r="CJ61" s="235"/>
      <c r="CK61" s="235"/>
      <c r="CL61" s="235"/>
      <c r="CM61" s="235"/>
      <c r="CN61" s="235"/>
      <c r="CO61" s="235"/>
      <c r="CP61" s="235"/>
      <c r="CQ61" s="235"/>
      <c r="CR61" s="235"/>
      <c r="CS61" s="235"/>
      <c r="CT61" s="235"/>
      <c r="CU61" s="235"/>
      <c r="CV61" s="235"/>
      <c r="CW61" s="235"/>
      <c r="CX61" s="235"/>
      <c r="CY61" s="235"/>
      <c r="CZ61" s="235"/>
      <c r="DA61" s="235"/>
      <c r="DB61" s="235"/>
      <c r="DC61" s="235"/>
      <c r="DD61" s="235"/>
      <c r="DE61" s="235"/>
      <c r="DF61" s="235"/>
      <c r="DG61" s="235"/>
      <c r="DH61" s="235"/>
      <c r="DI61" s="235"/>
      <c r="DJ61" s="235"/>
      <c r="DK61" s="235"/>
      <c r="DL61" s="235"/>
      <c r="DM61" s="235"/>
      <c r="DN61" s="235"/>
      <c r="DO61" s="235"/>
      <c r="DP61" s="235"/>
      <c r="DQ61" s="235"/>
      <c r="DR61" s="235"/>
      <c r="DS61" s="235"/>
      <c r="DT61" s="235"/>
      <c r="DU61" s="235"/>
      <c r="DV61" s="235"/>
      <c r="DW61" s="235"/>
      <c r="DX61" s="235"/>
      <c r="DY61" s="235"/>
      <c r="DZ61" s="235"/>
      <c r="EA61" s="235"/>
      <c r="EB61" s="235"/>
      <c r="EC61" s="235"/>
      <c r="ED61" s="235"/>
      <c r="EE61" s="235"/>
      <c r="EF61" s="235"/>
      <c r="EG61" s="235"/>
      <c r="EH61" s="235"/>
      <c r="EI61" s="235"/>
      <c r="EJ61" s="235"/>
      <c r="EK61" s="235"/>
      <c r="EL61" s="235"/>
      <c r="EM61" s="235"/>
      <c r="EN61" s="235"/>
      <c r="EO61" s="235"/>
      <c r="EP61" s="235"/>
      <c r="EQ61" s="235"/>
      <c r="ER61" s="235"/>
      <c r="ES61" s="235"/>
      <c r="ET61" s="235"/>
      <c r="EU61" s="235"/>
      <c r="EV61" s="235"/>
      <c r="EW61" s="235"/>
      <c r="EX61" s="235"/>
      <c r="EY61" s="235"/>
      <c r="EZ61" s="235"/>
      <c r="FA61" s="235"/>
      <c r="FB61" s="235"/>
      <c r="FC61" s="235"/>
      <c r="FD61" s="235"/>
      <c r="FE61" s="235"/>
      <c r="FF61" s="235"/>
      <c r="FG61" s="235"/>
      <c r="FH61" s="235"/>
      <c r="FI61" s="235"/>
      <c r="FJ61" s="235"/>
      <c r="FK61" s="235"/>
      <c r="FL61" s="235"/>
      <c r="FM61" s="235"/>
      <c r="FN61" s="235"/>
      <c r="FO61" s="235"/>
      <c r="FP61" s="235"/>
      <c r="FQ61" s="235"/>
      <c r="FR61" s="235"/>
      <c r="FS61" s="235"/>
      <c r="FT61" s="235"/>
      <c r="FU61" s="235"/>
      <c r="FV61" s="235"/>
      <c r="FW61" s="235"/>
      <c r="FX61" s="235"/>
      <c r="FY61" s="235"/>
      <c r="FZ61" s="235"/>
      <c r="GA61" s="235"/>
      <c r="GB61" s="235"/>
      <c r="GC61" s="235"/>
      <c r="GD61" s="235"/>
      <c r="GE61" s="235"/>
      <c r="GF61" s="235"/>
      <c r="GG61" s="235"/>
      <c r="GH61" s="235"/>
      <c r="GI61" s="235"/>
      <c r="GJ61" s="235"/>
      <c r="GK61" s="235"/>
      <c r="GL61" s="235"/>
      <c r="GM61" s="235"/>
      <c r="GN61" s="235"/>
      <c r="GO61" s="235"/>
      <c r="GP61" s="235"/>
      <c r="GQ61" s="235"/>
      <c r="GR61" s="235"/>
      <c r="GS61" s="235"/>
      <c r="GT61" s="235"/>
      <c r="GU61" s="235"/>
      <c r="GV61" s="235"/>
      <c r="GW61" s="235"/>
      <c r="GX61" s="235"/>
      <c r="GY61" s="235"/>
      <c r="GZ61" s="235"/>
      <c r="HA61" s="235"/>
      <c r="HB61" s="235"/>
      <c r="HC61" s="235"/>
      <c r="HD61" s="235"/>
      <c r="HE61" s="235"/>
      <c r="HF61" s="235"/>
      <c r="HG61" s="235"/>
      <c r="HH61" s="235"/>
      <c r="HI61" s="235"/>
      <c r="HJ61" s="235"/>
      <c r="HK61" s="235"/>
      <c r="HL61" s="235"/>
      <c r="HM61" s="235"/>
      <c r="HN61" s="235"/>
      <c r="HO61" s="235"/>
      <c r="HP61" s="235"/>
      <c r="HQ61" s="235"/>
      <c r="HR61" s="235"/>
      <c r="HS61" s="235"/>
      <c r="HT61" s="235"/>
      <c r="HU61" s="235"/>
      <c r="HV61" s="235"/>
      <c r="HW61" s="235"/>
      <c r="HX61" s="235"/>
      <c r="HY61" s="235"/>
      <c r="HZ61" s="235"/>
      <c r="IA61" s="235"/>
      <c r="IB61" s="235"/>
      <c r="IC61" s="235"/>
      <c r="ID61" s="235"/>
      <c r="IE61" s="235"/>
      <c r="IF61" s="235"/>
      <c r="IG61" s="235"/>
      <c r="IH61" s="235"/>
      <c r="II61" s="235"/>
      <c r="IJ61" s="235"/>
      <c r="IK61" s="235"/>
      <c r="IL61" s="235"/>
      <c r="IM61" s="235"/>
      <c r="IN61" s="235"/>
      <c r="IO61" s="235"/>
      <c r="IP61" s="235"/>
      <c r="IQ61" s="235"/>
      <c r="IR61" s="235"/>
      <c r="IS61" s="235"/>
      <c r="IT61" s="235"/>
      <c r="IU61" s="235"/>
      <c r="IV61" s="235"/>
      <c r="IW61" s="235"/>
      <c r="IX61" s="235"/>
      <c r="IY61" s="235"/>
      <c r="IZ61" s="235"/>
      <c r="JA61" s="235"/>
      <c r="JB61" s="235"/>
      <c r="JC61" s="235"/>
      <c r="JD61" s="235"/>
      <c r="JE61" s="235"/>
      <c r="JF61" s="235"/>
      <c r="JG61" s="235"/>
      <c r="JH61" s="235"/>
      <c r="JI61" s="235"/>
      <c r="JJ61" s="235"/>
      <c r="JK61" s="235"/>
      <c r="JL61" s="235"/>
      <c r="JM61" s="235"/>
      <c r="JN61" s="235"/>
      <c r="JO61" s="235"/>
      <c r="JP61" s="235"/>
      <c r="JQ61" s="235"/>
      <c r="JR61" s="235"/>
      <c r="JS61" s="235"/>
      <c r="JT61" s="235"/>
      <c r="JU61" s="235"/>
      <c r="JV61" s="235"/>
      <c r="JW61" s="235"/>
      <c r="JX61" s="235"/>
      <c r="JY61" s="235"/>
      <c r="JZ61" s="235"/>
      <c r="KA61" s="235"/>
      <c r="KB61" s="235"/>
      <c r="KC61" s="235"/>
      <c r="KD61" s="235"/>
      <c r="KE61" s="235"/>
      <c r="KF61" s="235"/>
      <c r="KG61" s="235"/>
      <c r="KH61" s="235"/>
      <c r="KI61" s="235"/>
      <c r="KJ61" s="235"/>
      <c r="KK61" s="235"/>
      <c r="KL61" s="235"/>
      <c r="KM61" s="235"/>
      <c r="KN61" s="235"/>
      <c r="KO61" s="235"/>
      <c r="KP61" s="235"/>
      <c r="KQ61" s="235"/>
      <c r="KR61" s="235"/>
      <c r="KS61" s="235"/>
      <c r="KT61" s="235"/>
      <c r="KU61" s="235"/>
      <c r="KV61" s="235"/>
      <c r="KW61" s="235"/>
      <c r="KX61" s="235"/>
      <c r="KY61" s="235"/>
      <c r="KZ61" s="235"/>
      <c r="LA61" s="235"/>
      <c r="LB61" s="235"/>
      <c r="LC61" s="235"/>
      <c r="LD61" s="235"/>
      <c r="LE61" s="235"/>
      <c r="LF61" s="235"/>
      <c r="LG61" s="235"/>
      <c r="LH61" s="235"/>
      <c r="LI61" s="235"/>
      <c r="LJ61" s="235"/>
      <c r="LK61" s="235"/>
      <c r="LL61" s="235"/>
      <c r="LM61" s="235"/>
      <c r="LN61" s="235"/>
      <c r="LO61" s="235"/>
      <c r="LP61" s="235"/>
      <c r="LQ61" s="235"/>
      <c r="LR61" s="235"/>
      <c r="LS61" s="235"/>
      <c r="LT61" s="235"/>
      <c r="LU61" s="235"/>
      <c r="LV61" s="235"/>
      <c r="LW61" s="235"/>
      <c r="LX61" s="235"/>
      <c r="LY61" s="235"/>
      <c r="LZ61" s="235"/>
      <c r="MA61" s="235"/>
      <c r="MB61" s="235"/>
      <c r="MC61" s="235"/>
      <c r="MD61" s="235"/>
      <c r="ME61" s="235"/>
      <c r="MF61" s="235"/>
      <c r="MG61" s="235"/>
      <c r="MH61" s="235"/>
      <c r="MI61" s="235"/>
      <c r="MJ61" s="235"/>
      <c r="MK61" s="235"/>
      <c r="ML61" s="235"/>
      <c r="MM61" s="235"/>
      <c r="MN61" s="235"/>
      <c r="MO61" s="235"/>
      <c r="MP61" s="235"/>
      <c r="MQ61" s="235"/>
      <c r="MR61" s="235"/>
      <c r="MS61" s="235"/>
      <c r="MT61" s="235"/>
      <c r="MU61" s="235"/>
      <c r="MV61" s="235"/>
      <c r="MW61" s="235"/>
      <c r="MX61" s="235"/>
      <c r="MY61" s="235"/>
      <c r="MZ61" s="235"/>
      <c r="NA61" s="235"/>
      <c r="NB61" s="235"/>
      <c r="NC61" s="235"/>
      <c r="ND61" s="235"/>
      <c r="NE61" s="235"/>
      <c r="NF61" s="235"/>
      <c r="NG61" s="235"/>
      <c r="NH61" s="235"/>
      <c r="NI61" s="235"/>
      <c r="NJ61" s="235"/>
      <c r="NK61" s="235"/>
      <c r="NL61" s="235"/>
      <c r="NM61" s="235"/>
      <c r="NN61" s="235"/>
      <c r="NO61" s="235"/>
      <c r="NP61" s="235"/>
      <c r="NQ61" s="235"/>
      <c r="NR61" s="235"/>
      <c r="NS61" s="235"/>
      <c r="NT61" s="235"/>
      <c r="NU61" s="235"/>
      <c r="NV61" s="235"/>
      <c r="NW61" s="235"/>
      <c r="NX61" s="235"/>
      <c r="NY61" s="235"/>
      <c r="NZ61" s="235"/>
      <c r="OA61" s="235"/>
      <c r="OB61" s="235"/>
      <c r="OC61" s="235"/>
      <c r="OD61" s="235"/>
      <c r="OE61" s="235"/>
      <c r="OF61" s="235"/>
      <c r="OG61" s="235"/>
      <c r="OH61" s="235"/>
      <c r="OI61" s="235"/>
      <c r="OJ61" s="235"/>
      <c r="OK61" s="235"/>
      <c r="OL61" s="235"/>
      <c r="OM61" s="235"/>
      <c r="ON61" s="235"/>
      <c r="OO61" s="235"/>
      <c r="OP61" s="235"/>
      <c r="OQ61" s="235"/>
      <c r="OR61" s="235"/>
      <c r="OS61" s="235"/>
      <c r="OT61" s="235"/>
      <c r="OU61" s="235"/>
      <c r="OV61" s="235"/>
      <c r="OW61" s="235"/>
      <c r="OX61" s="235"/>
      <c r="OY61" s="235"/>
      <c r="OZ61" s="235"/>
      <c r="PA61" s="235"/>
      <c r="PB61" s="235"/>
      <c r="PC61" s="235"/>
      <c r="PD61" s="235"/>
      <c r="PE61" s="235"/>
      <c r="PF61" s="235"/>
      <c r="PG61" s="235"/>
      <c r="PH61" s="235"/>
      <c r="PI61" s="235"/>
      <c r="PJ61" s="235"/>
      <c r="PK61" s="235"/>
      <c r="PL61" s="235"/>
      <c r="PM61" s="235"/>
      <c r="PN61" s="235"/>
      <c r="PO61" s="235"/>
      <c r="PP61" s="235"/>
      <c r="PQ61" s="235"/>
      <c r="PR61" s="235"/>
      <c r="PS61" s="235"/>
      <c r="PT61" s="235"/>
      <c r="PU61" s="235"/>
      <c r="PV61" s="235"/>
      <c r="PW61" s="235"/>
      <c r="PX61" s="235"/>
      <c r="PY61" s="235"/>
      <c r="PZ61" s="235"/>
      <c r="QA61" s="235"/>
      <c r="QB61" s="235"/>
      <c r="QC61" s="235"/>
      <c r="QD61" s="235"/>
      <c r="QE61" s="235"/>
      <c r="QF61" s="235"/>
      <c r="QG61" s="235"/>
      <c r="QH61" s="235"/>
      <c r="QI61" s="235"/>
      <c r="QJ61" s="235"/>
      <c r="QK61" s="235"/>
      <c r="QL61" s="235"/>
      <c r="QM61" s="235"/>
      <c r="QN61" s="235"/>
      <c r="QO61" s="235"/>
      <c r="QP61" s="235"/>
      <c r="QQ61" s="235"/>
      <c r="QR61" s="235"/>
      <c r="QS61" s="235"/>
      <c r="QT61" s="235"/>
      <c r="QU61" s="235"/>
      <c r="QV61" s="235"/>
      <c r="QW61" s="235"/>
      <c r="QX61" s="235"/>
      <c r="QY61" s="235"/>
      <c r="QZ61" s="235"/>
      <c r="RA61" s="235"/>
      <c r="RB61" s="235"/>
      <c r="RC61" s="235"/>
      <c r="RD61" s="235"/>
      <c r="RE61" s="235"/>
      <c r="RF61" s="235"/>
      <c r="RG61" s="235"/>
      <c r="RH61" s="235"/>
      <c r="RI61" s="235"/>
      <c r="RJ61" s="235"/>
      <c r="RK61" s="235"/>
      <c r="RL61" s="235"/>
      <c r="RM61" s="235"/>
      <c r="RN61" s="235"/>
      <c r="RO61" s="235"/>
      <c r="RP61" s="235"/>
      <c r="RQ61" s="235"/>
      <c r="RR61" s="235"/>
      <c r="RS61" s="235"/>
      <c r="RT61" s="235"/>
      <c r="RU61" s="235"/>
      <c r="RV61" s="235"/>
      <c r="RW61" s="235"/>
      <c r="RX61" s="235"/>
      <c r="RY61" s="235"/>
      <c r="RZ61" s="235"/>
      <c r="SA61" s="235"/>
      <c r="SB61" s="235"/>
      <c r="SC61" s="235"/>
      <c r="SD61" s="235"/>
      <c r="SE61" s="235"/>
      <c r="SF61" s="235"/>
      <c r="SG61" s="235"/>
      <c r="SH61" s="235"/>
      <c r="SI61" s="235"/>
      <c r="SJ61" s="235"/>
      <c r="SK61" s="235"/>
      <c r="SL61" s="235"/>
      <c r="SM61" s="235"/>
      <c r="SN61" s="235"/>
      <c r="SO61" s="235"/>
      <c r="SP61" s="235"/>
      <c r="SQ61" s="235"/>
      <c r="SR61" s="235"/>
      <c r="SS61" s="235"/>
      <c r="ST61" s="235"/>
      <c r="SU61" s="235"/>
      <c r="SV61" s="235"/>
      <c r="SW61" s="235"/>
      <c r="SX61" s="235"/>
      <c r="SY61" s="235"/>
      <c r="SZ61" s="235"/>
      <c r="TA61" s="235"/>
      <c r="TB61" s="235"/>
      <c r="TC61" s="235"/>
      <c r="TD61" s="235"/>
      <c r="TE61" s="235"/>
      <c r="TF61" s="235"/>
      <c r="TG61" s="235"/>
      <c r="TH61" s="235"/>
      <c r="TI61" s="235"/>
      <c r="TJ61" s="235"/>
      <c r="TK61" s="235"/>
      <c r="TL61" s="235"/>
      <c r="TM61" s="235"/>
      <c r="TN61" s="235"/>
      <c r="TO61" s="235"/>
      <c r="TP61" s="235"/>
      <c r="TQ61" s="235"/>
      <c r="TR61" s="235"/>
      <c r="TS61" s="235"/>
      <c r="TT61" s="235"/>
      <c r="TU61" s="235"/>
      <c r="TV61" s="235"/>
      <c r="TW61" s="235"/>
      <c r="TX61" s="235"/>
      <c r="TY61" s="235"/>
      <c r="TZ61" s="235"/>
      <c r="UA61" s="235"/>
      <c r="UB61" s="235"/>
      <c r="UC61" s="235"/>
      <c r="UD61" s="235"/>
      <c r="UE61" s="235"/>
      <c r="UF61" s="235"/>
      <c r="UG61" s="235"/>
      <c r="UH61" s="235"/>
      <c r="UI61" s="235"/>
      <c r="UJ61" s="235"/>
      <c r="UK61" s="235"/>
      <c r="UL61" s="235"/>
      <c r="UM61" s="235"/>
      <c r="UN61" s="235"/>
      <c r="UO61" s="235"/>
      <c r="UP61" s="235"/>
      <c r="UQ61" s="235"/>
      <c r="UR61" s="235"/>
      <c r="US61" s="235"/>
      <c r="UT61" s="235"/>
      <c r="UU61" s="235"/>
      <c r="UV61" s="235"/>
      <c r="UW61" s="235"/>
      <c r="UX61" s="235"/>
      <c r="UY61" s="235"/>
      <c r="UZ61" s="235"/>
      <c r="VA61" s="235"/>
      <c r="VB61" s="235"/>
      <c r="VC61" s="235"/>
      <c r="VD61" s="235"/>
      <c r="VE61" s="235"/>
      <c r="VF61" s="235"/>
      <c r="VG61" s="235"/>
      <c r="VH61" s="235"/>
      <c r="VI61" s="235"/>
      <c r="VJ61" s="235"/>
      <c r="VK61" s="235"/>
      <c r="VL61" s="235"/>
      <c r="VM61" s="235"/>
      <c r="VN61" s="235"/>
      <c r="VO61" s="235"/>
      <c r="VP61" s="235"/>
      <c r="VQ61" s="235"/>
      <c r="VR61" s="235"/>
      <c r="VS61" s="235"/>
      <c r="VT61" s="235"/>
      <c r="VU61" s="235"/>
      <c r="VV61" s="235"/>
      <c r="VW61" s="235"/>
      <c r="VX61" s="235"/>
      <c r="VY61" s="235"/>
      <c r="VZ61" s="235"/>
      <c r="WA61" s="235"/>
      <c r="WB61" s="235"/>
      <c r="WC61" s="235"/>
      <c r="WD61" s="235"/>
      <c r="WE61" s="235"/>
      <c r="WF61" s="235"/>
      <c r="WG61" s="235"/>
      <c r="WH61" s="235"/>
      <c r="WI61" s="235"/>
      <c r="WJ61" s="235"/>
      <c r="WK61" s="235"/>
      <c r="WL61" s="235"/>
      <c r="WM61" s="235"/>
      <c r="WN61" s="235"/>
      <c r="WO61" s="235"/>
      <c r="WP61" s="235"/>
      <c r="WQ61" s="235"/>
      <c r="WR61" s="235"/>
      <c r="WS61" s="235"/>
      <c r="WT61" s="235"/>
      <c r="WU61" s="235"/>
      <c r="WV61" s="235"/>
      <c r="WW61" s="235"/>
      <c r="WX61" s="235"/>
      <c r="WY61" s="235"/>
      <c r="WZ61" s="235"/>
      <c r="XA61" s="235"/>
      <c r="XB61" s="235"/>
      <c r="XC61" s="235"/>
      <c r="XD61" s="235"/>
      <c r="XE61" s="235"/>
      <c r="XF61" s="235"/>
      <c r="XG61" s="235"/>
      <c r="XH61" s="235"/>
      <c r="XI61" s="235"/>
      <c r="XJ61" s="235"/>
      <c r="XK61" s="235"/>
      <c r="XL61" s="235"/>
      <c r="XM61" s="235"/>
      <c r="XN61" s="235"/>
      <c r="XO61" s="235"/>
      <c r="XP61" s="235"/>
      <c r="XQ61" s="235"/>
      <c r="XR61" s="235"/>
      <c r="XS61" s="235"/>
      <c r="XT61" s="235"/>
      <c r="XU61" s="235"/>
      <c r="XV61" s="235"/>
      <c r="XW61" s="235"/>
    </row>
    <row r="62" spans="1:647" s="217" customFormat="1" ht="14.25" customHeight="1" thickTop="1">
      <c r="A62" s="223"/>
      <c r="B62" s="224"/>
      <c r="C62" s="226"/>
      <c r="D62" s="226"/>
      <c r="E62" s="227"/>
      <c r="F62" s="226"/>
      <c r="G62" s="226"/>
      <c r="H62" s="226"/>
      <c r="I62" s="226"/>
      <c r="J62" s="317"/>
      <c r="K62" s="318"/>
      <c r="L62" s="319"/>
      <c r="M62" s="320"/>
      <c r="N62" s="320"/>
      <c r="O62" s="320"/>
      <c r="P62" s="320"/>
      <c r="Q62" s="228"/>
      <c r="R62" s="225"/>
      <c r="S62" s="228"/>
      <c r="T62" s="226"/>
      <c r="U62" s="317"/>
      <c r="V62" s="226"/>
      <c r="W62" s="226"/>
      <c r="X62" s="226"/>
      <c r="Y62" s="321"/>
      <c r="Z62" s="321"/>
      <c r="AA62" s="322"/>
      <c r="AB62" s="202"/>
      <c r="AC62" s="216"/>
      <c r="AD62" s="216"/>
      <c r="AE62" s="216"/>
      <c r="AF62" s="216"/>
      <c r="AG62" s="216"/>
      <c r="AH62" s="216"/>
      <c r="AI62" s="216"/>
      <c r="AJ62" s="216"/>
      <c r="AK62" s="216"/>
      <c r="AL62" s="216"/>
      <c r="AM62" s="216"/>
      <c r="AN62" s="216"/>
      <c r="AO62" s="216"/>
      <c r="AP62" s="216"/>
      <c r="AQ62" s="216"/>
      <c r="AR62" s="216"/>
      <c r="AS62" s="216"/>
      <c r="AT62" s="216"/>
      <c r="AU62" s="216"/>
      <c r="AV62" s="216"/>
      <c r="AW62" s="216"/>
      <c r="AX62" s="216"/>
      <c r="AY62" s="216"/>
      <c r="AZ62" s="216"/>
      <c r="BA62" s="216"/>
      <c r="BB62" s="216"/>
      <c r="BC62" s="216"/>
      <c r="BD62" s="216"/>
      <c r="BE62" s="216"/>
      <c r="BF62" s="216"/>
      <c r="BG62" s="216"/>
      <c r="BH62" s="216"/>
      <c r="BI62" s="216"/>
      <c r="BJ62" s="216"/>
      <c r="BK62" s="216"/>
      <c r="BL62" s="216"/>
      <c r="BM62" s="216"/>
      <c r="BN62" s="216"/>
      <c r="BO62" s="216"/>
      <c r="BP62" s="216"/>
      <c r="BQ62" s="216"/>
      <c r="BR62" s="216"/>
      <c r="BS62" s="216"/>
      <c r="BT62" s="216"/>
      <c r="BU62" s="216"/>
      <c r="BV62" s="216"/>
      <c r="BW62" s="216"/>
      <c r="BX62" s="216"/>
      <c r="BY62" s="216"/>
      <c r="BZ62" s="216"/>
      <c r="CA62" s="216"/>
      <c r="CB62" s="216"/>
      <c r="CC62" s="216"/>
      <c r="CD62" s="216"/>
      <c r="CE62" s="216"/>
      <c r="CF62" s="216"/>
      <c r="CG62" s="216"/>
      <c r="CH62" s="216"/>
      <c r="CI62" s="216"/>
      <c r="CJ62" s="216"/>
      <c r="CK62" s="216"/>
      <c r="CL62" s="216"/>
      <c r="CM62" s="216"/>
      <c r="CN62" s="216"/>
      <c r="CO62" s="216"/>
      <c r="CP62" s="216"/>
      <c r="CQ62" s="216"/>
      <c r="CR62" s="216"/>
      <c r="CS62" s="216"/>
      <c r="CT62" s="216"/>
      <c r="CU62" s="216"/>
      <c r="CV62" s="216"/>
      <c r="CW62" s="216"/>
      <c r="CX62" s="216"/>
      <c r="CY62" s="216"/>
      <c r="CZ62" s="216"/>
      <c r="DA62" s="216"/>
      <c r="DB62" s="216"/>
      <c r="DC62" s="216"/>
      <c r="DD62" s="216"/>
      <c r="DE62" s="216"/>
      <c r="DF62" s="216"/>
      <c r="DG62" s="216"/>
      <c r="DH62" s="216"/>
      <c r="DI62" s="216"/>
      <c r="DJ62" s="216"/>
      <c r="DK62" s="216"/>
      <c r="DL62" s="216"/>
      <c r="DM62" s="216"/>
      <c r="DN62" s="216"/>
      <c r="DO62" s="216"/>
      <c r="DP62" s="216"/>
      <c r="DQ62" s="216"/>
      <c r="DR62" s="216"/>
      <c r="DS62" s="216"/>
      <c r="DT62" s="216"/>
      <c r="DU62" s="216"/>
      <c r="DV62" s="216"/>
      <c r="DW62" s="216"/>
      <c r="DX62" s="216"/>
      <c r="DY62" s="216"/>
      <c r="DZ62" s="216"/>
      <c r="EA62" s="216"/>
      <c r="EB62" s="216"/>
      <c r="EC62" s="216"/>
      <c r="ED62" s="216"/>
      <c r="EE62" s="216"/>
      <c r="EF62" s="216"/>
      <c r="EG62" s="216"/>
      <c r="EH62" s="216"/>
      <c r="EI62" s="216"/>
      <c r="EJ62" s="216"/>
      <c r="EK62" s="216"/>
      <c r="EL62" s="216"/>
      <c r="EM62" s="216"/>
      <c r="EN62" s="216"/>
      <c r="EO62" s="216"/>
      <c r="EP62" s="216"/>
      <c r="EQ62" s="216"/>
      <c r="ER62" s="216"/>
      <c r="ES62" s="216"/>
      <c r="ET62" s="216"/>
      <c r="EU62" s="216"/>
      <c r="EV62" s="216"/>
      <c r="EW62" s="216"/>
      <c r="EX62" s="216"/>
      <c r="EY62" s="216"/>
      <c r="EZ62" s="216"/>
      <c r="FA62" s="216"/>
      <c r="FB62" s="216"/>
      <c r="FC62" s="216"/>
      <c r="FD62" s="216"/>
      <c r="FE62" s="216"/>
      <c r="FF62" s="216"/>
      <c r="FG62" s="216"/>
      <c r="FH62" s="216"/>
      <c r="FI62" s="216"/>
      <c r="FJ62" s="216"/>
      <c r="FK62" s="216"/>
      <c r="FL62" s="216"/>
      <c r="FM62" s="216"/>
      <c r="FN62" s="216"/>
      <c r="FO62" s="216"/>
      <c r="FP62" s="216"/>
      <c r="FQ62" s="216"/>
      <c r="FR62" s="216"/>
      <c r="FS62" s="216"/>
      <c r="FT62" s="216"/>
      <c r="FU62" s="216"/>
      <c r="FV62" s="216"/>
      <c r="FW62" s="216"/>
      <c r="FX62" s="216"/>
      <c r="FY62" s="216"/>
      <c r="FZ62" s="216"/>
      <c r="GA62" s="216"/>
      <c r="GB62" s="216"/>
      <c r="GC62" s="216"/>
      <c r="GD62" s="216"/>
      <c r="GE62" s="216"/>
      <c r="GF62" s="216"/>
      <c r="GG62" s="216"/>
      <c r="GH62" s="216"/>
      <c r="GI62" s="216"/>
      <c r="GJ62" s="216"/>
      <c r="GK62" s="216"/>
      <c r="GL62" s="216"/>
      <c r="GM62" s="216"/>
      <c r="GN62" s="216"/>
      <c r="GO62" s="216"/>
      <c r="GP62" s="216"/>
      <c r="GQ62" s="216"/>
      <c r="GR62" s="216"/>
      <c r="GS62" s="216"/>
      <c r="GT62" s="216"/>
      <c r="GU62" s="216"/>
      <c r="GV62" s="216"/>
      <c r="GW62" s="216"/>
      <c r="GX62" s="216"/>
      <c r="GY62" s="216"/>
      <c r="GZ62" s="216"/>
      <c r="HA62" s="216"/>
      <c r="HB62" s="216"/>
      <c r="HC62" s="216"/>
      <c r="HD62" s="216"/>
      <c r="HE62" s="216"/>
      <c r="HF62" s="216"/>
      <c r="HG62" s="216"/>
      <c r="HH62" s="216"/>
      <c r="HI62" s="216"/>
      <c r="HJ62" s="216"/>
      <c r="HK62" s="216"/>
      <c r="HL62" s="216"/>
      <c r="HM62" s="216"/>
      <c r="HN62" s="216"/>
      <c r="HO62" s="216"/>
      <c r="HP62" s="216"/>
      <c r="HQ62" s="216"/>
      <c r="HR62" s="216"/>
      <c r="HS62" s="216"/>
      <c r="HT62" s="216"/>
      <c r="HU62" s="216"/>
      <c r="HV62" s="216"/>
      <c r="HW62" s="216"/>
      <c r="HX62" s="216"/>
      <c r="HY62" s="216"/>
      <c r="HZ62" s="216"/>
      <c r="IA62" s="216"/>
      <c r="IB62" s="216"/>
      <c r="IC62" s="216"/>
      <c r="ID62" s="216"/>
      <c r="IE62" s="216"/>
      <c r="IF62" s="216"/>
      <c r="IG62" s="216"/>
      <c r="IH62" s="216"/>
      <c r="II62" s="216"/>
      <c r="IJ62" s="216"/>
      <c r="IK62" s="216"/>
      <c r="IL62" s="216"/>
      <c r="IM62" s="216"/>
      <c r="IN62" s="216"/>
      <c r="IO62" s="216"/>
      <c r="IP62" s="216"/>
      <c r="IQ62" s="216"/>
      <c r="IR62" s="216"/>
      <c r="IS62" s="216"/>
      <c r="IT62" s="216"/>
      <c r="IU62" s="216"/>
      <c r="IV62" s="216"/>
      <c r="IW62" s="216"/>
      <c r="IX62" s="216"/>
      <c r="IY62" s="216"/>
      <c r="IZ62" s="216"/>
      <c r="JA62" s="216"/>
      <c r="JB62" s="216"/>
      <c r="JC62" s="216"/>
      <c r="JD62" s="216"/>
      <c r="JE62" s="216"/>
      <c r="JF62" s="216"/>
      <c r="JG62" s="216"/>
      <c r="JH62" s="216"/>
      <c r="JI62" s="216"/>
      <c r="JJ62" s="216"/>
      <c r="JK62" s="216"/>
      <c r="JL62" s="216"/>
      <c r="JM62" s="216"/>
      <c r="JN62" s="216"/>
      <c r="JO62" s="216"/>
      <c r="JP62" s="216"/>
      <c r="JQ62" s="216"/>
      <c r="JR62" s="216"/>
      <c r="JS62" s="216"/>
      <c r="JT62" s="216"/>
      <c r="JU62" s="216"/>
      <c r="JV62" s="216"/>
      <c r="JW62" s="216"/>
      <c r="JX62" s="216"/>
      <c r="JY62" s="216"/>
      <c r="JZ62" s="216"/>
      <c r="KA62" s="216"/>
      <c r="KB62" s="216"/>
      <c r="KC62" s="216"/>
      <c r="KD62" s="216"/>
      <c r="KE62" s="216"/>
      <c r="KF62" s="216"/>
      <c r="KG62" s="216"/>
      <c r="KH62" s="216"/>
      <c r="KI62" s="216"/>
      <c r="KJ62" s="216"/>
      <c r="KK62" s="216"/>
      <c r="KL62" s="216"/>
      <c r="KM62" s="216"/>
      <c r="KN62" s="216"/>
      <c r="KO62" s="216"/>
      <c r="KP62" s="216"/>
      <c r="KQ62" s="216"/>
      <c r="KR62" s="216"/>
      <c r="KS62" s="216"/>
      <c r="KT62" s="216"/>
      <c r="KU62" s="216"/>
      <c r="KV62" s="216"/>
      <c r="KW62" s="216"/>
      <c r="KX62" s="216"/>
      <c r="KY62" s="216"/>
      <c r="KZ62" s="216"/>
      <c r="LA62" s="216"/>
      <c r="LB62" s="216"/>
      <c r="LC62" s="216"/>
      <c r="LD62" s="216"/>
      <c r="LE62" s="216"/>
      <c r="LF62" s="216"/>
      <c r="LG62" s="216"/>
      <c r="LH62" s="216"/>
      <c r="LI62" s="216"/>
      <c r="LJ62" s="216"/>
      <c r="LK62" s="216"/>
      <c r="LL62" s="216"/>
      <c r="LM62" s="216"/>
      <c r="LN62" s="216"/>
      <c r="LO62" s="216"/>
      <c r="LP62" s="216"/>
      <c r="LQ62" s="216"/>
      <c r="LR62" s="216"/>
      <c r="LS62" s="216"/>
      <c r="LT62" s="216"/>
      <c r="LU62" s="216"/>
      <c r="LV62" s="216"/>
      <c r="LW62" s="216"/>
      <c r="LX62" s="216"/>
      <c r="LY62" s="216"/>
      <c r="LZ62" s="216"/>
      <c r="MA62" s="216"/>
      <c r="MB62" s="216"/>
      <c r="MC62" s="216"/>
      <c r="MD62" s="216"/>
      <c r="ME62" s="216"/>
      <c r="MF62" s="216"/>
      <c r="MG62" s="216"/>
      <c r="MH62" s="216"/>
      <c r="MI62" s="216"/>
      <c r="MJ62" s="216"/>
      <c r="MK62" s="216"/>
      <c r="ML62" s="216"/>
      <c r="MM62" s="216"/>
      <c r="MN62" s="216"/>
      <c r="MO62" s="216"/>
      <c r="MP62" s="216"/>
      <c r="MQ62" s="216"/>
      <c r="MR62" s="216"/>
      <c r="MS62" s="216"/>
      <c r="MT62" s="216"/>
      <c r="MU62" s="216"/>
      <c r="MV62" s="216"/>
      <c r="MW62" s="216"/>
      <c r="MX62" s="216"/>
      <c r="MY62" s="216"/>
      <c r="MZ62" s="216"/>
      <c r="NA62" s="216"/>
      <c r="NB62" s="216"/>
      <c r="NC62" s="216"/>
      <c r="ND62" s="216"/>
      <c r="NE62" s="216"/>
      <c r="NF62" s="216"/>
      <c r="NG62" s="216"/>
      <c r="NH62" s="216"/>
      <c r="NI62" s="216"/>
      <c r="NJ62" s="216"/>
      <c r="NK62" s="216"/>
      <c r="NL62" s="216"/>
      <c r="NM62" s="216"/>
      <c r="NN62" s="216"/>
      <c r="NO62" s="216"/>
      <c r="NP62" s="216"/>
      <c r="NQ62" s="216"/>
      <c r="NR62" s="216"/>
      <c r="NS62" s="216"/>
      <c r="NT62" s="216"/>
      <c r="NU62" s="216"/>
      <c r="NV62" s="216"/>
      <c r="NW62" s="216"/>
      <c r="NX62" s="216"/>
      <c r="NY62" s="216"/>
      <c r="NZ62" s="216"/>
      <c r="OA62" s="216"/>
      <c r="OB62" s="216"/>
      <c r="OC62" s="216"/>
      <c r="OD62" s="216"/>
      <c r="OE62" s="216"/>
      <c r="OF62" s="216"/>
      <c r="OG62" s="216"/>
      <c r="OH62" s="216"/>
      <c r="OI62" s="216"/>
      <c r="OJ62" s="216"/>
      <c r="OK62" s="216"/>
      <c r="OL62" s="216"/>
      <c r="OM62" s="216"/>
      <c r="ON62" s="216"/>
      <c r="OO62" s="216"/>
      <c r="OP62" s="216"/>
      <c r="OQ62" s="216"/>
      <c r="OR62" s="216"/>
      <c r="OS62" s="216"/>
      <c r="OT62" s="216"/>
      <c r="OU62" s="216"/>
      <c r="OV62" s="216"/>
      <c r="OW62" s="216"/>
      <c r="OX62" s="216"/>
      <c r="OY62" s="216"/>
      <c r="OZ62" s="216"/>
      <c r="PA62" s="216"/>
      <c r="PB62" s="216"/>
      <c r="PC62" s="216"/>
      <c r="PD62" s="216"/>
      <c r="PE62" s="216"/>
      <c r="PF62" s="216"/>
      <c r="PG62" s="216"/>
      <c r="PH62" s="216"/>
      <c r="PI62" s="216"/>
      <c r="PJ62" s="216"/>
      <c r="PK62" s="216"/>
      <c r="PL62" s="216"/>
      <c r="PM62" s="216"/>
      <c r="PN62" s="216"/>
      <c r="PO62" s="216"/>
      <c r="PP62" s="216"/>
      <c r="PQ62" s="216"/>
      <c r="PR62" s="216"/>
      <c r="PS62" s="216"/>
      <c r="PT62" s="216"/>
      <c r="PU62" s="216"/>
      <c r="PV62" s="216"/>
      <c r="PW62" s="216"/>
      <c r="PX62" s="216"/>
      <c r="PY62" s="216"/>
      <c r="PZ62" s="216"/>
      <c r="QA62" s="216"/>
      <c r="QB62" s="216"/>
      <c r="QC62" s="216"/>
      <c r="QD62" s="216"/>
      <c r="QE62" s="216"/>
      <c r="QF62" s="216"/>
      <c r="QG62" s="216"/>
      <c r="QH62" s="216"/>
      <c r="QI62" s="216"/>
      <c r="QJ62" s="216"/>
      <c r="QK62" s="216"/>
      <c r="QL62" s="216"/>
      <c r="QM62" s="216"/>
      <c r="QN62" s="216"/>
      <c r="QO62" s="216"/>
      <c r="QP62" s="216"/>
      <c r="QQ62" s="216"/>
      <c r="QR62" s="216"/>
      <c r="QS62" s="216"/>
      <c r="QT62" s="216"/>
      <c r="QU62" s="216"/>
      <c r="QV62" s="216"/>
      <c r="QW62" s="216"/>
      <c r="QX62" s="216"/>
      <c r="QY62" s="216"/>
      <c r="QZ62" s="216"/>
      <c r="RA62" s="216"/>
      <c r="RB62" s="216"/>
      <c r="RC62" s="216"/>
      <c r="RD62" s="216"/>
      <c r="RE62" s="216"/>
      <c r="RF62" s="216"/>
      <c r="RG62" s="216"/>
      <c r="RH62" s="216"/>
      <c r="RI62" s="216"/>
      <c r="RJ62" s="216"/>
      <c r="RK62" s="216"/>
      <c r="RL62" s="216"/>
      <c r="RM62" s="216"/>
      <c r="RN62" s="216"/>
      <c r="RO62" s="216"/>
      <c r="RP62" s="216"/>
      <c r="RQ62" s="216"/>
      <c r="RR62" s="216"/>
      <c r="RS62" s="216"/>
      <c r="RT62" s="216"/>
      <c r="RU62" s="216"/>
      <c r="RV62" s="216"/>
      <c r="RW62" s="216"/>
      <c r="RX62" s="216"/>
      <c r="RY62" s="216"/>
      <c r="RZ62" s="216"/>
      <c r="SA62" s="216"/>
      <c r="SB62" s="216"/>
      <c r="SC62" s="216"/>
      <c r="SD62" s="216"/>
      <c r="SE62" s="216"/>
      <c r="SF62" s="216"/>
      <c r="SG62" s="216"/>
      <c r="SH62" s="216"/>
      <c r="SI62" s="216"/>
      <c r="SJ62" s="216"/>
      <c r="SK62" s="216"/>
      <c r="SL62" s="216"/>
      <c r="SM62" s="216"/>
      <c r="SN62" s="216"/>
      <c r="SO62" s="216"/>
      <c r="SP62" s="216"/>
      <c r="SQ62" s="216"/>
      <c r="SR62" s="216"/>
      <c r="SS62" s="216"/>
      <c r="ST62" s="216"/>
      <c r="SU62" s="216"/>
      <c r="SV62" s="216"/>
      <c r="SW62" s="216"/>
      <c r="SX62" s="216"/>
      <c r="SY62" s="216"/>
      <c r="SZ62" s="216"/>
      <c r="TA62" s="216"/>
      <c r="TB62" s="216"/>
      <c r="TC62" s="216"/>
      <c r="TD62" s="216"/>
      <c r="TE62" s="216"/>
      <c r="TF62" s="216"/>
      <c r="TG62" s="216"/>
      <c r="TH62" s="216"/>
      <c r="TI62" s="216"/>
      <c r="TJ62" s="216"/>
      <c r="TK62" s="216"/>
      <c r="TL62" s="216"/>
      <c r="TM62" s="216"/>
      <c r="TN62" s="216"/>
      <c r="TO62" s="216"/>
      <c r="TP62" s="216"/>
      <c r="TQ62" s="216"/>
      <c r="TR62" s="216"/>
      <c r="TS62" s="216"/>
      <c r="TT62" s="216"/>
      <c r="TU62" s="216"/>
      <c r="TV62" s="216"/>
      <c r="TW62" s="216"/>
      <c r="TX62" s="216"/>
      <c r="TY62" s="216"/>
      <c r="TZ62" s="216"/>
      <c r="UA62" s="216"/>
      <c r="UB62" s="216"/>
      <c r="UC62" s="216"/>
      <c r="UD62" s="216"/>
      <c r="UE62" s="216"/>
      <c r="UF62" s="216"/>
      <c r="UG62" s="216"/>
      <c r="UH62" s="216"/>
      <c r="UI62" s="216"/>
      <c r="UJ62" s="216"/>
      <c r="UK62" s="216"/>
      <c r="UL62" s="216"/>
      <c r="UM62" s="216"/>
      <c r="UN62" s="216"/>
      <c r="UO62" s="216"/>
      <c r="UP62" s="216"/>
      <c r="UQ62" s="216"/>
      <c r="UR62" s="216"/>
      <c r="US62" s="216"/>
      <c r="UT62" s="216"/>
      <c r="UU62" s="216"/>
      <c r="UV62" s="216"/>
      <c r="UW62" s="216"/>
      <c r="UX62" s="216"/>
      <c r="UY62" s="216"/>
      <c r="UZ62" s="216"/>
      <c r="VA62" s="216"/>
      <c r="VB62" s="216"/>
      <c r="VC62" s="216"/>
      <c r="VD62" s="216"/>
      <c r="VE62" s="216"/>
      <c r="VF62" s="216"/>
      <c r="VG62" s="216"/>
      <c r="VH62" s="216"/>
      <c r="VI62" s="216"/>
      <c r="VJ62" s="216"/>
      <c r="VK62" s="216"/>
      <c r="VL62" s="216"/>
      <c r="VM62" s="216"/>
      <c r="VN62" s="216"/>
      <c r="VO62" s="216"/>
      <c r="VP62" s="216"/>
      <c r="VQ62" s="216"/>
      <c r="VR62" s="216"/>
      <c r="VS62" s="216"/>
      <c r="VT62" s="216"/>
      <c r="VU62" s="216"/>
      <c r="VV62" s="216"/>
      <c r="VW62" s="216"/>
      <c r="VX62" s="216"/>
      <c r="VY62" s="216"/>
      <c r="VZ62" s="216"/>
      <c r="WA62" s="216"/>
      <c r="WB62" s="216"/>
      <c r="WC62" s="216"/>
      <c r="WD62" s="216"/>
      <c r="WE62" s="216"/>
      <c r="WF62" s="216"/>
      <c r="WG62" s="216"/>
      <c r="WH62" s="216"/>
      <c r="WI62" s="216"/>
      <c r="WJ62" s="216"/>
      <c r="WK62" s="216"/>
      <c r="WL62" s="216"/>
      <c r="WM62" s="216"/>
      <c r="WN62" s="216"/>
      <c r="WO62" s="216"/>
      <c r="WP62" s="216"/>
      <c r="WQ62" s="216"/>
      <c r="WR62" s="216"/>
      <c r="WS62" s="216"/>
      <c r="WT62" s="216"/>
      <c r="WU62" s="216"/>
      <c r="WV62" s="216"/>
      <c r="WW62" s="216"/>
      <c r="WX62" s="216"/>
      <c r="WY62" s="216"/>
      <c r="WZ62" s="216"/>
      <c r="XA62" s="216"/>
      <c r="XB62" s="216"/>
      <c r="XC62" s="216"/>
      <c r="XD62" s="216"/>
      <c r="XE62" s="216"/>
      <c r="XF62" s="216"/>
      <c r="XG62" s="216"/>
      <c r="XH62" s="216"/>
      <c r="XI62" s="216"/>
      <c r="XJ62" s="216"/>
      <c r="XK62" s="216"/>
      <c r="XL62" s="216"/>
      <c r="XM62" s="216"/>
      <c r="XN62" s="216"/>
      <c r="XO62" s="216"/>
      <c r="XP62" s="216"/>
      <c r="XQ62" s="216"/>
      <c r="XR62" s="216"/>
      <c r="XS62" s="216"/>
      <c r="XT62" s="216"/>
      <c r="XU62" s="216"/>
      <c r="XV62" s="216"/>
      <c r="XW62" s="216"/>
    </row>
    <row r="63" spans="1:647" ht="14.25" customHeight="1">
      <c r="A63" s="88"/>
      <c r="B63" s="89"/>
      <c r="C63" s="92"/>
      <c r="D63" s="92"/>
      <c r="E63" s="94"/>
      <c r="F63" s="92"/>
      <c r="G63" s="92"/>
      <c r="H63" s="92"/>
      <c r="I63" s="92"/>
      <c r="J63" s="95"/>
      <c r="K63" s="163"/>
      <c r="L63" s="272"/>
      <c r="M63" s="159"/>
      <c r="N63" s="159"/>
      <c r="O63" s="159"/>
      <c r="P63" s="159"/>
      <c r="Q63" s="101"/>
      <c r="R63" s="91"/>
      <c r="S63" s="101"/>
      <c r="T63" s="92"/>
      <c r="U63" s="95"/>
      <c r="V63" s="92"/>
      <c r="W63" s="92"/>
      <c r="X63" s="92"/>
      <c r="Y63" s="169"/>
      <c r="Z63" s="169"/>
      <c r="AA63" s="162"/>
      <c r="AB63" s="85"/>
    </row>
    <row r="64" spans="1:647" ht="14.25" customHeight="1">
      <c r="A64" s="88"/>
      <c r="B64" s="89"/>
      <c r="C64" s="92"/>
      <c r="D64" s="92"/>
      <c r="E64" s="94"/>
      <c r="F64" s="92"/>
      <c r="G64" s="92"/>
      <c r="H64" s="92"/>
      <c r="I64" s="92"/>
      <c r="J64" s="95"/>
      <c r="K64" s="163"/>
      <c r="L64" s="272"/>
      <c r="M64" s="159"/>
      <c r="N64" s="159"/>
      <c r="O64" s="159"/>
      <c r="P64" s="159"/>
      <c r="Q64" s="101"/>
      <c r="R64" s="91"/>
      <c r="S64" s="101"/>
      <c r="T64" s="92"/>
      <c r="U64" s="95"/>
      <c r="V64" s="92"/>
      <c r="W64" s="92"/>
      <c r="X64" s="92"/>
      <c r="Y64" s="169"/>
      <c r="Z64" s="169"/>
      <c r="AA64" s="162"/>
      <c r="AB64" s="85"/>
    </row>
    <row r="65" spans="1:28" ht="14.25" customHeight="1">
      <c r="A65" s="88"/>
      <c r="B65" s="89"/>
      <c r="C65" s="92"/>
      <c r="D65" s="92"/>
      <c r="E65" s="94"/>
      <c r="F65" s="92"/>
      <c r="G65" s="92"/>
      <c r="H65" s="92"/>
      <c r="I65" s="273"/>
      <c r="J65" s="279"/>
      <c r="K65" s="282"/>
      <c r="L65" s="272"/>
      <c r="M65" s="159"/>
      <c r="N65" s="159"/>
      <c r="O65" s="159"/>
      <c r="P65" s="159"/>
      <c r="Q65" s="175"/>
      <c r="R65" s="91"/>
      <c r="S65" s="156"/>
      <c r="T65" s="92"/>
      <c r="U65" s="95"/>
      <c r="V65" s="92"/>
      <c r="W65" s="92"/>
      <c r="X65" s="92"/>
      <c r="Y65" s="169"/>
      <c r="Z65" s="169"/>
      <c r="AA65" s="162"/>
      <c r="AB65" s="85"/>
    </row>
    <row r="66" spans="1:28" ht="14.25" customHeight="1">
      <c r="A66" s="88"/>
      <c r="B66" s="89"/>
      <c r="C66" s="92"/>
      <c r="D66" s="92"/>
      <c r="E66" s="94"/>
      <c r="F66" s="92"/>
      <c r="G66" s="92"/>
      <c r="H66" s="92"/>
      <c r="I66" s="273"/>
      <c r="J66" s="279"/>
      <c r="K66" s="282"/>
      <c r="L66" s="272"/>
      <c r="M66" s="159"/>
      <c r="N66" s="159"/>
      <c r="O66" s="159"/>
      <c r="P66" s="159"/>
      <c r="Q66" s="175"/>
      <c r="R66" s="91"/>
      <c r="S66" s="156"/>
      <c r="T66" s="92"/>
      <c r="U66" s="95"/>
      <c r="V66" s="92"/>
      <c r="W66" s="92"/>
      <c r="X66" s="92"/>
      <c r="Y66" s="169"/>
      <c r="Z66" s="169"/>
      <c r="AA66" s="162"/>
      <c r="AB66" s="85"/>
    </row>
    <row r="67" spans="1:28" ht="14.25" customHeight="1">
      <c r="A67" s="88"/>
      <c r="B67" s="89"/>
      <c r="C67" s="92"/>
      <c r="D67" s="92"/>
      <c r="E67" s="94"/>
      <c r="F67" s="92"/>
      <c r="G67" s="92"/>
      <c r="H67" s="92"/>
      <c r="I67" s="273"/>
      <c r="J67" s="279"/>
      <c r="K67" s="282"/>
      <c r="L67" s="272"/>
      <c r="M67" s="159"/>
      <c r="N67" s="159"/>
      <c r="O67" s="159"/>
      <c r="P67" s="159"/>
      <c r="Q67" s="175"/>
      <c r="R67" s="91"/>
      <c r="S67" s="156"/>
      <c r="T67" s="92"/>
      <c r="U67" s="95"/>
      <c r="V67" s="92"/>
      <c r="W67" s="92"/>
      <c r="X67" s="92"/>
      <c r="Y67" s="169"/>
      <c r="Z67" s="169"/>
      <c r="AA67" s="162"/>
      <c r="AB67" s="85"/>
    </row>
    <row r="68" spans="1:28" ht="14.25" customHeight="1">
      <c r="A68" s="88"/>
      <c r="B68" s="89"/>
      <c r="C68" s="92"/>
      <c r="D68" s="92"/>
      <c r="E68" s="94"/>
      <c r="F68" s="92"/>
      <c r="G68" s="92"/>
      <c r="H68" s="92"/>
      <c r="I68" s="274"/>
      <c r="J68" s="279"/>
      <c r="K68" s="283"/>
      <c r="L68" s="272"/>
      <c r="M68" s="159"/>
      <c r="N68" s="159"/>
      <c r="O68" s="159"/>
      <c r="P68" s="159"/>
      <c r="Q68" s="175"/>
      <c r="R68" s="91"/>
      <c r="S68" s="156"/>
      <c r="T68" s="92"/>
      <c r="U68" s="95"/>
      <c r="V68" s="92"/>
      <c r="W68" s="92"/>
      <c r="X68" s="92"/>
      <c r="Y68" s="169"/>
      <c r="Z68" s="169"/>
      <c r="AA68" s="162"/>
      <c r="AB68" s="85"/>
    </row>
    <row r="69" spans="1:28" ht="14.25" customHeight="1">
      <c r="A69" s="88"/>
      <c r="B69" s="89"/>
      <c r="C69" s="92"/>
      <c r="D69" s="92"/>
      <c r="E69" s="94"/>
      <c r="F69" s="92"/>
      <c r="G69" s="92"/>
      <c r="H69" s="92"/>
      <c r="I69" s="274"/>
      <c r="J69" s="279"/>
      <c r="K69" s="283"/>
      <c r="L69" s="272"/>
      <c r="M69" s="159"/>
      <c r="N69" s="159"/>
      <c r="O69" s="159"/>
      <c r="P69" s="159"/>
      <c r="Q69" s="175"/>
      <c r="R69" s="91"/>
      <c r="S69" s="156"/>
      <c r="T69" s="92"/>
      <c r="U69" s="95"/>
      <c r="V69" s="92"/>
      <c r="W69" s="92"/>
      <c r="X69" s="92"/>
      <c r="Y69" s="169"/>
      <c r="Z69" s="169"/>
      <c r="AA69" s="162"/>
      <c r="AB69" s="85"/>
    </row>
    <row r="70" spans="1:28" ht="14.25" customHeight="1">
      <c r="A70" s="88"/>
      <c r="B70" s="89"/>
      <c r="C70" s="92"/>
      <c r="D70" s="92"/>
      <c r="E70" s="94"/>
      <c r="F70" s="92"/>
      <c r="G70" s="92"/>
      <c r="H70" s="92"/>
      <c r="I70" s="274"/>
      <c r="J70" s="279"/>
      <c r="K70" s="283"/>
      <c r="L70" s="272"/>
      <c r="M70" s="159"/>
      <c r="N70" s="159"/>
      <c r="O70" s="159"/>
      <c r="P70" s="159"/>
      <c r="Q70" s="175"/>
      <c r="R70" s="91"/>
      <c r="S70" s="156"/>
      <c r="T70" s="92"/>
      <c r="U70" s="95"/>
      <c r="V70" s="92"/>
      <c r="W70" s="92"/>
      <c r="X70" s="92"/>
      <c r="Y70" s="169"/>
      <c r="Z70" s="169"/>
      <c r="AA70" s="162"/>
      <c r="AB70" s="85"/>
    </row>
    <row r="71" spans="1:28" ht="14.25" customHeight="1">
      <c r="A71" s="88"/>
      <c r="B71" s="89"/>
      <c r="C71" s="92"/>
      <c r="D71" s="92"/>
      <c r="E71" s="94"/>
      <c r="F71" s="92"/>
      <c r="G71" s="92"/>
      <c r="H71" s="92"/>
      <c r="I71" s="275"/>
      <c r="J71" s="280"/>
      <c r="K71" s="284"/>
      <c r="L71" s="272"/>
      <c r="M71" s="159"/>
      <c r="N71" s="159"/>
      <c r="O71" s="159"/>
      <c r="P71" s="159"/>
      <c r="Q71" s="175"/>
      <c r="R71" s="91"/>
      <c r="S71" s="156"/>
      <c r="T71" s="92"/>
      <c r="U71" s="95"/>
      <c r="V71" s="92"/>
      <c r="W71" s="92"/>
      <c r="X71" s="92"/>
      <c r="Y71" s="169"/>
      <c r="Z71" s="169"/>
      <c r="AA71" s="162"/>
      <c r="AB71" s="85"/>
    </row>
    <row r="72" spans="1:28" ht="14.25" customHeight="1">
      <c r="A72" s="88"/>
      <c r="B72" s="89"/>
      <c r="C72" s="92"/>
      <c r="D72" s="92"/>
      <c r="E72" s="94"/>
      <c r="F72" s="92"/>
      <c r="G72" s="92"/>
      <c r="H72" s="92"/>
      <c r="I72" s="275"/>
      <c r="J72" s="280"/>
      <c r="K72" s="284"/>
      <c r="L72" s="272"/>
      <c r="M72" s="159"/>
      <c r="N72" s="159"/>
      <c r="O72" s="159"/>
      <c r="P72" s="159"/>
      <c r="Q72" s="175"/>
      <c r="R72" s="91"/>
      <c r="S72" s="156"/>
      <c r="T72" s="92"/>
      <c r="U72" s="95"/>
      <c r="V72" s="92"/>
      <c r="W72" s="92"/>
      <c r="X72" s="92"/>
      <c r="Y72" s="169"/>
      <c r="Z72" s="169"/>
      <c r="AA72" s="162"/>
      <c r="AB72" s="85"/>
    </row>
    <row r="73" spans="1:28" ht="14.25" customHeight="1">
      <c r="A73" s="88"/>
      <c r="B73" s="89"/>
      <c r="C73" s="92"/>
      <c r="D73" s="92"/>
      <c r="E73" s="94"/>
      <c r="F73" s="92"/>
      <c r="G73" s="92"/>
      <c r="H73" s="92"/>
      <c r="I73" s="275"/>
      <c r="J73" s="280"/>
      <c r="K73" s="284"/>
      <c r="L73" s="272"/>
      <c r="M73" s="159"/>
      <c r="N73" s="159"/>
      <c r="O73" s="159"/>
      <c r="P73" s="159"/>
      <c r="Q73" s="175"/>
      <c r="R73" s="91"/>
      <c r="S73" s="156"/>
      <c r="T73" s="92"/>
      <c r="U73" s="95"/>
      <c r="V73" s="92"/>
      <c r="W73" s="92"/>
      <c r="X73" s="92"/>
      <c r="Y73" s="169"/>
      <c r="Z73" s="169"/>
      <c r="AA73" s="162"/>
      <c r="AB73" s="85"/>
    </row>
    <row r="74" spans="1:28" ht="14.25" customHeight="1">
      <c r="A74" s="88"/>
      <c r="B74" s="89"/>
      <c r="C74" s="92"/>
      <c r="D74" s="92"/>
      <c r="E74" s="94"/>
      <c r="F74" s="92"/>
      <c r="G74" s="92"/>
      <c r="H74" s="92"/>
      <c r="I74" s="276"/>
      <c r="J74" s="280"/>
      <c r="K74" s="285"/>
      <c r="L74" s="272"/>
      <c r="M74" s="159"/>
      <c r="N74" s="159"/>
      <c r="O74" s="159"/>
      <c r="P74" s="159"/>
      <c r="Q74" s="175"/>
      <c r="R74" s="91"/>
      <c r="S74" s="156"/>
      <c r="T74" s="92"/>
      <c r="U74" s="95"/>
      <c r="V74" s="92"/>
      <c r="W74" s="92"/>
      <c r="X74" s="92"/>
      <c r="Y74" s="169"/>
      <c r="Z74" s="169"/>
      <c r="AA74" s="162"/>
      <c r="AB74" s="85"/>
    </row>
    <row r="75" spans="1:28" ht="14.25" customHeight="1">
      <c r="A75" s="88"/>
      <c r="B75" s="89"/>
      <c r="C75" s="92"/>
      <c r="D75" s="92"/>
      <c r="E75" s="94"/>
      <c r="F75" s="92"/>
      <c r="G75" s="92"/>
      <c r="H75" s="92"/>
      <c r="I75" s="276"/>
      <c r="J75" s="280"/>
      <c r="K75" s="285"/>
      <c r="L75" s="272"/>
      <c r="M75" s="159"/>
      <c r="N75" s="159"/>
      <c r="O75" s="159"/>
      <c r="P75" s="159"/>
      <c r="Q75" s="175"/>
      <c r="R75" s="91"/>
      <c r="S75" s="156"/>
      <c r="T75" s="92"/>
      <c r="U75" s="95"/>
      <c r="V75" s="92"/>
      <c r="W75" s="92"/>
      <c r="X75" s="92"/>
      <c r="Y75" s="169"/>
      <c r="Z75" s="169"/>
      <c r="AA75" s="162"/>
      <c r="AB75" s="85"/>
    </row>
    <row r="76" spans="1:28">
      <c r="A76" s="88"/>
      <c r="B76" s="89"/>
      <c r="C76" s="92"/>
      <c r="D76" s="92"/>
      <c r="E76" s="94"/>
      <c r="F76" s="92"/>
      <c r="G76" s="92"/>
      <c r="H76" s="92"/>
      <c r="I76" s="276"/>
      <c r="J76" s="280"/>
      <c r="K76" s="285"/>
      <c r="L76" s="272"/>
      <c r="M76" s="159"/>
      <c r="N76" s="159"/>
      <c r="O76" s="159"/>
      <c r="P76" s="159"/>
      <c r="Q76" s="175"/>
      <c r="R76" s="91"/>
      <c r="S76" s="156"/>
      <c r="T76" s="92"/>
      <c r="U76" s="95"/>
      <c r="V76" s="92"/>
      <c r="W76" s="92"/>
      <c r="X76" s="92"/>
      <c r="Y76" s="169"/>
      <c r="Z76" s="169"/>
      <c r="AA76" s="162"/>
      <c r="AB76" s="85"/>
    </row>
    <row r="77" spans="1:28">
      <c r="A77" s="88"/>
      <c r="B77" s="89"/>
      <c r="C77" s="92"/>
      <c r="D77" s="92"/>
      <c r="E77" s="94"/>
      <c r="F77" s="92"/>
      <c r="G77" s="92"/>
      <c r="H77" s="92"/>
      <c r="I77" s="277"/>
      <c r="J77" s="281"/>
      <c r="K77" s="286"/>
      <c r="L77" s="272"/>
      <c r="M77" s="159"/>
      <c r="N77" s="159"/>
      <c r="O77" s="159"/>
      <c r="P77" s="159"/>
      <c r="Q77" s="175"/>
      <c r="R77" s="91"/>
      <c r="S77" s="156"/>
      <c r="T77" s="92"/>
      <c r="U77" s="95"/>
      <c r="V77" s="92"/>
      <c r="W77" s="92"/>
      <c r="X77" s="92"/>
      <c r="Y77" s="169"/>
      <c r="Z77" s="169"/>
      <c r="AA77" s="162"/>
      <c r="AB77" s="85"/>
    </row>
    <row r="78" spans="1:28">
      <c r="A78" s="88"/>
      <c r="B78" s="89"/>
      <c r="C78" s="92"/>
      <c r="D78" s="92"/>
      <c r="E78" s="94"/>
      <c r="F78" s="92"/>
      <c r="G78" s="92"/>
      <c r="H78" s="92"/>
      <c r="I78" s="277"/>
      <c r="J78" s="281"/>
      <c r="K78" s="286"/>
      <c r="L78" s="272"/>
      <c r="M78" s="159"/>
      <c r="N78" s="159"/>
      <c r="O78" s="159"/>
      <c r="P78" s="159"/>
      <c r="Q78" s="175"/>
      <c r="R78" s="91"/>
      <c r="S78" s="156"/>
      <c r="T78" s="92"/>
      <c r="U78" s="95"/>
      <c r="V78" s="92"/>
      <c r="W78" s="92"/>
      <c r="X78" s="92"/>
      <c r="Y78" s="169"/>
      <c r="Z78" s="169"/>
      <c r="AA78" s="162"/>
      <c r="AB78" s="85"/>
    </row>
    <row r="79" spans="1:28">
      <c r="A79" s="88"/>
      <c r="B79" s="89"/>
      <c r="C79" s="92"/>
      <c r="D79" s="92"/>
      <c r="E79" s="94"/>
      <c r="F79" s="92"/>
      <c r="G79" s="92"/>
      <c r="H79" s="92"/>
      <c r="I79" s="277"/>
      <c r="J79" s="281"/>
      <c r="K79" s="286"/>
      <c r="L79" s="272"/>
      <c r="M79" s="159"/>
      <c r="N79" s="159"/>
      <c r="O79" s="159"/>
      <c r="P79" s="159"/>
      <c r="Q79" s="175"/>
      <c r="R79" s="91"/>
      <c r="S79" s="156"/>
      <c r="T79" s="92"/>
      <c r="U79" s="95"/>
      <c r="V79" s="92"/>
      <c r="W79" s="92"/>
      <c r="X79" s="92"/>
      <c r="Y79" s="169"/>
      <c r="Z79" s="169"/>
      <c r="AA79" s="162"/>
      <c r="AB79" s="85"/>
    </row>
    <row r="80" spans="1:28">
      <c r="A80" s="88"/>
      <c r="B80" s="89"/>
      <c r="C80" s="92"/>
      <c r="D80" s="92"/>
      <c r="E80" s="94"/>
      <c r="F80" s="92"/>
      <c r="G80" s="92"/>
      <c r="H80" s="92"/>
      <c r="I80" s="278"/>
      <c r="J80" s="281"/>
      <c r="K80" s="287"/>
      <c r="L80" s="272"/>
      <c r="M80" s="159"/>
      <c r="N80" s="159"/>
      <c r="O80" s="159"/>
      <c r="P80" s="159"/>
      <c r="Q80" s="175"/>
      <c r="R80" s="91"/>
      <c r="S80" s="156"/>
      <c r="T80" s="92"/>
      <c r="U80" s="95"/>
      <c r="V80" s="92"/>
      <c r="W80" s="92"/>
      <c r="X80" s="92"/>
      <c r="Y80" s="169"/>
      <c r="Z80" s="169"/>
      <c r="AA80" s="162"/>
      <c r="AB80" s="85"/>
    </row>
    <row r="81" spans="1:647">
      <c r="A81" s="88"/>
      <c r="B81" s="89"/>
      <c r="C81" s="92"/>
      <c r="D81" s="92"/>
      <c r="E81" s="94"/>
      <c r="F81" s="92"/>
      <c r="G81" s="92"/>
      <c r="H81" s="92"/>
      <c r="I81" s="278"/>
      <c r="J81" s="281"/>
      <c r="K81" s="287"/>
      <c r="L81" s="272"/>
      <c r="M81" s="159"/>
      <c r="N81" s="159"/>
      <c r="O81" s="159"/>
      <c r="P81" s="159"/>
      <c r="Q81" s="175"/>
      <c r="R81" s="91"/>
      <c r="S81" s="156"/>
      <c r="T81" s="92"/>
      <c r="U81" s="95"/>
      <c r="V81" s="92"/>
      <c r="W81" s="92"/>
      <c r="X81" s="92"/>
      <c r="Y81" s="169"/>
      <c r="Z81" s="169"/>
      <c r="AA81" s="162"/>
      <c r="AB81" s="85"/>
    </row>
    <row r="82" spans="1:647">
      <c r="A82" s="88"/>
      <c r="B82" s="89"/>
      <c r="C82" s="92"/>
      <c r="D82" s="92"/>
      <c r="E82" s="94"/>
      <c r="F82" s="92"/>
      <c r="G82" s="92"/>
      <c r="H82" s="92"/>
      <c r="I82" s="278"/>
      <c r="J82" s="281"/>
      <c r="K82" s="287"/>
      <c r="L82" s="272"/>
      <c r="M82" s="159"/>
      <c r="N82" s="159"/>
      <c r="O82" s="159"/>
      <c r="P82" s="159"/>
      <c r="Q82" s="175"/>
      <c r="R82" s="91"/>
      <c r="S82" s="156"/>
      <c r="T82" s="92"/>
      <c r="U82" s="95"/>
      <c r="V82" s="92"/>
      <c r="W82" s="92"/>
      <c r="X82" s="92"/>
      <c r="Y82" s="169"/>
      <c r="Z82" s="169"/>
      <c r="AA82" s="162"/>
      <c r="AB82" s="85"/>
    </row>
    <row r="83" spans="1:647">
      <c r="A83" s="88"/>
      <c r="B83" s="89"/>
      <c r="C83" s="92"/>
      <c r="D83" s="92"/>
      <c r="E83" s="94"/>
      <c r="F83" s="92"/>
      <c r="G83" s="92"/>
      <c r="H83" s="92"/>
      <c r="I83" s="91"/>
      <c r="J83" s="95"/>
      <c r="K83" s="95"/>
      <c r="L83" s="91"/>
      <c r="M83" s="159"/>
      <c r="N83" s="159"/>
      <c r="O83" s="159"/>
      <c r="P83" s="95"/>
      <c r="Q83" s="95"/>
      <c r="R83" s="91"/>
      <c r="S83" s="101"/>
      <c r="T83" s="92"/>
      <c r="U83" s="95"/>
      <c r="V83" s="92"/>
      <c r="W83" s="92"/>
      <c r="X83" s="92"/>
      <c r="Y83" s="169"/>
      <c r="Z83" s="169"/>
      <c r="AA83" s="162"/>
      <c r="AB83" s="85"/>
    </row>
    <row r="84" spans="1:647">
      <c r="A84" s="88"/>
      <c r="B84" s="89"/>
      <c r="C84" s="92"/>
      <c r="D84" s="92"/>
      <c r="E84" s="94"/>
      <c r="F84" s="92"/>
      <c r="G84" s="92"/>
      <c r="H84" s="92"/>
      <c r="I84" s="91"/>
      <c r="J84" s="95"/>
      <c r="K84" s="95"/>
      <c r="L84" s="91"/>
      <c r="M84" s="159"/>
      <c r="N84" s="159"/>
      <c r="O84" s="159"/>
      <c r="P84" s="95"/>
      <c r="Q84" s="95"/>
      <c r="R84" s="91"/>
      <c r="S84" s="101"/>
      <c r="T84" s="92"/>
      <c r="U84" s="95"/>
      <c r="V84" s="92"/>
      <c r="W84" s="92"/>
      <c r="X84" s="92"/>
      <c r="Y84" s="169"/>
      <c r="Z84" s="169"/>
      <c r="AA84" s="162"/>
      <c r="AB84" s="85"/>
    </row>
    <row r="85" spans="1:647">
      <c r="A85" s="88"/>
      <c r="B85" s="89"/>
      <c r="C85" s="92"/>
      <c r="D85" s="92"/>
      <c r="E85" s="94"/>
      <c r="F85" s="92"/>
      <c r="G85" s="92"/>
      <c r="H85" s="92"/>
      <c r="I85" s="91"/>
      <c r="J85" s="95"/>
      <c r="K85" s="95"/>
      <c r="L85" s="91"/>
      <c r="M85" s="159"/>
      <c r="N85" s="159"/>
      <c r="O85" s="159"/>
      <c r="P85" s="95"/>
      <c r="Q85" s="95"/>
      <c r="R85" s="91"/>
      <c r="S85" s="101"/>
      <c r="T85" s="92"/>
      <c r="U85" s="95"/>
      <c r="V85" s="92"/>
      <c r="W85" s="92"/>
      <c r="X85" s="92"/>
      <c r="Y85" s="169"/>
      <c r="Z85" s="169"/>
      <c r="AA85" s="162"/>
      <c r="AB85" s="85"/>
    </row>
    <row r="86" spans="1:647">
      <c r="A86" s="88"/>
      <c r="B86" s="89"/>
      <c r="C86" s="92"/>
      <c r="D86" s="92"/>
      <c r="E86" s="94"/>
      <c r="F86" s="92"/>
      <c r="G86" s="92"/>
      <c r="H86" s="92"/>
      <c r="I86" s="91"/>
      <c r="J86" s="95"/>
      <c r="K86" s="95"/>
      <c r="L86" s="91"/>
      <c r="M86" s="159"/>
      <c r="N86" s="159"/>
      <c r="O86" s="159"/>
      <c r="P86" s="95"/>
      <c r="Q86" s="95"/>
      <c r="R86" s="91"/>
      <c r="S86" s="101"/>
      <c r="T86" s="101"/>
      <c r="U86" s="92"/>
      <c r="V86" s="92"/>
      <c r="W86" s="92"/>
      <c r="X86" s="92"/>
      <c r="AB86" s="85"/>
    </row>
    <row r="87" spans="1:647">
      <c r="A87" s="88"/>
      <c r="B87" s="89"/>
      <c r="C87" s="92"/>
      <c r="D87" s="92"/>
      <c r="E87" s="94"/>
      <c r="F87" s="92"/>
      <c r="G87" s="92"/>
      <c r="H87" s="92"/>
      <c r="I87" s="91"/>
      <c r="J87" s="95"/>
      <c r="K87" s="95"/>
      <c r="L87" s="91"/>
      <c r="M87" s="159"/>
      <c r="N87" s="159"/>
      <c r="O87" s="159"/>
      <c r="P87" s="95"/>
      <c r="Q87" s="95"/>
      <c r="R87" s="91"/>
      <c r="S87" s="101"/>
      <c r="T87" s="101"/>
      <c r="U87" s="92"/>
      <c r="V87" s="92"/>
      <c r="W87" s="92"/>
      <c r="X87" s="92"/>
      <c r="AB87" s="85"/>
    </row>
    <row r="88" spans="1:647" s="221" customFormat="1" ht="15" thickBot="1">
      <c r="A88" s="203"/>
      <c r="B88" s="204"/>
      <c r="C88" s="206"/>
      <c r="D88" s="206"/>
      <c r="E88" s="207"/>
      <c r="F88" s="206"/>
      <c r="G88" s="206"/>
      <c r="H88" s="206"/>
      <c r="I88" s="205"/>
      <c r="J88" s="333"/>
      <c r="K88" s="333"/>
      <c r="L88" s="205"/>
      <c r="M88" s="334"/>
      <c r="N88" s="334"/>
      <c r="O88" s="334"/>
      <c r="P88" s="333"/>
      <c r="Q88" s="333"/>
      <c r="R88" s="205"/>
      <c r="S88" s="219"/>
      <c r="T88" s="219"/>
      <c r="U88" s="206"/>
      <c r="V88" s="206"/>
      <c r="W88" s="206"/>
      <c r="X88" s="206"/>
      <c r="Y88" s="220"/>
      <c r="Z88" s="220"/>
      <c r="AA88" s="220"/>
      <c r="AB88" s="208"/>
      <c r="AC88" s="220"/>
      <c r="AD88" s="220"/>
      <c r="AE88" s="220"/>
      <c r="AF88" s="220"/>
      <c r="AG88" s="220"/>
      <c r="AH88" s="220"/>
      <c r="AI88" s="220"/>
      <c r="AJ88" s="220"/>
      <c r="AK88" s="220"/>
      <c r="AL88" s="220"/>
      <c r="AM88" s="220"/>
      <c r="AN88" s="220"/>
      <c r="AO88" s="220"/>
      <c r="AP88" s="220"/>
      <c r="AQ88" s="220"/>
      <c r="AR88" s="220"/>
      <c r="AS88" s="220"/>
      <c r="AT88" s="220"/>
      <c r="AU88" s="220"/>
      <c r="AV88" s="220"/>
      <c r="AW88" s="220"/>
      <c r="AX88" s="220"/>
      <c r="AY88" s="220"/>
      <c r="AZ88" s="220"/>
      <c r="BA88" s="220"/>
      <c r="BB88" s="220"/>
      <c r="BC88" s="220"/>
      <c r="BD88" s="220"/>
      <c r="BE88" s="220"/>
      <c r="BF88" s="220"/>
      <c r="BG88" s="220"/>
      <c r="BH88" s="220"/>
      <c r="BI88" s="220"/>
      <c r="BJ88" s="220"/>
      <c r="BK88" s="220"/>
      <c r="BL88" s="220"/>
      <c r="BM88" s="220"/>
      <c r="BN88" s="220"/>
      <c r="BO88" s="220"/>
      <c r="BP88" s="220"/>
      <c r="BQ88" s="220"/>
      <c r="BR88" s="220"/>
      <c r="BS88" s="220"/>
      <c r="BT88" s="220"/>
      <c r="BU88" s="220"/>
      <c r="BV88" s="220"/>
      <c r="BW88" s="220"/>
      <c r="BX88" s="220"/>
      <c r="BY88" s="220"/>
      <c r="BZ88" s="220"/>
      <c r="CA88" s="220"/>
      <c r="CB88" s="220"/>
      <c r="CC88" s="220"/>
      <c r="CD88" s="220"/>
      <c r="CE88" s="220"/>
      <c r="CF88" s="220"/>
      <c r="CG88" s="220"/>
      <c r="CH88" s="220"/>
      <c r="CI88" s="220"/>
      <c r="CJ88" s="220"/>
      <c r="CK88" s="220"/>
      <c r="CL88" s="220"/>
      <c r="CM88" s="220"/>
      <c r="CN88" s="220"/>
      <c r="CO88" s="220"/>
      <c r="CP88" s="220"/>
      <c r="CQ88" s="220"/>
      <c r="CR88" s="220"/>
      <c r="CS88" s="220"/>
      <c r="CT88" s="220"/>
      <c r="CU88" s="220"/>
      <c r="CV88" s="220"/>
      <c r="CW88" s="220"/>
      <c r="CX88" s="220"/>
      <c r="CY88" s="220"/>
      <c r="CZ88" s="220"/>
      <c r="DA88" s="220"/>
      <c r="DB88" s="220"/>
      <c r="DC88" s="220"/>
      <c r="DD88" s="220"/>
      <c r="DE88" s="220"/>
      <c r="DF88" s="220"/>
      <c r="DG88" s="220"/>
      <c r="DH88" s="220"/>
      <c r="DI88" s="220"/>
      <c r="DJ88" s="220"/>
      <c r="DK88" s="220"/>
      <c r="DL88" s="220"/>
      <c r="DM88" s="220"/>
      <c r="DN88" s="220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  <c r="ED88" s="220"/>
      <c r="EE88" s="220"/>
      <c r="EF88" s="220"/>
      <c r="EG88" s="220"/>
      <c r="EH88" s="220"/>
      <c r="EI88" s="220"/>
      <c r="EJ88" s="220"/>
      <c r="EK88" s="220"/>
      <c r="EL88" s="220"/>
      <c r="EM88" s="220"/>
      <c r="EN88" s="220"/>
      <c r="EO88" s="220"/>
      <c r="EP88" s="220"/>
      <c r="EQ88" s="220"/>
      <c r="ER88" s="220"/>
      <c r="ES88" s="220"/>
      <c r="ET88" s="220"/>
      <c r="EU88" s="220"/>
      <c r="EV88" s="220"/>
      <c r="EW88" s="220"/>
      <c r="EX88" s="220"/>
      <c r="EY88" s="220"/>
      <c r="EZ88" s="220"/>
      <c r="FA88" s="220"/>
      <c r="FB88" s="220"/>
      <c r="FC88" s="220"/>
      <c r="FD88" s="220"/>
      <c r="FE88" s="220"/>
      <c r="FF88" s="220"/>
      <c r="FG88" s="220"/>
      <c r="FH88" s="220"/>
      <c r="FI88" s="220"/>
      <c r="FJ88" s="220"/>
      <c r="FK88" s="220"/>
      <c r="FL88" s="220"/>
      <c r="FM88" s="220"/>
      <c r="FN88" s="220"/>
      <c r="FO88" s="220"/>
      <c r="FP88" s="220"/>
      <c r="FQ88" s="220"/>
      <c r="FR88" s="220"/>
      <c r="FS88" s="220"/>
      <c r="FT88" s="220"/>
      <c r="FU88" s="220"/>
      <c r="FV88" s="220"/>
      <c r="FW88" s="220"/>
      <c r="FX88" s="220"/>
      <c r="FY88" s="220"/>
      <c r="FZ88" s="220"/>
      <c r="GA88" s="220"/>
      <c r="GB88" s="220"/>
      <c r="GC88" s="220"/>
      <c r="GD88" s="220"/>
      <c r="GE88" s="220"/>
      <c r="GF88" s="220"/>
      <c r="GG88" s="220"/>
      <c r="GH88" s="220"/>
      <c r="GI88" s="220"/>
      <c r="GJ88" s="220"/>
      <c r="GK88" s="220"/>
      <c r="GL88" s="220"/>
      <c r="GM88" s="220"/>
      <c r="GN88" s="220"/>
      <c r="GO88" s="220"/>
      <c r="GP88" s="220"/>
      <c r="GQ88" s="220"/>
      <c r="GR88" s="220"/>
      <c r="GS88" s="220"/>
      <c r="GT88" s="220"/>
      <c r="GU88" s="220"/>
      <c r="GV88" s="220"/>
      <c r="GW88" s="220"/>
      <c r="GX88" s="220"/>
      <c r="GY88" s="220"/>
      <c r="GZ88" s="220"/>
      <c r="HA88" s="220"/>
      <c r="HB88" s="220"/>
      <c r="HC88" s="220"/>
      <c r="HD88" s="220"/>
      <c r="HE88" s="220"/>
      <c r="HF88" s="220"/>
      <c r="HG88" s="220"/>
      <c r="HH88" s="220"/>
      <c r="HI88" s="220"/>
      <c r="HJ88" s="220"/>
      <c r="HK88" s="220"/>
      <c r="HL88" s="220"/>
      <c r="HM88" s="220"/>
      <c r="HN88" s="220"/>
      <c r="HO88" s="220"/>
      <c r="HP88" s="220"/>
      <c r="HQ88" s="220"/>
      <c r="HR88" s="220"/>
      <c r="HS88" s="220"/>
      <c r="HT88" s="220"/>
      <c r="HU88" s="220"/>
      <c r="HV88" s="220"/>
      <c r="HW88" s="220"/>
      <c r="HX88" s="220"/>
      <c r="HY88" s="220"/>
      <c r="HZ88" s="220"/>
      <c r="IA88" s="220"/>
      <c r="IB88" s="220"/>
      <c r="IC88" s="220"/>
      <c r="ID88" s="220"/>
      <c r="IE88" s="220"/>
      <c r="IF88" s="220"/>
      <c r="IG88" s="220"/>
      <c r="IH88" s="220"/>
      <c r="II88" s="220"/>
      <c r="IJ88" s="220"/>
      <c r="IK88" s="220"/>
      <c r="IL88" s="220"/>
      <c r="IM88" s="220"/>
      <c r="IN88" s="220"/>
      <c r="IO88" s="220"/>
      <c r="IP88" s="220"/>
      <c r="IQ88" s="220"/>
      <c r="IR88" s="220"/>
      <c r="IS88" s="220"/>
      <c r="IT88" s="220"/>
      <c r="IU88" s="220"/>
      <c r="IV88" s="220"/>
      <c r="IW88" s="220"/>
      <c r="IX88" s="220"/>
      <c r="IY88" s="220"/>
      <c r="IZ88" s="220"/>
      <c r="JA88" s="220"/>
      <c r="JB88" s="220"/>
      <c r="JC88" s="220"/>
      <c r="JD88" s="220"/>
      <c r="JE88" s="220"/>
      <c r="JF88" s="220"/>
      <c r="JG88" s="220"/>
      <c r="JH88" s="220"/>
      <c r="JI88" s="220"/>
      <c r="JJ88" s="220"/>
      <c r="JK88" s="220"/>
      <c r="JL88" s="220"/>
      <c r="JM88" s="220"/>
      <c r="JN88" s="220"/>
      <c r="JO88" s="220"/>
      <c r="JP88" s="220"/>
      <c r="JQ88" s="220"/>
      <c r="JR88" s="220"/>
      <c r="JS88" s="220"/>
      <c r="JT88" s="220"/>
      <c r="JU88" s="220"/>
      <c r="JV88" s="220"/>
      <c r="JW88" s="220"/>
      <c r="JX88" s="220"/>
      <c r="JY88" s="220"/>
      <c r="JZ88" s="220"/>
      <c r="KA88" s="220"/>
      <c r="KB88" s="220"/>
      <c r="KC88" s="220"/>
      <c r="KD88" s="220"/>
      <c r="KE88" s="220"/>
      <c r="KF88" s="220"/>
      <c r="KG88" s="220"/>
      <c r="KH88" s="220"/>
      <c r="KI88" s="220"/>
      <c r="KJ88" s="220"/>
      <c r="KK88" s="220"/>
      <c r="KL88" s="220"/>
      <c r="KM88" s="220"/>
      <c r="KN88" s="220"/>
      <c r="KO88" s="220"/>
      <c r="KP88" s="220"/>
      <c r="KQ88" s="220"/>
      <c r="KR88" s="220"/>
      <c r="KS88" s="220"/>
      <c r="KT88" s="220"/>
      <c r="KU88" s="220"/>
      <c r="KV88" s="220"/>
      <c r="KW88" s="220"/>
      <c r="KX88" s="220"/>
      <c r="KY88" s="220"/>
      <c r="KZ88" s="220"/>
      <c r="LA88" s="220"/>
      <c r="LB88" s="220"/>
      <c r="LC88" s="220"/>
      <c r="LD88" s="220"/>
      <c r="LE88" s="220"/>
      <c r="LF88" s="220"/>
      <c r="LG88" s="220"/>
      <c r="LH88" s="220"/>
      <c r="LI88" s="220"/>
      <c r="LJ88" s="220"/>
      <c r="LK88" s="220"/>
      <c r="LL88" s="220"/>
      <c r="LM88" s="220"/>
      <c r="LN88" s="220"/>
      <c r="LO88" s="220"/>
      <c r="LP88" s="220"/>
      <c r="LQ88" s="220"/>
      <c r="LR88" s="220"/>
      <c r="LS88" s="220"/>
      <c r="LT88" s="220"/>
      <c r="LU88" s="220"/>
      <c r="LV88" s="220"/>
      <c r="LW88" s="220"/>
      <c r="LX88" s="220"/>
      <c r="LY88" s="220"/>
      <c r="LZ88" s="220"/>
      <c r="MA88" s="220"/>
      <c r="MB88" s="220"/>
      <c r="MC88" s="220"/>
      <c r="MD88" s="220"/>
      <c r="ME88" s="220"/>
      <c r="MF88" s="220"/>
      <c r="MG88" s="220"/>
      <c r="MH88" s="220"/>
      <c r="MI88" s="220"/>
      <c r="MJ88" s="220"/>
      <c r="MK88" s="220"/>
      <c r="ML88" s="220"/>
      <c r="MM88" s="220"/>
      <c r="MN88" s="220"/>
      <c r="MO88" s="220"/>
      <c r="MP88" s="220"/>
      <c r="MQ88" s="220"/>
      <c r="MR88" s="220"/>
      <c r="MS88" s="220"/>
      <c r="MT88" s="220"/>
      <c r="MU88" s="220"/>
      <c r="MV88" s="220"/>
      <c r="MW88" s="220"/>
      <c r="MX88" s="220"/>
      <c r="MY88" s="220"/>
      <c r="MZ88" s="220"/>
      <c r="NA88" s="220"/>
      <c r="NB88" s="220"/>
      <c r="NC88" s="220"/>
      <c r="ND88" s="220"/>
      <c r="NE88" s="220"/>
      <c r="NF88" s="220"/>
      <c r="NG88" s="220"/>
      <c r="NH88" s="220"/>
      <c r="NI88" s="220"/>
      <c r="NJ88" s="220"/>
      <c r="NK88" s="220"/>
      <c r="NL88" s="220"/>
      <c r="NM88" s="220"/>
      <c r="NN88" s="220"/>
      <c r="NO88" s="220"/>
      <c r="NP88" s="220"/>
      <c r="NQ88" s="220"/>
      <c r="NR88" s="220"/>
      <c r="NS88" s="220"/>
      <c r="NT88" s="220"/>
      <c r="NU88" s="220"/>
      <c r="NV88" s="220"/>
      <c r="NW88" s="220"/>
      <c r="NX88" s="220"/>
      <c r="NY88" s="220"/>
      <c r="NZ88" s="220"/>
      <c r="OA88" s="220"/>
      <c r="OB88" s="220"/>
      <c r="OC88" s="220"/>
      <c r="OD88" s="220"/>
      <c r="OE88" s="220"/>
      <c r="OF88" s="220"/>
      <c r="OG88" s="220"/>
      <c r="OH88" s="220"/>
      <c r="OI88" s="220"/>
      <c r="OJ88" s="220"/>
      <c r="OK88" s="220"/>
      <c r="OL88" s="220"/>
      <c r="OM88" s="220"/>
      <c r="ON88" s="220"/>
      <c r="OO88" s="220"/>
      <c r="OP88" s="220"/>
      <c r="OQ88" s="220"/>
      <c r="OR88" s="220"/>
      <c r="OS88" s="220"/>
      <c r="OT88" s="220"/>
      <c r="OU88" s="220"/>
      <c r="OV88" s="220"/>
      <c r="OW88" s="220"/>
      <c r="OX88" s="220"/>
      <c r="OY88" s="220"/>
      <c r="OZ88" s="220"/>
      <c r="PA88" s="220"/>
      <c r="PB88" s="220"/>
      <c r="PC88" s="220"/>
      <c r="PD88" s="220"/>
      <c r="PE88" s="220"/>
      <c r="PF88" s="220"/>
      <c r="PG88" s="220"/>
      <c r="PH88" s="220"/>
      <c r="PI88" s="220"/>
      <c r="PJ88" s="220"/>
      <c r="PK88" s="220"/>
      <c r="PL88" s="220"/>
      <c r="PM88" s="220"/>
      <c r="PN88" s="220"/>
      <c r="PO88" s="220"/>
      <c r="PP88" s="220"/>
      <c r="PQ88" s="220"/>
      <c r="PR88" s="220"/>
      <c r="PS88" s="220"/>
      <c r="PT88" s="220"/>
      <c r="PU88" s="220"/>
      <c r="PV88" s="220"/>
      <c r="PW88" s="220"/>
      <c r="PX88" s="220"/>
      <c r="PY88" s="220"/>
      <c r="PZ88" s="220"/>
      <c r="QA88" s="220"/>
      <c r="QB88" s="220"/>
      <c r="QC88" s="220"/>
      <c r="QD88" s="220"/>
      <c r="QE88" s="220"/>
      <c r="QF88" s="220"/>
      <c r="QG88" s="220"/>
      <c r="QH88" s="220"/>
      <c r="QI88" s="220"/>
      <c r="QJ88" s="220"/>
      <c r="QK88" s="220"/>
      <c r="QL88" s="220"/>
      <c r="QM88" s="220"/>
      <c r="QN88" s="220"/>
      <c r="QO88" s="220"/>
      <c r="QP88" s="220"/>
      <c r="QQ88" s="220"/>
      <c r="QR88" s="220"/>
      <c r="QS88" s="220"/>
      <c r="QT88" s="220"/>
      <c r="QU88" s="220"/>
      <c r="QV88" s="220"/>
      <c r="QW88" s="220"/>
      <c r="QX88" s="220"/>
      <c r="QY88" s="220"/>
      <c r="QZ88" s="220"/>
      <c r="RA88" s="220"/>
      <c r="RB88" s="220"/>
      <c r="RC88" s="220"/>
      <c r="RD88" s="220"/>
      <c r="RE88" s="220"/>
      <c r="RF88" s="220"/>
      <c r="RG88" s="220"/>
      <c r="RH88" s="220"/>
      <c r="RI88" s="220"/>
      <c r="RJ88" s="220"/>
      <c r="RK88" s="220"/>
      <c r="RL88" s="220"/>
      <c r="RM88" s="220"/>
      <c r="RN88" s="220"/>
      <c r="RO88" s="220"/>
      <c r="RP88" s="220"/>
      <c r="RQ88" s="220"/>
      <c r="RR88" s="220"/>
      <c r="RS88" s="220"/>
      <c r="RT88" s="220"/>
      <c r="RU88" s="220"/>
      <c r="RV88" s="220"/>
      <c r="RW88" s="220"/>
      <c r="RX88" s="220"/>
      <c r="RY88" s="220"/>
      <c r="RZ88" s="220"/>
      <c r="SA88" s="220"/>
      <c r="SB88" s="220"/>
      <c r="SC88" s="220"/>
      <c r="SD88" s="220"/>
      <c r="SE88" s="220"/>
      <c r="SF88" s="220"/>
      <c r="SG88" s="220"/>
      <c r="SH88" s="220"/>
      <c r="SI88" s="220"/>
      <c r="SJ88" s="220"/>
      <c r="SK88" s="220"/>
      <c r="SL88" s="220"/>
      <c r="SM88" s="220"/>
      <c r="SN88" s="220"/>
      <c r="SO88" s="220"/>
      <c r="SP88" s="220"/>
      <c r="SQ88" s="220"/>
      <c r="SR88" s="220"/>
      <c r="SS88" s="220"/>
      <c r="ST88" s="220"/>
      <c r="SU88" s="220"/>
      <c r="SV88" s="220"/>
      <c r="SW88" s="220"/>
      <c r="SX88" s="220"/>
      <c r="SY88" s="220"/>
      <c r="SZ88" s="220"/>
      <c r="TA88" s="220"/>
      <c r="TB88" s="220"/>
      <c r="TC88" s="220"/>
      <c r="TD88" s="220"/>
      <c r="TE88" s="220"/>
      <c r="TF88" s="220"/>
      <c r="TG88" s="220"/>
      <c r="TH88" s="220"/>
      <c r="TI88" s="220"/>
      <c r="TJ88" s="220"/>
      <c r="TK88" s="220"/>
      <c r="TL88" s="220"/>
      <c r="TM88" s="220"/>
      <c r="TN88" s="220"/>
      <c r="TO88" s="220"/>
      <c r="TP88" s="220"/>
      <c r="TQ88" s="220"/>
      <c r="TR88" s="220"/>
      <c r="TS88" s="220"/>
      <c r="TT88" s="220"/>
      <c r="TU88" s="220"/>
      <c r="TV88" s="220"/>
      <c r="TW88" s="220"/>
      <c r="TX88" s="220"/>
      <c r="TY88" s="220"/>
      <c r="TZ88" s="220"/>
      <c r="UA88" s="220"/>
      <c r="UB88" s="220"/>
      <c r="UC88" s="220"/>
      <c r="UD88" s="220"/>
      <c r="UE88" s="220"/>
      <c r="UF88" s="220"/>
      <c r="UG88" s="220"/>
      <c r="UH88" s="220"/>
      <c r="UI88" s="220"/>
      <c r="UJ88" s="220"/>
      <c r="UK88" s="220"/>
      <c r="UL88" s="220"/>
      <c r="UM88" s="220"/>
      <c r="UN88" s="220"/>
      <c r="UO88" s="220"/>
      <c r="UP88" s="220"/>
      <c r="UQ88" s="220"/>
      <c r="UR88" s="220"/>
      <c r="US88" s="220"/>
      <c r="UT88" s="220"/>
      <c r="UU88" s="220"/>
      <c r="UV88" s="220"/>
      <c r="UW88" s="220"/>
      <c r="UX88" s="220"/>
      <c r="UY88" s="220"/>
      <c r="UZ88" s="220"/>
      <c r="VA88" s="220"/>
      <c r="VB88" s="220"/>
      <c r="VC88" s="220"/>
      <c r="VD88" s="220"/>
      <c r="VE88" s="220"/>
      <c r="VF88" s="220"/>
      <c r="VG88" s="220"/>
      <c r="VH88" s="220"/>
      <c r="VI88" s="220"/>
      <c r="VJ88" s="220"/>
      <c r="VK88" s="220"/>
      <c r="VL88" s="220"/>
      <c r="VM88" s="220"/>
      <c r="VN88" s="220"/>
      <c r="VO88" s="220"/>
      <c r="VP88" s="220"/>
      <c r="VQ88" s="220"/>
      <c r="VR88" s="220"/>
      <c r="VS88" s="220"/>
      <c r="VT88" s="220"/>
      <c r="VU88" s="220"/>
      <c r="VV88" s="220"/>
      <c r="VW88" s="220"/>
      <c r="VX88" s="220"/>
      <c r="VY88" s="220"/>
      <c r="VZ88" s="220"/>
      <c r="WA88" s="220"/>
      <c r="WB88" s="220"/>
      <c r="WC88" s="220"/>
      <c r="WD88" s="220"/>
      <c r="WE88" s="220"/>
      <c r="WF88" s="220"/>
      <c r="WG88" s="220"/>
      <c r="WH88" s="220"/>
      <c r="WI88" s="220"/>
      <c r="WJ88" s="220"/>
      <c r="WK88" s="220"/>
      <c r="WL88" s="220"/>
      <c r="WM88" s="220"/>
      <c r="WN88" s="220"/>
      <c r="WO88" s="220"/>
      <c r="WP88" s="220"/>
      <c r="WQ88" s="220"/>
      <c r="WR88" s="220"/>
      <c r="WS88" s="220"/>
      <c r="WT88" s="220"/>
      <c r="WU88" s="220"/>
      <c r="WV88" s="220"/>
      <c r="WW88" s="220"/>
      <c r="WX88" s="220"/>
      <c r="WY88" s="220"/>
      <c r="WZ88" s="220"/>
      <c r="XA88" s="220"/>
      <c r="XB88" s="220"/>
      <c r="XC88" s="220"/>
      <c r="XD88" s="220"/>
      <c r="XE88" s="220"/>
      <c r="XF88" s="220"/>
      <c r="XG88" s="220"/>
      <c r="XH88" s="220"/>
      <c r="XI88" s="220"/>
      <c r="XJ88" s="220"/>
      <c r="XK88" s="220"/>
      <c r="XL88" s="220"/>
      <c r="XM88" s="220"/>
      <c r="XN88" s="220"/>
      <c r="XO88" s="220"/>
      <c r="XP88" s="220"/>
      <c r="XQ88" s="220"/>
      <c r="XR88" s="220"/>
      <c r="XS88" s="220"/>
      <c r="XT88" s="220"/>
      <c r="XU88" s="220"/>
      <c r="XV88" s="220"/>
      <c r="XW88" s="220"/>
    </row>
    <row r="89" spans="1:647" s="217" customFormat="1">
      <c r="A89" s="195"/>
      <c r="B89" s="196"/>
      <c r="C89" s="197"/>
      <c r="D89" s="197"/>
      <c r="E89" s="198"/>
      <c r="F89" s="197"/>
      <c r="G89" s="197"/>
      <c r="H89" s="197"/>
      <c r="I89" s="197"/>
      <c r="J89" s="199"/>
      <c r="K89" s="332"/>
      <c r="L89" s="332"/>
      <c r="M89" s="451"/>
      <c r="N89" s="451"/>
      <c r="O89" s="451"/>
      <c r="P89" s="451"/>
      <c r="Q89" s="449"/>
      <c r="R89" s="238"/>
      <c r="S89" s="332"/>
      <c r="T89" s="197"/>
      <c r="U89" s="200"/>
      <c r="V89" s="197"/>
      <c r="W89" s="197"/>
      <c r="X89" s="197"/>
      <c r="Y89" s="216"/>
      <c r="Z89" s="216"/>
      <c r="AA89" s="216"/>
      <c r="AB89" s="202"/>
      <c r="AC89" s="216"/>
      <c r="AD89" s="216"/>
      <c r="AE89" s="216"/>
      <c r="AF89" s="216"/>
      <c r="AG89" s="216"/>
      <c r="AH89" s="216"/>
      <c r="AI89" s="216"/>
      <c r="AJ89" s="216"/>
      <c r="AK89" s="216"/>
      <c r="AL89" s="216"/>
      <c r="AM89" s="216"/>
      <c r="AN89" s="216"/>
      <c r="AO89" s="216"/>
      <c r="AP89" s="216"/>
      <c r="AQ89" s="216"/>
      <c r="AR89" s="216"/>
      <c r="AS89" s="216"/>
      <c r="AT89" s="216"/>
      <c r="AU89" s="216"/>
      <c r="AV89" s="216"/>
      <c r="AW89" s="216"/>
      <c r="AX89" s="216"/>
      <c r="AY89" s="216"/>
      <c r="AZ89" s="216"/>
      <c r="BA89" s="216"/>
      <c r="BB89" s="216"/>
      <c r="BC89" s="216"/>
      <c r="BD89" s="216"/>
      <c r="BE89" s="216"/>
      <c r="BF89" s="216"/>
      <c r="BG89" s="216"/>
      <c r="BH89" s="216"/>
      <c r="BI89" s="216"/>
      <c r="BJ89" s="216"/>
      <c r="BK89" s="216"/>
      <c r="BL89" s="216"/>
      <c r="BM89" s="216"/>
      <c r="BN89" s="216"/>
      <c r="BO89" s="216"/>
      <c r="BP89" s="216"/>
      <c r="BQ89" s="216"/>
      <c r="BR89" s="216"/>
      <c r="BS89" s="216"/>
      <c r="BT89" s="216"/>
      <c r="BU89" s="216"/>
      <c r="BV89" s="216"/>
      <c r="BW89" s="216"/>
      <c r="BX89" s="216"/>
      <c r="BY89" s="216"/>
      <c r="BZ89" s="216"/>
      <c r="CA89" s="216"/>
      <c r="CB89" s="216"/>
      <c r="CC89" s="216"/>
      <c r="CD89" s="216"/>
      <c r="CE89" s="216"/>
      <c r="CF89" s="216"/>
      <c r="CG89" s="216"/>
      <c r="CH89" s="216"/>
      <c r="CI89" s="216"/>
      <c r="CJ89" s="216"/>
      <c r="CK89" s="216"/>
      <c r="CL89" s="216"/>
      <c r="CM89" s="216"/>
      <c r="CN89" s="216"/>
      <c r="CO89" s="216"/>
      <c r="CP89" s="216"/>
      <c r="CQ89" s="216"/>
      <c r="CR89" s="216"/>
      <c r="CS89" s="216"/>
      <c r="CT89" s="216"/>
      <c r="CU89" s="216"/>
      <c r="CV89" s="216"/>
      <c r="CW89" s="216"/>
      <c r="CX89" s="216"/>
      <c r="CY89" s="216"/>
      <c r="CZ89" s="216"/>
      <c r="DA89" s="216"/>
      <c r="DB89" s="216"/>
      <c r="DC89" s="216"/>
      <c r="DD89" s="216"/>
      <c r="DE89" s="216"/>
      <c r="DF89" s="216"/>
      <c r="DG89" s="216"/>
      <c r="DH89" s="216"/>
      <c r="DI89" s="216"/>
      <c r="DJ89" s="216"/>
      <c r="DK89" s="216"/>
      <c r="DL89" s="216"/>
      <c r="DM89" s="216"/>
      <c r="DN89" s="216"/>
      <c r="DO89" s="216"/>
      <c r="DP89" s="216"/>
      <c r="DQ89" s="216"/>
      <c r="DR89" s="216"/>
      <c r="DS89" s="216"/>
      <c r="DT89" s="216"/>
      <c r="DU89" s="216"/>
      <c r="DV89" s="216"/>
      <c r="DW89" s="216"/>
      <c r="DX89" s="216"/>
      <c r="DY89" s="216"/>
      <c r="DZ89" s="216"/>
      <c r="EA89" s="216"/>
      <c r="EB89" s="216"/>
      <c r="EC89" s="216"/>
      <c r="ED89" s="216"/>
      <c r="EE89" s="216"/>
      <c r="EF89" s="216"/>
      <c r="EG89" s="216"/>
      <c r="EH89" s="216"/>
      <c r="EI89" s="216"/>
      <c r="EJ89" s="216"/>
      <c r="EK89" s="216"/>
      <c r="EL89" s="216"/>
      <c r="EM89" s="216"/>
      <c r="EN89" s="216"/>
      <c r="EO89" s="216"/>
      <c r="EP89" s="216"/>
      <c r="EQ89" s="216"/>
      <c r="ER89" s="216"/>
      <c r="ES89" s="216"/>
      <c r="ET89" s="216"/>
      <c r="EU89" s="216"/>
      <c r="EV89" s="216"/>
      <c r="EW89" s="216"/>
      <c r="EX89" s="216"/>
      <c r="EY89" s="216"/>
      <c r="EZ89" s="216"/>
      <c r="FA89" s="216"/>
      <c r="FB89" s="216"/>
      <c r="FC89" s="216"/>
      <c r="FD89" s="216"/>
      <c r="FE89" s="216"/>
      <c r="FF89" s="216"/>
      <c r="FG89" s="216"/>
      <c r="FH89" s="216"/>
      <c r="FI89" s="216"/>
      <c r="FJ89" s="216"/>
      <c r="FK89" s="216"/>
      <c r="FL89" s="216"/>
      <c r="FM89" s="216"/>
      <c r="FN89" s="216"/>
      <c r="FO89" s="216"/>
      <c r="FP89" s="216"/>
      <c r="FQ89" s="216"/>
      <c r="FR89" s="216"/>
      <c r="FS89" s="216"/>
      <c r="FT89" s="216"/>
      <c r="FU89" s="216"/>
      <c r="FV89" s="216"/>
      <c r="FW89" s="216"/>
      <c r="FX89" s="216"/>
      <c r="FY89" s="216"/>
      <c r="FZ89" s="216"/>
      <c r="GA89" s="216"/>
      <c r="GB89" s="216"/>
      <c r="GC89" s="216"/>
      <c r="GD89" s="216"/>
      <c r="GE89" s="216"/>
      <c r="GF89" s="216"/>
      <c r="GG89" s="216"/>
      <c r="GH89" s="216"/>
      <c r="GI89" s="216"/>
      <c r="GJ89" s="216"/>
      <c r="GK89" s="216"/>
      <c r="GL89" s="216"/>
      <c r="GM89" s="216"/>
      <c r="GN89" s="216"/>
      <c r="GO89" s="216"/>
      <c r="GP89" s="216"/>
      <c r="GQ89" s="216"/>
      <c r="GR89" s="216"/>
      <c r="GS89" s="216"/>
      <c r="GT89" s="216"/>
      <c r="GU89" s="216"/>
      <c r="GV89" s="216"/>
      <c r="GW89" s="216"/>
      <c r="GX89" s="216"/>
      <c r="GY89" s="216"/>
      <c r="GZ89" s="216"/>
      <c r="HA89" s="216"/>
      <c r="HB89" s="216"/>
      <c r="HC89" s="216"/>
      <c r="HD89" s="216"/>
      <c r="HE89" s="216"/>
      <c r="HF89" s="216"/>
      <c r="HG89" s="216"/>
      <c r="HH89" s="216"/>
      <c r="HI89" s="216"/>
      <c r="HJ89" s="216"/>
      <c r="HK89" s="216"/>
      <c r="HL89" s="216"/>
      <c r="HM89" s="216"/>
      <c r="HN89" s="216"/>
      <c r="HO89" s="216"/>
      <c r="HP89" s="216"/>
      <c r="HQ89" s="216"/>
      <c r="HR89" s="216"/>
      <c r="HS89" s="216"/>
      <c r="HT89" s="216"/>
      <c r="HU89" s="216"/>
      <c r="HV89" s="216"/>
      <c r="HW89" s="216"/>
      <c r="HX89" s="216"/>
      <c r="HY89" s="216"/>
      <c r="HZ89" s="216"/>
      <c r="IA89" s="216"/>
      <c r="IB89" s="216"/>
      <c r="IC89" s="216"/>
      <c r="ID89" s="216"/>
      <c r="IE89" s="216"/>
      <c r="IF89" s="216"/>
      <c r="IG89" s="216"/>
      <c r="IH89" s="216"/>
      <c r="II89" s="216"/>
      <c r="IJ89" s="216"/>
      <c r="IK89" s="216"/>
      <c r="IL89" s="216"/>
      <c r="IM89" s="216"/>
      <c r="IN89" s="216"/>
      <c r="IO89" s="216"/>
      <c r="IP89" s="216"/>
      <c r="IQ89" s="216"/>
      <c r="IR89" s="216"/>
      <c r="IS89" s="216"/>
      <c r="IT89" s="216"/>
      <c r="IU89" s="216"/>
      <c r="IV89" s="216"/>
      <c r="IW89" s="216"/>
      <c r="IX89" s="216"/>
      <c r="IY89" s="216"/>
      <c r="IZ89" s="216"/>
      <c r="JA89" s="216"/>
      <c r="JB89" s="216"/>
      <c r="JC89" s="216"/>
      <c r="JD89" s="216"/>
      <c r="JE89" s="216"/>
      <c r="JF89" s="216"/>
      <c r="JG89" s="216"/>
      <c r="JH89" s="216"/>
      <c r="JI89" s="216"/>
      <c r="JJ89" s="216"/>
      <c r="JK89" s="216"/>
      <c r="JL89" s="216"/>
      <c r="JM89" s="216"/>
      <c r="JN89" s="216"/>
      <c r="JO89" s="216"/>
      <c r="JP89" s="216"/>
      <c r="JQ89" s="216"/>
      <c r="JR89" s="216"/>
      <c r="JS89" s="216"/>
      <c r="JT89" s="216"/>
      <c r="JU89" s="216"/>
      <c r="JV89" s="216"/>
      <c r="JW89" s="216"/>
      <c r="JX89" s="216"/>
      <c r="JY89" s="216"/>
      <c r="JZ89" s="216"/>
      <c r="KA89" s="216"/>
      <c r="KB89" s="216"/>
      <c r="KC89" s="216"/>
      <c r="KD89" s="216"/>
      <c r="KE89" s="216"/>
      <c r="KF89" s="216"/>
      <c r="KG89" s="216"/>
      <c r="KH89" s="216"/>
      <c r="KI89" s="216"/>
      <c r="KJ89" s="216"/>
      <c r="KK89" s="216"/>
      <c r="KL89" s="216"/>
      <c r="KM89" s="216"/>
      <c r="KN89" s="216"/>
      <c r="KO89" s="216"/>
      <c r="KP89" s="216"/>
      <c r="KQ89" s="216"/>
      <c r="KR89" s="216"/>
      <c r="KS89" s="216"/>
      <c r="KT89" s="216"/>
      <c r="KU89" s="216"/>
      <c r="KV89" s="216"/>
      <c r="KW89" s="216"/>
      <c r="KX89" s="216"/>
      <c r="KY89" s="216"/>
      <c r="KZ89" s="216"/>
      <c r="LA89" s="216"/>
      <c r="LB89" s="216"/>
      <c r="LC89" s="216"/>
      <c r="LD89" s="216"/>
      <c r="LE89" s="216"/>
      <c r="LF89" s="216"/>
      <c r="LG89" s="216"/>
      <c r="LH89" s="216"/>
      <c r="LI89" s="216"/>
      <c r="LJ89" s="216"/>
      <c r="LK89" s="216"/>
      <c r="LL89" s="216"/>
      <c r="LM89" s="216"/>
      <c r="LN89" s="216"/>
      <c r="LO89" s="216"/>
      <c r="LP89" s="216"/>
      <c r="LQ89" s="216"/>
      <c r="LR89" s="216"/>
      <c r="LS89" s="216"/>
      <c r="LT89" s="216"/>
      <c r="LU89" s="216"/>
      <c r="LV89" s="216"/>
      <c r="LW89" s="216"/>
      <c r="LX89" s="216"/>
      <c r="LY89" s="216"/>
      <c r="LZ89" s="216"/>
      <c r="MA89" s="216"/>
      <c r="MB89" s="216"/>
      <c r="MC89" s="216"/>
      <c r="MD89" s="216"/>
      <c r="ME89" s="216"/>
      <c r="MF89" s="216"/>
      <c r="MG89" s="216"/>
      <c r="MH89" s="216"/>
      <c r="MI89" s="216"/>
      <c r="MJ89" s="216"/>
      <c r="MK89" s="216"/>
      <c r="ML89" s="216"/>
      <c r="MM89" s="216"/>
      <c r="MN89" s="216"/>
      <c r="MO89" s="216"/>
      <c r="MP89" s="216"/>
      <c r="MQ89" s="216"/>
      <c r="MR89" s="216"/>
      <c r="MS89" s="216"/>
      <c r="MT89" s="216"/>
      <c r="MU89" s="216"/>
      <c r="MV89" s="216"/>
      <c r="MW89" s="216"/>
      <c r="MX89" s="216"/>
      <c r="MY89" s="216"/>
      <c r="MZ89" s="216"/>
      <c r="NA89" s="216"/>
      <c r="NB89" s="216"/>
      <c r="NC89" s="216"/>
      <c r="ND89" s="216"/>
      <c r="NE89" s="216"/>
      <c r="NF89" s="216"/>
      <c r="NG89" s="216"/>
      <c r="NH89" s="216"/>
      <c r="NI89" s="216"/>
      <c r="NJ89" s="216"/>
      <c r="NK89" s="216"/>
      <c r="NL89" s="216"/>
      <c r="NM89" s="216"/>
      <c r="NN89" s="216"/>
      <c r="NO89" s="216"/>
      <c r="NP89" s="216"/>
      <c r="NQ89" s="216"/>
      <c r="NR89" s="216"/>
      <c r="NS89" s="216"/>
      <c r="NT89" s="216"/>
      <c r="NU89" s="216"/>
      <c r="NV89" s="216"/>
      <c r="NW89" s="216"/>
      <c r="NX89" s="216"/>
      <c r="NY89" s="216"/>
      <c r="NZ89" s="216"/>
      <c r="OA89" s="216"/>
      <c r="OB89" s="216"/>
      <c r="OC89" s="216"/>
      <c r="OD89" s="216"/>
      <c r="OE89" s="216"/>
      <c r="OF89" s="216"/>
      <c r="OG89" s="216"/>
      <c r="OH89" s="216"/>
      <c r="OI89" s="216"/>
      <c r="OJ89" s="216"/>
      <c r="OK89" s="216"/>
      <c r="OL89" s="216"/>
      <c r="OM89" s="216"/>
      <c r="ON89" s="216"/>
      <c r="OO89" s="216"/>
      <c r="OP89" s="216"/>
      <c r="OQ89" s="216"/>
      <c r="OR89" s="216"/>
      <c r="OS89" s="216"/>
      <c r="OT89" s="216"/>
      <c r="OU89" s="216"/>
      <c r="OV89" s="216"/>
      <c r="OW89" s="216"/>
      <c r="OX89" s="216"/>
      <c r="OY89" s="216"/>
      <c r="OZ89" s="216"/>
      <c r="PA89" s="216"/>
      <c r="PB89" s="216"/>
      <c r="PC89" s="216"/>
      <c r="PD89" s="216"/>
      <c r="PE89" s="216"/>
      <c r="PF89" s="216"/>
      <c r="PG89" s="216"/>
      <c r="PH89" s="216"/>
      <c r="PI89" s="216"/>
      <c r="PJ89" s="216"/>
      <c r="PK89" s="216"/>
      <c r="PL89" s="216"/>
      <c r="PM89" s="216"/>
      <c r="PN89" s="216"/>
      <c r="PO89" s="216"/>
      <c r="PP89" s="216"/>
      <c r="PQ89" s="216"/>
      <c r="PR89" s="216"/>
      <c r="PS89" s="216"/>
      <c r="PT89" s="216"/>
      <c r="PU89" s="216"/>
      <c r="PV89" s="216"/>
      <c r="PW89" s="216"/>
      <c r="PX89" s="216"/>
      <c r="PY89" s="216"/>
      <c r="PZ89" s="216"/>
      <c r="QA89" s="216"/>
      <c r="QB89" s="216"/>
      <c r="QC89" s="216"/>
      <c r="QD89" s="216"/>
      <c r="QE89" s="216"/>
      <c r="QF89" s="216"/>
      <c r="QG89" s="216"/>
      <c r="QH89" s="216"/>
      <c r="QI89" s="216"/>
      <c r="QJ89" s="216"/>
      <c r="QK89" s="216"/>
      <c r="QL89" s="216"/>
      <c r="QM89" s="216"/>
      <c r="QN89" s="216"/>
      <c r="QO89" s="216"/>
      <c r="QP89" s="216"/>
      <c r="QQ89" s="216"/>
      <c r="QR89" s="216"/>
      <c r="QS89" s="216"/>
      <c r="QT89" s="216"/>
      <c r="QU89" s="216"/>
      <c r="QV89" s="216"/>
      <c r="QW89" s="216"/>
      <c r="QX89" s="216"/>
      <c r="QY89" s="216"/>
      <c r="QZ89" s="216"/>
      <c r="RA89" s="216"/>
      <c r="RB89" s="216"/>
      <c r="RC89" s="216"/>
      <c r="RD89" s="216"/>
      <c r="RE89" s="216"/>
      <c r="RF89" s="216"/>
      <c r="RG89" s="216"/>
      <c r="RH89" s="216"/>
      <c r="RI89" s="216"/>
      <c r="RJ89" s="216"/>
      <c r="RK89" s="216"/>
      <c r="RL89" s="216"/>
      <c r="RM89" s="216"/>
      <c r="RN89" s="216"/>
      <c r="RO89" s="216"/>
      <c r="RP89" s="216"/>
      <c r="RQ89" s="216"/>
      <c r="RR89" s="216"/>
      <c r="RS89" s="216"/>
      <c r="RT89" s="216"/>
      <c r="RU89" s="216"/>
      <c r="RV89" s="216"/>
      <c r="RW89" s="216"/>
      <c r="RX89" s="216"/>
      <c r="RY89" s="216"/>
      <c r="RZ89" s="216"/>
      <c r="SA89" s="216"/>
      <c r="SB89" s="216"/>
      <c r="SC89" s="216"/>
      <c r="SD89" s="216"/>
      <c r="SE89" s="216"/>
      <c r="SF89" s="216"/>
      <c r="SG89" s="216"/>
      <c r="SH89" s="216"/>
      <c r="SI89" s="216"/>
      <c r="SJ89" s="216"/>
      <c r="SK89" s="216"/>
      <c r="SL89" s="216"/>
      <c r="SM89" s="216"/>
      <c r="SN89" s="216"/>
      <c r="SO89" s="216"/>
      <c r="SP89" s="216"/>
      <c r="SQ89" s="216"/>
      <c r="SR89" s="216"/>
      <c r="SS89" s="216"/>
      <c r="ST89" s="216"/>
      <c r="SU89" s="216"/>
      <c r="SV89" s="216"/>
      <c r="SW89" s="216"/>
      <c r="SX89" s="216"/>
      <c r="SY89" s="216"/>
      <c r="SZ89" s="216"/>
      <c r="TA89" s="216"/>
      <c r="TB89" s="216"/>
      <c r="TC89" s="216"/>
      <c r="TD89" s="216"/>
      <c r="TE89" s="216"/>
      <c r="TF89" s="216"/>
      <c r="TG89" s="216"/>
      <c r="TH89" s="216"/>
      <c r="TI89" s="216"/>
      <c r="TJ89" s="216"/>
      <c r="TK89" s="216"/>
      <c r="TL89" s="216"/>
      <c r="TM89" s="216"/>
      <c r="TN89" s="216"/>
      <c r="TO89" s="216"/>
      <c r="TP89" s="216"/>
      <c r="TQ89" s="216"/>
      <c r="TR89" s="216"/>
      <c r="TS89" s="216"/>
      <c r="TT89" s="216"/>
      <c r="TU89" s="216"/>
      <c r="TV89" s="216"/>
      <c r="TW89" s="216"/>
      <c r="TX89" s="216"/>
      <c r="TY89" s="216"/>
      <c r="TZ89" s="216"/>
      <c r="UA89" s="216"/>
      <c r="UB89" s="216"/>
      <c r="UC89" s="216"/>
      <c r="UD89" s="216"/>
      <c r="UE89" s="216"/>
      <c r="UF89" s="216"/>
      <c r="UG89" s="216"/>
      <c r="UH89" s="216"/>
      <c r="UI89" s="216"/>
      <c r="UJ89" s="216"/>
      <c r="UK89" s="216"/>
      <c r="UL89" s="216"/>
      <c r="UM89" s="216"/>
      <c r="UN89" s="216"/>
      <c r="UO89" s="216"/>
      <c r="UP89" s="216"/>
      <c r="UQ89" s="216"/>
      <c r="UR89" s="216"/>
      <c r="US89" s="216"/>
      <c r="UT89" s="216"/>
      <c r="UU89" s="216"/>
      <c r="UV89" s="216"/>
      <c r="UW89" s="216"/>
      <c r="UX89" s="216"/>
      <c r="UY89" s="216"/>
      <c r="UZ89" s="216"/>
      <c r="VA89" s="216"/>
      <c r="VB89" s="216"/>
      <c r="VC89" s="216"/>
      <c r="VD89" s="216"/>
      <c r="VE89" s="216"/>
      <c r="VF89" s="216"/>
      <c r="VG89" s="216"/>
      <c r="VH89" s="216"/>
      <c r="VI89" s="216"/>
      <c r="VJ89" s="216"/>
      <c r="VK89" s="216"/>
      <c r="VL89" s="216"/>
      <c r="VM89" s="216"/>
      <c r="VN89" s="216"/>
      <c r="VO89" s="216"/>
      <c r="VP89" s="216"/>
      <c r="VQ89" s="216"/>
      <c r="VR89" s="216"/>
      <c r="VS89" s="216"/>
      <c r="VT89" s="216"/>
      <c r="VU89" s="216"/>
      <c r="VV89" s="216"/>
      <c r="VW89" s="216"/>
      <c r="VX89" s="216"/>
      <c r="VY89" s="216"/>
      <c r="VZ89" s="216"/>
      <c r="WA89" s="216"/>
      <c r="WB89" s="216"/>
      <c r="WC89" s="216"/>
      <c r="WD89" s="216"/>
      <c r="WE89" s="216"/>
      <c r="WF89" s="216"/>
      <c r="WG89" s="216"/>
      <c r="WH89" s="216"/>
      <c r="WI89" s="216"/>
      <c r="WJ89" s="216"/>
      <c r="WK89" s="216"/>
      <c r="WL89" s="216"/>
      <c r="WM89" s="216"/>
      <c r="WN89" s="216"/>
      <c r="WO89" s="216"/>
      <c r="WP89" s="216"/>
      <c r="WQ89" s="216"/>
      <c r="WR89" s="216"/>
      <c r="WS89" s="216"/>
      <c r="WT89" s="216"/>
      <c r="WU89" s="216"/>
      <c r="WV89" s="216"/>
      <c r="WW89" s="216"/>
      <c r="WX89" s="216"/>
      <c r="WY89" s="216"/>
      <c r="WZ89" s="216"/>
      <c r="XA89" s="216"/>
      <c r="XB89" s="216"/>
      <c r="XC89" s="216"/>
      <c r="XD89" s="216"/>
      <c r="XE89" s="216"/>
      <c r="XF89" s="216"/>
      <c r="XG89" s="216"/>
      <c r="XH89" s="216"/>
      <c r="XI89" s="216"/>
      <c r="XJ89" s="216"/>
      <c r="XK89" s="216"/>
      <c r="XL89" s="216"/>
      <c r="XM89" s="216"/>
      <c r="XN89" s="216"/>
      <c r="XO89" s="216"/>
      <c r="XP89" s="216"/>
      <c r="XQ89" s="216"/>
      <c r="XR89" s="216"/>
      <c r="XS89" s="216"/>
      <c r="XT89" s="216"/>
      <c r="XU89" s="216"/>
      <c r="XV89" s="216"/>
      <c r="XW89" s="216"/>
    </row>
    <row r="90" spans="1:647">
      <c r="A90" s="96"/>
      <c r="B90" s="86"/>
      <c r="C90" s="97"/>
      <c r="D90" s="97"/>
      <c r="E90" s="98"/>
      <c r="F90" s="97"/>
      <c r="G90" s="197"/>
      <c r="H90" s="197"/>
      <c r="I90" s="97"/>
      <c r="J90" s="192"/>
      <c r="K90" s="194"/>
      <c r="L90" s="194"/>
      <c r="M90" s="452"/>
      <c r="N90" s="452"/>
      <c r="O90" s="452"/>
      <c r="P90" s="452"/>
      <c r="Q90" s="450"/>
      <c r="R90" s="100"/>
      <c r="S90" s="194"/>
      <c r="T90" s="97"/>
      <c r="U90" s="193"/>
      <c r="V90" s="97"/>
      <c r="W90" s="97"/>
      <c r="X90" s="97"/>
      <c r="AB90" s="85"/>
    </row>
    <row r="91" spans="1:647">
      <c r="A91" s="96"/>
      <c r="B91" s="86"/>
      <c r="C91" s="97"/>
      <c r="D91" s="97"/>
      <c r="E91" s="98"/>
      <c r="F91" s="97"/>
      <c r="G91" s="197"/>
      <c r="H91" s="197"/>
      <c r="I91" s="97"/>
      <c r="J91" s="192"/>
      <c r="K91" s="194"/>
      <c r="L91" s="194"/>
      <c r="M91" s="452"/>
      <c r="N91" s="452"/>
      <c r="O91" s="452"/>
      <c r="P91" s="452"/>
      <c r="Q91" s="450"/>
      <c r="R91" s="100"/>
      <c r="S91" s="194"/>
      <c r="T91" s="97"/>
      <c r="U91" s="193"/>
      <c r="V91" s="97"/>
      <c r="W91" s="97"/>
      <c r="X91" s="97"/>
      <c r="AB91" s="85"/>
    </row>
    <row r="92" spans="1:647">
      <c r="A92" s="96"/>
      <c r="B92" s="86"/>
      <c r="C92" s="97"/>
      <c r="D92" s="97"/>
      <c r="E92" s="98"/>
      <c r="F92" s="97"/>
      <c r="G92" s="197"/>
      <c r="H92" s="197"/>
      <c r="I92" s="273"/>
      <c r="J92" s="279"/>
      <c r="K92" s="282"/>
      <c r="L92" s="288"/>
      <c r="M92" s="452"/>
      <c r="N92" s="452"/>
      <c r="O92" s="452"/>
      <c r="P92" s="452"/>
      <c r="Q92" s="456"/>
      <c r="R92" s="100"/>
      <c r="S92" s="156"/>
      <c r="T92" s="97"/>
      <c r="U92" s="193"/>
      <c r="V92" s="97"/>
      <c r="W92" s="97"/>
      <c r="X92" s="97"/>
      <c r="AB92" s="85"/>
    </row>
    <row r="93" spans="1:647">
      <c r="A93" s="96"/>
      <c r="B93" s="86"/>
      <c r="C93" s="97"/>
      <c r="D93" s="97"/>
      <c r="E93" s="98"/>
      <c r="F93" s="97"/>
      <c r="G93" s="197"/>
      <c r="H93" s="197"/>
      <c r="I93" s="273"/>
      <c r="J93" s="279"/>
      <c r="K93" s="282"/>
      <c r="L93" s="288"/>
      <c r="M93" s="452"/>
      <c r="N93" s="452"/>
      <c r="O93" s="452"/>
      <c r="P93" s="452"/>
      <c r="Q93" s="456"/>
      <c r="R93" s="100"/>
      <c r="S93" s="156"/>
      <c r="T93" s="97"/>
      <c r="U93" s="193"/>
      <c r="V93" s="97"/>
      <c r="W93" s="97"/>
      <c r="X93" s="97"/>
      <c r="AB93" s="85"/>
    </row>
    <row r="94" spans="1:647">
      <c r="A94" s="96"/>
      <c r="B94" s="86"/>
      <c r="C94" s="97"/>
      <c r="D94" s="97"/>
      <c r="E94" s="98"/>
      <c r="F94" s="97"/>
      <c r="G94" s="197"/>
      <c r="H94" s="197"/>
      <c r="I94" s="273"/>
      <c r="J94" s="279"/>
      <c r="K94" s="282"/>
      <c r="L94" s="288"/>
      <c r="M94" s="452"/>
      <c r="N94" s="452"/>
      <c r="O94" s="452"/>
      <c r="P94" s="452"/>
      <c r="Q94" s="456"/>
      <c r="R94" s="100"/>
      <c r="S94" s="156"/>
      <c r="T94" s="97"/>
      <c r="U94" s="193"/>
      <c r="V94" s="97"/>
      <c r="W94" s="97"/>
      <c r="X94" s="97"/>
      <c r="AB94" s="85"/>
    </row>
    <row r="95" spans="1:647">
      <c r="A95" s="96"/>
      <c r="B95" s="86"/>
      <c r="C95" s="97"/>
      <c r="D95" s="97"/>
      <c r="E95" s="98"/>
      <c r="F95" s="97"/>
      <c r="G95" s="197"/>
      <c r="H95" s="197"/>
      <c r="I95" s="273"/>
      <c r="J95" s="279"/>
      <c r="K95" s="282"/>
      <c r="L95" s="289"/>
      <c r="M95" s="452"/>
      <c r="N95" s="452"/>
      <c r="O95" s="452"/>
      <c r="P95" s="452"/>
      <c r="Q95" s="456"/>
      <c r="R95" s="100"/>
      <c r="S95" s="156"/>
      <c r="T95" s="97"/>
      <c r="U95" s="193"/>
      <c r="V95" s="97"/>
      <c r="W95" s="97"/>
      <c r="X95" s="97"/>
      <c r="AB95" s="85"/>
    </row>
    <row r="96" spans="1:647">
      <c r="A96" s="96"/>
      <c r="B96" s="86"/>
      <c r="C96" s="97"/>
      <c r="D96" s="97"/>
      <c r="E96" s="98"/>
      <c r="F96" s="97"/>
      <c r="G96" s="197"/>
      <c r="H96" s="197"/>
      <c r="I96" s="273"/>
      <c r="J96" s="279"/>
      <c r="K96" s="282"/>
      <c r="L96" s="289"/>
      <c r="M96" s="452"/>
      <c r="N96" s="452"/>
      <c r="O96" s="452"/>
      <c r="P96" s="452"/>
      <c r="Q96" s="456"/>
      <c r="R96" s="100"/>
      <c r="S96" s="156"/>
      <c r="T96" s="97"/>
      <c r="U96" s="193"/>
      <c r="V96" s="97"/>
      <c r="W96" s="97"/>
      <c r="X96" s="97"/>
      <c r="AB96" s="85"/>
    </row>
    <row r="97" spans="1:647">
      <c r="A97" s="96"/>
      <c r="B97" s="86"/>
      <c r="C97" s="97"/>
      <c r="D97" s="97"/>
      <c r="E97" s="98"/>
      <c r="F97" s="97"/>
      <c r="G97" s="197"/>
      <c r="H97" s="197"/>
      <c r="I97" s="273"/>
      <c r="J97" s="279"/>
      <c r="K97" s="282"/>
      <c r="L97" s="289"/>
      <c r="M97" s="452"/>
      <c r="N97" s="452"/>
      <c r="O97" s="452"/>
      <c r="P97" s="452"/>
      <c r="Q97" s="456"/>
      <c r="R97" s="100"/>
      <c r="S97" s="156"/>
      <c r="T97" s="97"/>
      <c r="U97" s="193"/>
      <c r="V97" s="97"/>
      <c r="W97" s="97"/>
      <c r="X97" s="97"/>
      <c r="AB97" s="85"/>
    </row>
    <row r="98" spans="1:647">
      <c r="A98" s="96"/>
      <c r="B98" s="86"/>
      <c r="C98" s="97"/>
      <c r="D98" s="97"/>
      <c r="E98" s="98"/>
      <c r="F98" s="97"/>
      <c r="G98" s="197"/>
      <c r="H98" s="197"/>
      <c r="I98" s="274"/>
      <c r="J98" s="279"/>
      <c r="K98" s="283"/>
      <c r="L98" s="288"/>
      <c r="M98" s="452"/>
      <c r="N98" s="452"/>
      <c r="O98" s="452"/>
      <c r="P98" s="452"/>
      <c r="Q98" s="456"/>
      <c r="R98" s="100"/>
      <c r="S98" s="156"/>
      <c r="T98" s="97"/>
      <c r="U98" s="193"/>
      <c r="V98" s="97"/>
      <c r="W98" s="97"/>
      <c r="X98" s="97"/>
      <c r="AB98" s="85"/>
    </row>
    <row r="99" spans="1:647">
      <c r="A99" s="96"/>
      <c r="B99" s="86"/>
      <c r="C99" s="97"/>
      <c r="D99" s="97"/>
      <c r="E99" s="98"/>
      <c r="F99" s="97"/>
      <c r="G99" s="197"/>
      <c r="H99" s="197"/>
      <c r="I99" s="274"/>
      <c r="J99" s="279"/>
      <c r="K99" s="283"/>
      <c r="L99" s="288"/>
      <c r="M99" s="452"/>
      <c r="N99" s="452"/>
      <c r="O99" s="452"/>
      <c r="P99" s="452"/>
      <c r="Q99" s="456"/>
      <c r="R99" s="100"/>
      <c r="S99" s="156"/>
      <c r="T99" s="97"/>
      <c r="U99" s="193"/>
      <c r="V99" s="97"/>
      <c r="W99" s="97"/>
      <c r="X99" s="97"/>
      <c r="AB99" s="85"/>
    </row>
    <row r="100" spans="1:647">
      <c r="A100" s="96"/>
      <c r="B100" s="86"/>
      <c r="C100" s="97"/>
      <c r="D100" s="97"/>
      <c r="E100" s="98"/>
      <c r="F100" s="97"/>
      <c r="G100" s="197"/>
      <c r="H100" s="197"/>
      <c r="I100" s="274"/>
      <c r="J100" s="279"/>
      <c r="K100" s="283"/>
      <c r="L100" s="288"/>
      <c r="M100" s="452"/>
      <c r="N100" s="452"/>
      <c r="O100" s="452"/>
      <c r="P100" s="452"/>
      <c r="Q100" s="456"/>
      <c r="R100" s="100"/>
      <c r="S100" s="156"/>
      <c r="T100" s="97"/>
      <c r="U100" s="193"/>
      <c r="V100" s="97"/>
      <c r="W100" s="97"/>
      <c r="X100" s="97"/>
      <c r="AB100" s="85"/>
    </row>
    <row r="101" spans="1:647">
      <c r="A101" s="96"/>
      <c r="B101" s="86"/>
      <c r="C101" s="97"/>
      <c r="D101" s="97"/>
      <c r="E101" s="98"/>
      <c r="F101" s="97"/>
      <c r="G101" s="197"/>
      <c r="H101" s="197"/>
      <c r="I101" s="274"/>
      <c r="J101" s="279"/>
      <c r="K101" s="283"/>
      <c r="L101" s="289"/>
      <c r="M101" s="452"/>
      <c r="N101" s="452"/>
      <c r="O101" s="452"/>
      <c r="P101" s="452"/>
      <c r="Q101" s="456"/>
      <c r="R101" s="100"/>
      <c r="S101" s="156"/>
      <c r="T101" s="97"/>
      <c r="U101" s="193"/>
      <c r="V101" s="97"/>
      <c r="W101" s="97"/>
      <c r="X101" s="97"/>
      <c r="AB101" s="85"/>
    </row>
    <row r="102" spans="1:647">
      <c r="A102" s="96"/>
      <c r="B102" s="86"/>
      <c r="C102" s="97"/>
      <c r="D102" s="97"/>
      <c r="E102" s="98"/>
      <c r="F102" s="97"/>
      <c r="G102" s="197"/>
      <c r="H102" s="197"/>
      <c r="I102" s="274"/>
      <c r="J102" s="279"/>
      <c r="K102" s="283"/>
      <c r="L102" s="289"/>
      <c r="M102" s="452"/>
      <c r="N102" s="452"/>
      <c r="O102" s="452"/>
      <c r="P102" s="452"/>
      <c r="Q102" s="456"/>
      <c r="R102" s="100"/>
      <c r="S102" s="156"/>
      <c r="T102" s="97"/>
      <c r="U102" s="193"/>
      <c r="V102" s="97"/>
      <c r="W102" s="97"/>
      <c r="X102" s="97"/>
      <c r="AB102" s="85"/>
    </row>
    <row r="103" spans="1:647">
      <c r="A103" s="96"/>
      <c r="B103" s="86"/>
      <c r="C103" s="97"/>
      <c r="D103" s="97"/>
      <c r="E103" s="98"/>
      <c r="F103" s="97"/>
      <c r="G103" s="197"/>
      <c r="H103" s="197"/>
      <c r="I103" s="274"/>
      <c r="J103" s="279"/>
      <c r="K103" s="283"/>
      <c r="L103" s="289"/>
      <c r="M103" s="452"/>
      <c r="N103" s="452"/>
      <c r="O103" s="452"/>
      <c r="P103" s="452"/>
      <c r="Q103" s="456"/>
      <c r="R103" s="100"/>
      <c r="S103" s="156"/>
      <c r="T103" s="97"/>
      <c r="U103" s="193"/>
      <c r="V103" s="97"/>
      <c r="W103" s="97"/>
      <c r="X103" s="97"/>
      <c r="AB103" s="85"/>
    </row>
    <row r="104" spans="1:647">
      <c r="A104" s="96"/>
      <c r="B104" s="86"/>
      <c r="C104" s="97"/>
      <c r="D104" s="97"/>
      <c r="E104" s="98"/>
      <c r="F104" s="97"/>
      <c r="G104" s="197"/>
      <c r="H104" s="197"/>
      <c r="I104" s="275"/>
      <c r="J104" s="280"/>
      <c r="K104" s="284"/>
      <c r="L104" s="288"/>
      <c r="M104" s="452"/>
      <c r="N104" s="452"/>
      <c r="O104" s="452"/>
      <c r="P104" s="452"/>
      <c r="Q104" s="452"/>
      <c r="R104" s="100"/>
      <c r="S104" s="156"/>
      <c r="T104" s="97"/>
      <c r="U104" s="193"/>
      <c r="V104" s="97"/>
      <c r="W104" s="97"/>
      <c r="X104" s="97"/>
      <c r="AB104" s="85"/>
    </row>
    <row r="105" spans="1:647" s="311" customFormat="1">
      <c r="A105" s="300"/>
      <c r="B105" s="301"/>
      <c r="C105" s="302"/>
      <c r="D105" s="302"/>
      <c r="E105" s="303"/>
      <c r="F105" s="302"/>
      <c r="G105" s="304"/>
      <c r="H105" s="304"/>
      <c r="I105" s="305"/>
      <c r="J105" s="306"/>
      <c r="K105" s="307"/>
      <c r="L105" s="308"/>
      <c r="M105" s="453"/>
      <c r="N105" s="453"/>
      <c r="O105" s="453"/>
      <c r="P105" s="453"/>
      <c r="Q105" s="453"/>
      <c r="R105" s="100"/>
      <c r="S105" s="156"/>
      <c r="T105" s="97"/>
      <c r="U105" s="316"/>
      <c r="V105" s="97"/>
      <c r="W105" s="97"/>
      <c r="X105" s="302"/>
      <c r="Y105" s="309"/>
      <c r="Z105" s="309"/>
      <c r="AA105" s="309"/>
      <c r="AB105" s="310"/>
      <c r="AC105" s="309"/>
      <c r="AD105" s="309"/>
      <c r="AE105" s="309"/>
      <c r="AF105" s="309"/>
      <c r="AG105" s="309"/>
      <c r="AH105" s="309"/>
      <c r="AI105" s="309"/>
      <c r="AJ105" s="309"/>
      <c r="AK105" s="309"/>
      <c r="AL105" s="309"/>
      <c r="AM105" s="309"/>
      <c r="AN105" s="309"/>
      <c r="AO105" s="309"/>
      <c r="AP105" s="309"/>
      <c r="AQ105" s="309"/>
      <c r="AR105" s="309"/>
      <c r="AS105" s="309"/>
      <c r="AT105" s="309"/>
      <c r="AU105" s="309"/>
      <c r="AV105" s="309"/>
      <c r="AW105" s="309"/>
      <c r="AX105" s="309"/>
      <c r="AY105" s="309"/>
      <c r="AZ105" s="309"/>
      <c r="BA105" s="309"/>
      <c r="BB105" s="309"/>
      <c r="BC105" s="309"/>
      <c r="BD105" s="309"/>
      <c r="BE105" s="309"/>
      <c r="BF105" s="309"/>
      <c r="BG105" s="309"/>
      <c r="BH105" s="309"/>
      <c r="BI105" s="309"/>
      <c r="BJ105" s="309"/>
      <c r="BK105" s="309"/>
      <c r="BL105" s="309"/>
      <c r="BM105" s="309"/>
      <c r="BN105" s="309"/>
      <c r="BO105" s="309"/>
      <c r="BP105" s="309"/>
      <c r="BQ105" s="309"/>
      <c r="BR105" s="309"/>
      <c r="BS105" s="309"/>
      <c r="BT105" s="309"/>
      <c r="BU105" s="309"/>
      <c r="BV105" s="309"/>
      <c r="BW105" s="309"/>
      <c r="BX105" s="309"/>
      <c r="BY105" s="309"/>
      <c r="BZ105" s="309"/>
      <c r="CA105" s="309"/>
      <c r="CB105" s="309"/>
      <c r="CC105" s="309"/>
      <c r="CD105" s="309"/>
      <c r="CE105" s="309"/>
      <c r="CF105" s="309"/>
      <c r="CG105" s="309"/>
      <c r="CH105" s="309"/>
      <c r="CI105" s="309"/>
      <c r="CJ105" s="309"/>
      <c r="CK105" s="309"/>
      <c r="CL105" s="309"/>
      <c r="CM105" s="309"/>
      <c r="CN105" s="309"/>
      <c r="CO105" s="309"/>
      <c r="CP105" s="309"/>
      <c r="CQ105" s="309"/>
      <c r="CR105" s="309"/>
      <c r="CS105" s="309"/>
      <c r="CT105" s="309"/>
      <c r="CU105" s="309"/>
      <c r="CV105" s="309"/>
      <c r="CW105" s="309"/>
      <c r="CX105" s="309"/>
      <c r="CY105" s="309"/>
      <c r="CZ105" s="309"/>
      <c r="DA105" s="309"/>
      <c r="DB105" s="309"/>
      <c r="DC105" s="309"/>
      <c r="DD105" s="309"/>
      <c r="DE105" s="309"/>
      <c r="DF105" s="309"/>
      <c r="DG105" s="309"/>
      <c r="DH105" s="309"/>
      <c r="DI105" s="309"/>
      <c r="DJ105" s="309"/>
      <c r="DK105" s="309"/>
      <c r="DL105" s="309"/>
      <c r="DM105" s="309"/>
      <c r="DN105" s="309"/>
      <c r="DO105" s="309"/>
      <c r="DP105" s="309"/>
      <c r="DQ105" s="309"/>
      <c r="DR105" s="309"/>
      <c r="DS105" s="309"/>
      <c r="DT105" s="309"/>
      <c r="DU105" s="309"/>
      <c r="DV105" s="309"/>
      <c r="DW105" s="309"/>
      <c r="DX105" s="309"/>
      <c r="DY105" s="309"/>
      <c r="DZ105" s="309"/>
      <c r="EA105" s="309"/>
      <c r="EB105" s="309"/>
      <c r="EC105" s="309"/>
      <c r="ED105" s="309"/>
      <c r="EE105" s="309"/>
      <c r="EF105" s="309"/>
      <c r="EG105" s="309"/>
      <c r="EH105" s="309"/>
      <c r="EI105" s="309"/>
      <c r="EJ105" s="309"/>
      <c r="EK105" s="309"/>
      <c r="EL105" s="309"/>
      <c r="EM105" s="309"/>
      <c r="EN105" s="309"/>
      <c r="EO105" s="309"/>
      <c r="EP105" s="309"/>
      <c r="EQ105" s="309"/>
      <c r="ER105" s="309"/>
      <c r="ES105" s="309"/>
      <c r="ET105" s="309"/>
      <c r="EU105" s="309"/>
      <c r="EV105" s="309"/>
      <c r="EW105" s="309"/>
      <c r="EX105" s="309"/>
      <c r="EY105" s="309"/>
      <c r="EZ105" s="309"/>
      <c r="FA105" s="309"/>
      <c r="FB105" s="309"/>
      <c r="FC105" s="309"/>
      <c r="FD105" s="309"/>
      <c r="FE105" s="309"/>
      <c r="FF105" s="309"/>
      <c r="FG105" s="309"/>
      <c r="FH105" s="309"/>
      <c r="FI105" s="309"/>
      <c r="FJ105" s="309"/>
      <c r="FK105" s="309"/>
      <c r="FL105" s="309"/>
      <c r="FM105" s="309"/>
      <c r="FN105" s="309"/>
      <c r="FO105" s="309"/>
      <c r="FP105" s="309"/>
      <c r="FQ105" s="309"/>
      <c r="FR105" s="309"/>
      <c r="FS105" s="309"/>
      <c r="FT105" s="309"/>
      <c r="FU105" s="309"/>
      <c r="FV105" s="309"/>
      <c r="FW105" s="309"/>
      <c r="FX105" s="309"/>
      <c r="FY105" s="309"/>
      <c r="FZ105" s="309"/>
      <c r="GA105" s="309"/>
      <c r="GB105" s="309"/>
      <c r="GC105" s="309"/>
      <c r="GD105" s="309"/>
      <c r="GE105" s="309"/>
      <c r="GF105" s="309"/>
      <c r="GG105" s="309"/>
      <c r="GH105" s="309"/>
      <c r="GI105" s="309"/>
      <c r="GJ105" s="309"/>
      <c r="GK105" s="309"/>
      <c r="GL105" s="309"/>
      <c r="GM105" s="309"/>
      <c r="GN105" s="309"/>
      <c r="GO105" s="309"/>
      <c r="GP105" s="309"/>
      <c r="GQ105" s="309"/>
      <c r="GR105" s="309"/>
      <c r="GS105" s="309"/>
      <c r="GT105" s="309"/>
      <c r="GU105" s="309"/>
      <c r="GV105" s="309"/>
      <c r="GW105" s="309"/>
      <c r="GX105" s="309"/>
      <c r="GY105" s="309"/>
      <c r="GZ105" s="309"/>
      <c r="HA105" s="309"/>
      <c r="HB105" s="309"/>
      <c r="HC105" s="309"/>
      <c r="HD105" s="309"/>
      <c r="HE105" s="309"/>
      <c r="HF105" s="309"/>
      <c r="HG105" s="309"/>
      <c r="HH105" s="309"/>
      <c r="HI105" s="309"/>
      <c r="HJ105" s="309"/>
      <c r="HK105" s="309"/>
      <c r="HL105" s="309"/>
      <c r="HM105" s="309"/>
      <c r="HN105" s="309"/>
      <c r="HO105" s="309"/>
      <c r="HP105" s="309"/>
      <c r="HQ105" s="309"/>
      <c r="HR105" s="309"/>
      <c r="HS105" s="309"/>
      <c r="HT105" s="309"/>
      <c r="HU105" s="309"/>
      <c r="HV105" s="309"/>
      <c r="HW105" s="309"/>
      <c r="HX105" s="309"/>
      <c r="HY105" s="309"/>
      <c r="HZ105" s="309"/>
      <c r="IA105" s="309"/>
      <c r="IB105" s="309"/>
      <c r="IC105" s="309"/>
      <c r="ID105" s="309"/>
      <c r="IE105" s="309"/>
      <c r="IF105" s="309"/>
      <c r="IG105" s="309"/>
      <c r="IH105" s="309"/>
      <c r="II105" s="309"/>
      <c r="IJ105" s="309"/>
      <c r="IK105" s="309"/>
      <c r="IL105" s="309"/>
      <c r="IM105" s="309"/>
      <c r="IN105" s="309"/>
      <c r="IO105" s="309"/>
      <c r="IP105" s="309"/>
      <c r="IQ105" s="309"/>
      <c r="IR105" s="309"/>
      <c r="IS105" s="309"/>
      <c r="IT105" s="309"/>
      <c r="IU105" s="309"/>
      <c r="IV105" s="309"/>
      <c r="IW105" s="309"/>
      <c r="IX105" s="309"/>
      <c r="IY105" s="309"/>
      <c r="IZ105" s="309"/>
      <c r="JA105" s="309"/>
      <c r="JB105" s="309"/>
      <c r="JC105" s="309"/>
      <c r="JD105" s="309"/>
      <c r="JE105" s="309"/>
      <c r="JF105" s="309"/>
      <c r="JG105" s="309"/>
      <c r="JH105" s="309"/>
      <c r="JI105" s="309"/>
      <c r="JJ105" s="309"/>
      <c r="JK105" s="309"/>
      <c r="JL105" s="309"/>
      <c r="JM105" s="309"/>
      <c r="JN105" s="309"/>
      <c r="JO105" s="309"/>
      <c r="JP105" s="309"/>
      <c r="JQ105" s="309"/>
      <c r="JR105" s="309"/>
      <c r="JS105" s="309"/>
      <c r="JT105" s="309"/>
      <c r="JU105" s="309"/>
      <c r="JV105" s="309"/>
      <c r="JW105" s="309"/>
      <c r="JX105" s="309"/>
      <c r="JY105" s="309"/>
      <c r="JZ105" s="309"/>
      <c r="KA105" s="309"/>
      <c r="KB105" s="309"/>
      <c r="KC105" s="309"/>
      <c r="KD105" s="309"/>
      <c r="KE105" s="309"/>
      <c r="KF105" s="309"/>
      <c r="KG105" s="309"/>
      <c r="KH105" s="309"/>
      <c r="KI105" s="309"/>
      <c r="KJ105" s="309"/>
      <c r="KK105" s="309"/>
      <c r="KL105" s="309"/>
      <c r="KM105" s="309"/>
      <c r="KN105" s="309"/>
      <c r="KO105" s="309"/>
      <c r="KP105" s="309"/>
      <c r="KQ105" s="309"/>
      <c r="KR105" s="309"/>
      <c r="KS105" s="309"/>
      <c r="KT105" s="309"/>
      <c r="KU105" s="309"/>
      <c r="KV105" s="309"/>
      <c r="KW105" s="309"/>
      <c r="KX105" s="309"/>
      <c r="KY105" s="309"/>
      <c r="KZ105" s="309"/>
      <c r="LA105" s="309"/>
      <c r="LB105" s="309"/>
      <c r="LC105" s="309"/>
      <c r="LD105" s="309"/>
      <c r="LE105" s="309"/>
      <c r="LF105" s="309"/>
      <c r="LG105" s="309"/>
      <c r="LH105" s="309"/>
      <c r="LI105" s="309"/>
      <c r="LJ105" s="309"/>
      <c r="LK105" s="309"/>
      <c r="LL105" s="309"/>
      <c r="LM105" s="309"/>
      <c r="LN105" s="309"/>
      <c r="LO105" s="309"/>
      <c r="LP105" s="309"/>
      <c r="LQ105" s="309"/>
      <c r="LR105" s="309"/>
      <c r="LS105" s="309"/>
      <c r="LT105" s="309"/>
      <c r="LU105" s="309"/>
      <c r="LV105" s="309"/>
      <c r="LW105" s="309"/>
      <c r="LX105" s="309"/>
      <c r="LY105" s="309"/>
      <c r="LZ105" s="309"/>
      <c r="MA105" s="309"/>
      <c r="MB105" s="309"/>
      <c r="MC105" s="309"/>
      <c r="MD105" s="309"/>
      <c r="ME105" s="309"/>
      <c r="MF105" s="309"/>
      <c r="MG105" s="309"/>
      <c r="MH105" s="309"/>
      <c r="MI105" s="309"/>
      <c r="MJ105" s="309"/>
      <c r="MK105" s="309"/>
      <c r="ML105" s="309"/>
      <c r="MM105" s="309"/>
      <c r="MN105" s="309"/>
      <c r="MO105" s="309"/>
      <c r="MP105" s="309"/>
      <c r="MQ105" s="309"/>
      <c r="MR105" s="309"/>
      <c r="MS105" s="309"/>
      <c r="MT105" s="309"/>
      <c r="MU105" s="309"/>
      <c r="MV105" s="309"/>
      <c r="MW105" s="309"/>
      <c r="MX105" s="309"/>
      <c r="MY105" s="309"/>
      <c r="MZ105" s="309"/>
      <c r="NA105" s="309"/>
      <c r="NB105" s="309"/>
      <c r="NC105" s="309"/>
      <c r="ND105" s="309"/>
      <c r="NE105" s="309"/>
      <c r="NF105" s="309"/>
      <c r="NG105" s="309"/>
      <c r="NH105" s="309"/>
      <c r="NI105" s="309"/>
      <c r="NJ105" s="309"/>
      <c r="NK105" s="309"/>
      <c r="NL105" s="309"/>
      <c r="NM105" s="309"/>
      <c r="NN105" s="309"/>
      <c r="NO105" s="309"/>
      <c r="NP105" s="309"/>
      <c r="NQ105" s="309"/>
      <c r="NR105" s="309"/>
      <c r="NS105" s="309"/>
      <c r="NT105" s="309"/>
      <c r="NU105" s="309"/>
      <c r="NV105" s="309"/>
      <c r="NW105" s="309"/>
      <c r="NX105" s="309"/>
      <c r="NY105" s="309"/>
      <c r="NZ105" s="309"/>
      <c r="OA105" s="309"/>
      <c r="OB105" s="309"/>
      <c r="OC105" s="309"/>
      <c r="OD105" s="309"/>
      <c r="OE105" s="309"/>
      <c r="OF105" s="309"/>
      <c r="OG105" s="309"/>
      <c r="OH105" s="309"/>
      <c r="OI105" s="309"/>
      <c r="OJ105" s="309"/>
      <c r="OK105" s="309"/>
      <c r="OL105" s="309"/>
      <c r="OM105" s="309"/>
      <c r="ON105" s="309"/>
      <c r="OO105" s="309"/>
      <c r="OP105" s="309"/>
      <c r="OQ105" s="309"/>
      <c r="OR105" s="309"/>
      <c r="OS105" s="309"/>
      <c r="OT105" s="309"/>
      <c r="OU105" s="309"/>
      <c r="OV105" s="309"/>
      <c r="OW105" s="309"/>
      <c r="OX105" s="309"/>
      <c r="OY105" s="309"/>
      <c r="OZ105" s="309"/>
      <c r="PA105" s="309"/>
      <c r="PB105" s="309"/>
      <c r="PC105" s="309"/>
      <c r="PD105" s="309"/>
      <c r="PE105" s="309"/>
      <c r="PF105" s="309"/>
      <c r="PG105" s="309"/>
      <c r="PH105" s="309"/>
      <c r="PI105" s="309"/>
      <c r="PJ105" s="309"/>
      <c r="PK105" s="309"/>
      <c r="PL105" s="309"/>
      <c r="PM105" s="309"/>
      <c r="PN105" s="309"/>
      <c r="PO105" s="309"/>
      <c r="PP105" s="309"/>
      <c r="PQ105" s="309"/>
      <c r="PR105" s="309"/>
      <c r="PS105" s="309"/>
      <c r="PT105" s="309"/>
      <c r="PU105" s="309"/>
      <c r="PV105" s="309"/>
      <c r="PW105" s="309"/>
      <c r="PX105" s="309"/>
      <c r="PY105" s="309"/>
      <c r="PZ105" s="309"/>
      <c r="QA105" s="309"/>
      <c r="QB105" s="309"/>
      <c r="QC105" s="309"/>
      <c r="QD105" s="309"/>
      <c r="QE105" s="309"/>
      <c r="QF105" s="309"/>
      <c r="QG105" s="309"/>
      <c r="QH105" s="309"/>
      <c r="QI105" s="309"/>
      <c r="QJ105" s="309"/>
      <c r="QK105" s="309"/>
      <c r="QL105" s="309"/>
      <c r="QM105" s="309"/>
      <c r="QN105" s="309"/>
      <c r="QO105" s="309"/>
      <c r="QP105" s="309"/>
      <c r="QQ105" s="309"/>
      <c r="QR105" s="309"/>
      <c r="QS105" s="309"/>
      <c r="QT105" s="309"/>
      <c r="QU105" s="309"/>
      <c r="QV105" s="309"/>
      <c r="QW105" s="309"/>
      <c r="QX105" s="309"/>
      <c r="QY105" s="309"/>
      <c r="QZ105" s="309"/>
      <c r="RA105" s="309"/>
      <c r="RB105" s="309"/>
      <c r="RC105" s="309"/>
      <c r="RD105" s="309"/>
      <c r="RE105" s="309"/>
      <c r="RF105" s="309"/>
      <c r="RG105" s="309"/>
      <c r="RH105" s="309"/>
      <c r="RI105" s="309"/>
      <c r="RJ105" s="309"/>
      <c r="RK105" s="309"/>
      <c r="RL105" s="309"/>
      <c r="RM105" s="309"/>
      <c r="RN105" s="309"/>
      <c r="RO105" s="309"/>
      <c r="RP105" s="309"/>
      <c r="RQ105" s="309"/>
      <c r="RR105" s="309"/>
      <c r="RS105" s="309"/>
      <c r="RT105" s="309"/>
      <c r="RU105" s="309"/>
      <c r="RV105" s="309"/>
      <c r="RW105" s="309"/>
      <c r="RX105" s="309"/>
      <c r="RY105" s="309"/>
      <c r="RZ105" s="309"/>
      <c r="SA105" s="309"/>
      <c r="SB105" s="309"/>
      <c r="SC105" s="309"/>
      <c r="SD105" s="309"/>
      <c r="SE105" s="309"/>
      <c r="SF105" s="309"/>
      <c r="SG105" s="309"/>
      <c r="SH105" s="309"/>
      <c r="SI105" s="309"/>
      <c r="SJ105" s="309"/>
      <c r="SK105" s="309"/>
      <c r="SL105" s="309"/>
      <c r="SM105" s="309"/>
      <c r="SN105" s="309"/>
      <c r="SO105" s="309"/>
      <c r="SP105" s="309"/>
      <c r="SQ105" s="309"/>
      <c r="SR105" s="309"/>
      <c r="SS105" s="309"/>
      <c r="ST105" s="309"/>
      <c r="SU105" s="309"/>
      <c r="SV105" s="309"/>
      <c r="SW105" s="309"/>
      <c r="SX105" s="309"/>
      <c r="SY105" s="309"/>
      <c r="SZ105" s="309"/>
      <c r="TA105" s="309"/>
      <c r="TB105" s="309"/>
      <c r="TC105" s="309"/>
      <c r="TD105" s="309"/>
      <c r="TE105" s="309"/>
      <c r="TF105" s="309"/>
      <c r="TG105" s="309"/>
      <c r="TH105" s="309"/>
      <c r="TI105" s="309"/>
      <c r="TJ105" s="309"/>
      <c r="TK105" s="309"/>
      <c r="TL105" s="309"/>
      <c r="TM105" s="309"/>
      <c r="TN105" s="309"/>
      <c r="TO105" s="309"/>
      <c r="TP105" s="309"/>
      <c r="TQ105" s="309"/>
      <c r="TR105" s="309"/>
      <c r="TS105" s="309"/>
      <c r="TT105" s="309"/>
      <c r="TU105" s="309"/>
      <c r="TV105" s="309"/>
      <c r="TW105" s="309"/>
      <c r="TX105" s="309"/>
      <c r="TY105" s="309"/>
      <c r="TZ105" s="309"/>
      <c r="UA105" s="309"/>
      <c r="UB105" s="309"/>
      <c r="UC105" s="309"/>
      <c r="UD105" s="309"/>
      <c r="UE105" s="309"/>
      <c r="UF105" s="309"/>
      <c r="UG105" s="309"/>
      <c r="UH105" s="309"/>
      <c r="UI105" s="309"/>
      <c r="UJ105" s="309"/>
      <c r="UK105" s="309"/>
      <c r="UL105" s="309"/>
      <c r="UM105" s="309"/>
      <c r="UN105" s="309"/>
      <c r="UO105" s="309"/>
      <c r="UP105" s="309"/>
      <c r="UQ105" s="309"/>
      <c r="UR105" s="309"/>
      <c r="US105" s="309"/>
      <c r="UT105" s="309"/>
      <c r="UU105" s="309"/>
      <c r="UV105" s="309"/>
      <c r="UW105" s="309"/>
      <c r="UX105" s="309"/>
      <c r="UY105" s="309"/>
      <c r="UZ105" s="309"/>
      <c r="VA105" s="309"/>
      <c r="VB105" s="309"/>
      <c r="VC105" s="309"/>
      <c r="VD105" s="309"/>
      <c r="VE105" s="309"/>
      <c r="VF105" s="309"/>
      <c r="VG105" s="309"/>
      <c r="VH105" s="309"/>
      <c r="VI105" s="309"/>
      <c r="VJ105" s="309"/>
      <c r="VK105" s="309"/>
      <c r="VL105" s="309"/>
      <c r="VM105" s="309"/>
      <c r="VN105" s="309"/>
      <c r="VO105" s="309"/>
      <c r="VP105" s="309"/>
      <c r="VQ105" s="309"/>
      <c r="VR105" s="309"/>
      <c r="VS105" s="309"/>
      <c r="VT105" s="309"/>
      <c r="VU105" s="309"/>
      <c r="VV105" s="309"/>
      <c r="VW105" s="309"/>
      <c r="VX105" s="309"/>
      <c r="VY105" s="309"/>
      <c r="VZ105" s="309"/>
      <c r="WA105" s="309"/>
      <c r="WB105" s="309"/>
      <c r="WC105" s="309"/>
      <c r="WD105" s="309"/>
      <c r="WE105" s="309"/>
      <c r="WF105" s="309"/>
      <c r="WG105" s="309"/>
      <c r="WH105" s="309"/>
      <c r="WI105" s="309"/>
      <c r="WJ105" s="309"/>
      <c r="WK105" s="309"/>
      <c r="WL105" s="309"/>
      <c r="WM105" s="309"/>
      <c r="WN105" s="309"/>
      <c r="WO105" s="309"/>
      <c r="WP105" s="309"/>
      <c r="WQ105" s="309"/>
      <c r="WR105" s="309"/>
      <c r="WS105" s="309"/>
      <c r="WT105" s="309"/>
      <c r="WU105" s="309"/>
      <c r="WV105" s="309"/>
      <c r="WW105" s="309"/>
      <c r="WX105" s="309"/>
      <c r="WY105" s="309"/>
      <c r="WZ105" s="309"/>
      <c r="XA105" s="309"/>
      <c r="XB105" s="309"/>
      <c r="XC105" s="309"/>
      <c r="XD105" s="309"/>
      <c r="XE105" s="309"/>
      <c r="XF105" s="309"/>
      <c r="XG105" s="309"/>
      <c r="XH105" s="309"/>
      <c r="XI105" s="309"/>
      <c r="XJ105" s="309"/>
      <c r="XK105" s="309"/>
      <c r="XL105" s="309"/>
      <c r="XM105" s="309"/>
      <c r="XN105" s="309"/>
      <c r="XO105" s="309"/>
      <c r="XP105" s="309"/>
      <c r="XQ105" s="309"/>
      <c r="XR105" s="309"/>
      <c r="XS105" s="309"/>
      <c r="XT105" s="309"/>
      <c r="XU105" s="309"/>
      <c r="XV105" s="309"/>
      <c r="XW105" s="309"/>
    </row>
    <row r="106" spans="1:647">
      <c r="A106" s="96"/>
      <c r="B106" s="86"/>
      <c r="C106" s="97"/>
      <c r="D106" s="97"/>
      <c r="E106" s="98"/>
      <c r="F106" s="97"/>
      <c r="G106" s="97"/>
      <c r="H106" s="97"/>
      <c r="I106" s="275"/>
      <c r="J106" s="280"/>
      <c r="K106" s="284"/>
      <c r="L106" s="288"/>
      <c r="M106" s="452"/>
      <c r="N106" s="452"/>
      <c r="O106" s="452"/>
      <c r="P106" s="452"/>
      <c r="Q106" s="452"/>
      <c r="R106" s="100"/>
      <c r="S106" s="156"/>
      <c r="T106" s="97"/>
      <c r="U106" s="193"/>
      <c r="V106" s="97"/>
      <c r="W106" s="97"/>
      <c r="X106" s="97"/>
      <c r="AB106" s="85"/>
    </row>
    <row r="107" spans="1:647" s="217" customFormat="1">
      <c r="A107" s="195"/>
      <c r="B107" s="196"/>
      <c r="C107" s="197"/>
      <c r="D107" s="197"/>
      <c r="E107" s="198"/>
      <c r="F107" s="197"/>
      <c r="G107" s="197"/>
      <c r="H107" s="197"/>
      <c r="I107" s="312"/>
      <c r="J107" s="313"/>
      <c r="K107" s="314"/>
      <c r="L107" s="315"/>
      <c r="M107" s="451"/>
      <c r="N107" s="451"/>
      <c r="O107" s="451"/>
      <c r="P107" s="451"/>
      <c r="Q107" s="451"/>
      <c r="R107" s="100"/>
      <c r="S107" s="215"/>
      <c r="T107" s="97"/>
      <c r="U107" s="200"/>
      <c r="V107" s="97"/>
      <c r="W107" s="97"/>
      <c r="X107" s="197"/>
      <c r="Y107" s="298"/>
      <c r="Z107" s="298"/>
      <c r="AA107" s="298"/>
      <c r="AB107" s="202"/>
      <c r="AC107" s="216"/>
      <c r="AD107" s="216"/>
      <c r="AE107" s="216"/>
      <c r="AF107" s="216"/>
      <c r="AG107" s="216"/>
      <c r="AH107" s="216"/>
      <c r="AI107" s="216"/>
      <c r="AJ107" s="216"/>
      <c r="AK107" s="216"/>
      <c r="AL107" s="216"/>
      <c r="AM107" s="216"/>
      <c r="AN107" s="216"/>
      <c r="AO107" s="216"/>
      <c r="AP107" s="216"/>
      <c r="AQ107" s="216"/>
      <c r="AR107" s="216"/>
      <c r="AS107" s="216"/>
      <c r="AT107" s="216"/>
      <c r="AU107" s="216"/>
      <c r="AV107" s="216"/>
      <c r="AW107" s="216"/>
      <c r="AX107" s="216"/>
      <c r="AY107" s="216"/>
      <c r="AZ107" s="216"/>
      <c r="BA107" s="216"/>
      <c r="BB107" s="216"/>
      <c r="BC107" s="216"/>
      <c r="BD107" s="216"/>
      <c r="BE107" s="216"/>
      <c r="BF107" s="216"/>
      <c r="BG107" s="216"/>
      <c r="BH107" s="216"/>
      <c r="BI107" s="216"/>
      <c r="BJ107" s="216"/>
      <c r="BK107" s="216"/>
      <c r="BL107" s="216"/>
      <c r="BM107" s="216"/>
      <c r="BN107" s="216"/>
      <c r="BO107" s="216"/>
      <c r="BP107" s="216"/>
      <c r="BQ107" s="216"/>
      <c r="BR107" s="216"/>
      <c r="BS107" s="216"/>
      <c r="BT107" s="216"/>
      <c r="BU107" s="216"/>
      <c r="BV107" s="216"/>
      <c r="BW107" s="216"/>
      <c r="BX107" s="216"/>
      <c r="BY107" s="216"/>
      <c r="BZ107" s="216"/>
      <c r="CA107" s="216"/>
      <c r="CB107" s="216"/>
      <c r="CC107" s="216"/>
      <c r="CD107" s="216"/>
      <c r="CE107" s="216"/>
      <c r="CF107" s="216"/>
      <c r="CG107" s="216"/>
      <c r="CH107" s="216"/>
      <c r="CI107" s="216"/>
      <c r="CJ107" s="216"/>
      <c r="CK107" s="216"/>
      <c r="CL107" s="216"/>
      <c r="CM107" s="216"/>
      <c r="CN107" s="216"/>
      <c r="CO107" s="216"/>
      <c r="CP107" s="216"/>
      <c r="CQ107" s="216"/>
      <c r="CR107" s="216"/>
      <c r="CS107" s="216"/>
      <c r="CT107" s="216"/>
      <c r="CU107" s="216"/>
      <c r="CV107" s="216"/>
      <c r="CW107" s="216"/>
      <c r="CX107" s="216"/>
      <c r="CY107" s="216"/>
      <c r="CZ107" s="216"/>
      <c r="DA107" s="216"/>
      <c r="DB107" s="216"/>
      <c r="DC107" s="216"/>
      <c r="DD107" s="216"/>
      <c r="DE107" s="216"/>
      <c r="DF107" s="216"/>
      <c r="DG107" s="216"/>
      <c r="DH107" s="216"/>
      <c r="DI107" s="216"/>
      <c r="DJ107" s="216"/>
      <c r="DK107" s="216"/>
      <c r="DL107" s="216"/>
      <c r="DM107" s="216"/>
      <c r="DN107" s="216"/>
      <c r="DO107" s="216"/>
      <c r="DP107" s="216"/>
      <c r="DQ107" s="216"/>
      <c r="DR107" s="216"/>
      <c r="DS107" s="216"/>
      <c r="DT107" s="216"/>
      <c r="DU107" s="216"/>
      <c r="DV107" s="216"/>
      <c r="DW107" s="216"/>
      <c r="DX107" s="216"/>
      <c r="DY107" s="216"/>
      <c r="DZ107" s="216"/>
      <c r="EA107" s="216"/>
      <c r="EB107" s="216"/>
      <c r="EC107" s="216"/>
      <c r="ED107" s="216"/>
      <c r="EE107" s="216"/>
      <c r="EF107" s="216"/>
      <c r="EG107" s="216"/>
      <c r="EH107" s="216"/>
      <c r="EI107" s="216"/>
      <c r="EJ107" s="216"/>
      <c r="EK107" s="216"/>
      <c r="EL107" s="216"/>
      <c r="EM107" s="216"/>
      <c r="EN107" s="216"/>
      <c r="EO107" s="216"/>
      <c r="EP107" s="216"/>
      <c r="EQ107" s="216"/>
      <c r="ER107" s="216"/>
      <c r="ES107" s="216"/>
      <c r="ET107" s="216"/>
      <c r="EU107" s="216"/>
      <c r="EV107" s="216"/>
      <c r="EW107" s="216"/>
      <c r="EX107" s="216"/>
      <c r="EY107" s="216"/>
      <c r="EZ107" s="216"/>
      <c r="FA107" s="216"/>
      <c r="FB107" s="216"/>
      <c r="FC107" s="216"/>
      <c r="FD107" s="216"/>
      <c r="FE107" s="216"/>
      <c r="FF107" s="216"/>
      <c r="FG107" s="216"/>
      <c r="FH107" s="216"/>
      <c r="FI107" s="216"/>
      <c r="FJ107" s="216"/>
      <c r="FK107" s="216"/>
      <c r="FL107" s="216"/>
      <c r="FM107" s="216"/>
      <c r="FN107" s="216"/>
      <c r="FO107" s="216"/>
      <c r="FP107" s="216"/>
      <c r="FQ107" s="216"/>
      <c r="FR107" s="216"/>
      <c r="FS107" s="216"/>
      <c r="FT107" s="216"/>
      <c r="FU107" s="216"/>
      <c r="FV107" s="216"/>
      <c r="FW107" s="216"/>
      <c r="FX107" s="216"/>
      <c r="FY107" s="216"/>
      <c r="FZ107" s="216"/>
      <c r="GA107" s="216"/>
      <c r="GB107" s="216"/>
      <c r="GC107" s="216"/>
      <c r="GD107" s="216"/>
      <c r="GE107" s="216"/>
      <c r="GF107" s="216"/>
      <c r="GG107" s="216"/>
      <c r="GH107" s="216"/>
      <c r="GI107" s="216"/>
      <c r="GJ107" s="216"/>
      <c r="GK107" s="216"/>
      <c r="GL107" s="216"/>
      <c r="GM107" s="216"/>
      <c r="GN107" s="216"/>
      <c r="GO107" s="216"/>
      <c r="GP107" s="216"/>
      <c r="GQ107" s="216"/>
      <c r="GR107" s="216"/>
      <c r="GS107" s="216"/>
      <c r="GT107" s="216"/>
      <c r="GU107" s="216"/>
      <c r="GV107" s="216"/>
      <c r="GW107" s="216"/>
      <c r="GX107" s="216"/>
      <c r="GY107" s="216"/>
      <c r="GZ107" s="216"/>
      <c r="HA107" s="216"/>
      <c r="HB107" s="216"/>
      <c r="HC107" s="216"/>
      <c r="HD107" s="216"/>
      <c r="HE107" s="216"/>
      <c r="HF107" s="216"/>
      <c r="HG107" s="216"/>
      <c r="HH107" s="216"/>
      <c r="HI107" s="216"/>
      <c r="HJ107" s="216"/>
      <c r="HK107" s="216"/>
      <c r="HL107" s="216"/>
      <c r="HM107" s="216"/>
      <c r="HN107" s="216"/>
      <c r="HO107" s="216"/>
      <c r="HP107" s="216"/>
      <c r="HQ107" s="216"/>
      <c r="HR107" s="216"/>
      <c r="HS107" s="216"/>
      <c r="HT107" s="216"/>
      <c r="HU107" s="216"/>
      <c r="HV107" s="216"/>
      <c r="HW107" s="216"/>
      <c r="HX107" s="216"/>
      <c r="HY107" s="216"/>
      <c r="HZ107" s="216"/>
      <c r="IA107" s="216"/>
      <c r="IB107" s="216"/>
      <c r="IC107" s="216"/>
      <c r="ID107" s="216"/>
      <c r="IE107" s="216"/>
      <c r="IF107" s="216"/>
      <c r="IG107" s="216"/>
      <c r="IH107" s="216"/>
      <c r="II107" s="216"/>
      <c r="IJ107" s="216"/>
      <c r="IK107" s="216"/>
      <c r="IL107" s="216"/>
      <c r="IM107" s="216"/>
      <c r="IN107" s="216"/>
      <c r="IO107" s="216"/>
      <c r="IP107" s="216"/>
      <c r="IQ107" s="216"/>
      <c r="IR107" s="216"/>
      <c r="IS107" s="216"/>
      <c r="IT107" s="216"/>
      <c r="IU107" s="216"/>
      <c r="IV107" s="216"/>
      <c r="IW107" s="216"/>
      <c r="IX107" s="216"/>
      <c r="IY107" s="216"/>
      <c r="IZ107" s="216"/>
      <c r="JA107" s="216"/>
      <c r="JB107" s="216"/>
      <c r="JC107" s="216"/>
      <c r="JD107" s="216"/>
      <c r="JE107" s="216"/>
      <c r="JF107" s="216"/>
      <c r="JG107" s="216"/>
      <c r="JH107" s="216"/>
      <c r="JI107" s="216"/>
      <c r="JJ107" s="216"/>
      <c r="JK107" s="216"/>
      <c r="JL107" s="216"/>
      <c r="JM107" s="216"/>
      <c r="JN107" s="216"/>
      <c r="JO107" s="216"/>
      <c r="JP107" s="216"/>
      <c r="JQ107" s="216"/>
      <c r="JR107" s="216"/>
      <c r="JS107" s="216"/>
      <c r="JT107" s="216"/>
      <c r="JU107" s="216"/>
      <c r="JV107" s="216"/>
      <c r="JW107" s="216"/>
      <c r="JX107" s="216"/>
      <c r="JY107" s="216"/>
      <c r="JZ107" s="216"/>
      <c r="KA107" s="216"/>
      <c r="KB107" s="216"/>
      <c r="KC107" s="216"/>
      <c r="KD107" s="216"/>
      <c r="KE107" s="216"/>
      <c r="KF107" s="216"/>
      <c r="KG107" s="216"/>
      <c r="KH107" s="216"/>
      <c r="KI107" s="216"/>
      <c r="KJ107" s="216"/>
      <c r="KK107" s="216"/>
      <c r="KL107" s="216"/>
      <c r="KM107" s="216"/>
      <c r="KN107" s="216"/>
      <c r="KO107" s="216"/>
      <c r="KP107" s="216"/>
      <c r="KQ107" s="216"/>
      <c r="KR107" s="216"/>
      <c r="KS107" s="216"/>
      <c r="KT107" s="216"/>
      <c r="KU107" s="216"/>
      <c r="KV107" s="216"/>
      <c r="KW107" s="216"/>
      <c r="KX107" s="216"/>
      <c r="KY107" s="216"/>
      <c r="KZ107" s="216"/>
      <c r="LA107" s="216"/>
      <c r="LB107" s="216"/>
      <c r="LC107" s="216"/>
      <c r="LD107" s="216"/>
      <c r="LE107" s="216"/>
      <c r="LF107" s="216"/>
      <c r="LG107" s="216"/>
      <c r="LH107" s="216"/>
      <c r="LI107" s="216"/>
      <c r="LJ107" s="216"/>
      <c r="LK107" s="216"/>
      <c r="LL107" s="216"/>
      <c r="LM107" s="216"/>
      <c r="LN107" s="216"/>
      <c r="LO107" s="216"/>
      <c r="LP107" s="216"/>
      <c r="LQ107" s="216"/>
      <c r="LR107" s="216"/>
      <c r="LS107" s="216"/>
      <c r="LT107" s="216"/>
      <c r="LU107" s="216"/>
      <c r="LV107" s="216"/>
      <c r="LW107" s="216"/>
      <c r="LX107" s="216"/>
      <c r="LY107" s="216"/>
      <c r="LZ107" s="216"/>
      <c r="MA107" s="216"/>
      <c r="MB107" s="216"/>
      <c r="MC107" s="216"/>
      <c r="MD107" s="216"/>
      <c r="ME107" s="216"/>
      <c r="MF107" s="216"/>
      <c r="MG107" s="216"/>
      <c r="MH107" s="216"/>
      <c r="MI107" s="216"/>
      <c r="MJ107" s="216"/>
      <c r="MK107" s="216"/>
      <c r="ML107" s="216"/>
      <c r="MM107" s="216"/>
      <c r="MN107" s="216"/>
      <c r="MO107" s="216"/>
      <c r="MP107" s="216"/>
      <c r="MQ107" s="216"/>
      <c r="MR107" s="216"/>
      <c r="MS107" s="216"/>
      <c r="MT107" s="216"/>
      <c r="MU107" s="216"/>
      <c r="MV107" s="216"/>
      <c r="MW107" s="216"/>
      <c r="MX107" s="216"/>
      <c r="MY107" s="216"/>
      <c r="MZ107" s="216"/>
      <c r="NA107" s="216"/>
      <c r="NB107" s="216"/>
      <c r="NC107" s="216"/>
      <c r="ND107" s="216"/>
      <c r="NE107" s="216"/>
      <c r="NF107" s="216"/>
      <c r="NG107" s="216"/>
      <c r="NH107" s="216"/>
      <c r="NI107" s="216"/>
      <c r="NJ107" s="216"/>
      <c r="NK107" s="216"/>
      <c r="NL107" s="216"/>
      <c r="NM107" s="216"/>
      <c r="NN107" s="216"/>
      <c r="NO107" s="216"/>
      <c r="NP107" s="216"/>
      <c r="NQ107" s="216"/>
      <c r="NR107" s="216"/>
      <c r="NS107" s="216"/>
      <c r="NT107" s="216"/>
      <c r="NU107" s="216"/>
      <c r="NV107" s="216"/>
      <c r="NW107" s="216"/>
      <c r="NX107" s="216"/>
      <c r="NY107" s="216"/>
      <c r="NZ107" s="216"/>
      <c r="OA107" s="216"/>
      <c r="OB107" s="216"/>
      <c r="OC107" s="216"/>
      <c r="OD107" s="216"/>
      <c r="OE107" s="216"/>
      <c r="OF107" s="216"/>
      <c r="OG107" s="216"/>
      <c r="OH107" s="216"/>
      <c r="OI107" s="216"/>
      <c r="OJ107" s="216"/>
      <c r="OK107" s="216"/>
      <c r="OL107" s="216"/>
      <c r="OM107" s="216"/>
      <c r="ON107" s="216"/>
      <c r="OO107" s="216"/>
      <c r="OP107" s="216"/>
      <c r="OQ107" s="216"/>
      <c r="OR107" s="216"/>
      <c r="OS107" s="216"/>
      <c r="OT107" s="216"/>
      <c r="OU107" s="216"/>
      <c r="OV107" s="216"/>
      <c r="OW107" s="216"/>
      <c r="OX107" s="216"/>
      <c r="OY107" s="216"/>
      <c r="OZ107" s="216"/>
      <c r="PA107" s="216"/>
      <c r="PB107" s="216"/>
      <c r="PC107" s="216"/>
      <c r="PD107" s="216"/>
      <c r="PE107" s="216"/>
      <c r="PF107" s="216"/>
      <c r="PG107" s="216"/>
      <c r="PH107" s="216"/>
      <c r="PI107" s="216"/>
      <c r="PJ107" s="216"/>
      <c r="PK107" s="216"/>
      <c r="PL107" s="216"/>
      <c r="PM107" s="216"/>
      <c r="PN107" s="216"/>
      <c r="PO107" s="216"/>
      <c r="PP107" s="216"/>
      <c r="PQ107" s="216"/>
      <c r="PR107" s="216"/>
      <c r="PS107" s="216"/>
      <c r="PT107" s="216"/>
      <c r="PU107" s="216"/>
      <c r="PV107" s="216"/>
      <c r="PW107" s="216"/>
      <c r="PX107" s="216"/>
      <c r="PY107" s="216"/>
      <c r="PZ107" s="216"/>
      <c r="QA107" s="216"/>
      <c r="QB107" s="216"/>
      <c r="QC107" s="216"/>
      <c r="QD107" s="216"/>
      <c r="QE107" s="216"/>
      <c r="QF107" s="216"/>
      <c r="QG107" s="216"/>
      <c r="QH107" s="216"/>
      <c r="QI107" s="216"/>
      <c r="QJ107" s="216"/>
      <c r="QK107" s="216"/>
      <c r="QL107" s="216"/>
      <c r="QM107" s="216"/>
      <c r="QN107" s="216"/>
      <c r="QO107" s="216"/>
      <c r="QP107" s="216"/>
      <c r="QQ107" s="216"/>
      <c r="QR107" s="216"/>
      <c r="QS107" s="216"/>
      <c r="QT107" s="216"/>
      <c r="QU107" s="216"/>
      <c r="QV107" s="216"/>
      <c r="QW107" s="216"/>
      <c r="QX107" s="216"/>
      <c r="QY107" s="216"/>
      <c r="QZ107" s="216"/>
      <c r="RA107" s="216"/>
      <c r="RB107" s="216"/>
      <c r="RC107" s="216"/>
      <c r="RD107" s="216"/>
      <c r="RE107" s="216"/>
      <c r="RF107" s="216"/>
      <c r="RG107" s="216"/>
      <c r="RH107" s="216"/>
      <c r="RI107" s="216"/>
      <c r="RJ107" s="216"/>
      <c r="RK107" s="216"/>
      <c r="RL107" s="216"/>
      <c r="RM107" s="216"/>
      <c r="RN107" s="216"/>
      <c r="RO107" s="216"/>
      <c r="RP107" s="216"/>
      <c r="RQ107" s="216"/>
      <c r="RR107" s="216"/>
      <c r="RS107" s="216"/>
      <c r="RT107" s="216"/>
      <c r="RU107" s="216"/>
      <c r="RV107" s="216"/>
      <c r="RW107" s="216"/>
      <c r="RX107" s="216"/>
      <c r="RY107" s="216"/>
      <c r="RZ107" s="216"/>
      <c r="SA107" s="216"/>
      <c r="SB107" s="216"/>
      <c r="SC107" s="216"/>
      <c r="SD107" s="216"/>
      <c r="SE107" s="216"/>
      <c r="SF107" s="216"/>
      <c r="SG107" s="216"/>
      <c r="SH107" s="216"/>
      <c r="SI107" s="216"/>
      <c r="SJ107" s="216"/>
      <c r="SK107" s="216"/>
      <c r="SL107" s="216"/>
      <c r="SM107" s="216"/>
      <c r="SN107" s="216"/>
      <c r="SO107" s="216"/>
      <c r="SP107" s="216"/>
      <c r="SQ107" s="216"/>
      <c r="SR107" s="216"/>
      <c r="SS107" s="216"/>
      <c r="ST107" s="216"/>
      <c r="SU107" s="216"/>
      <c r="SV107" s="216"/>
      <c r="SW107" s="216"/>
      <c r="SX107" s="216"/>
      <c r="SY107" s="216"/>
      <c r="SZ107" s="216"/>
      <c r="TA107" s="216"/>
      <c r="TB107" s="216"/>
      <c r="TC107" s="216"/>
      <c r="TD107" s="216"/>
      <c r="TE107" s="216"/>
      <c r="TF107" s="216"/>
      <c r="TG107" s="216"/>
      <c r="TH107" s="216"/>
      <c r="TI107" s="216"/>
      <c r="TJ107" s="216"/>
      <c r="TK107" s="216"/>
      <c r="TL107" s="216"/>
      <c r="TM107" s="216"/>
      <c r="TN107" s="216"/>
      <c r="TO107" s="216"/>
      <c r="TP107" s="216"/>
      <c r="TQ107" s="216"/>
      <c r="TR107" s="216"/>
      <c r="TS107" s="216"/>
      <c r="TT107" s="216"/>
      <c r="TU107" s="216"/>
      <c r="TV107" s="216"/>
      <c r="TW107" s="216"/>
      <c r="TX107" s="216"/>
      <c r="TY107" s="216"/>
      <c r="TZ107" s="216"/>
      <c r="UA107" s="216"/>
      <c r="UB107" s="216"/>
      <c r="UC107" s="216"/>
      <c r="UD107" s="216"/>
      <c r="UE107" s="216"/>
      <c r="UF107" s="216"/>
      <c r="UG107" s="216"/>
      <c r="UH107" s="216"/>
      <c r="UI107" s="216"/>
      <c r="UJ107" s="216"/>
      <c r="UK107" s="216"/>
      <c r="UL107" s="216"/>
      <c r="UM107" s="216"/>
      <c r="UN107" s="216"/>
      <c r="UO107" s="216"/>
      <c r="UP107" s="216"/>
      <c r="UQ107" s="216"/>
      <c r="UR107" s="216"/>
      <c r="US107" s="216"/>
      <c r="UT107" s="216"/>
      <c r="UU107" s="216"/>
      <c r="UV107" s="216"/>
      <c r="UW107" s="216"/>
      <c r="UX107" s="216"/>
      <c r="UY107" s="216"/>
      <c r="UZ107" s="216"/>
      <c r="VA107" s="216"/>
      <c r="VB107" s="216"/>
      <c r="VC107" s="216"/>
      <c r="VD107" s="216"/>
      <c r="VE107" s="216"/>
      <c r="VF107" s="216"/>
      <c r="VG107" s="216"/>
      <c r="VH107" s="216"/>
      <c r="VI107" s="216"/>
      <c r="VJ107" s="216"/>
      <c r="VK107" s="216"/>
      <c r="VL107" s="216"/>
      <c r="VM107" s="216"/>
      <c r="VN107" s="216"/>
      <c r="VO107" s="216"/>
      <c r="VP107" s="216"/>
      <c r="VQ107" s="216"/>
      <c r="VR107" s="216"/>
      <c r="VS107" s="216"/>
      <c r="VT107" s="216"/>
      <c r="VU107" s="216"/>
      <c r="VV107" s="216"/>
      <c r="VW107" s="216"/>
      <c r="VX107" s="216"/>
      <c r="VY107" s="216"/>
      <c r="VZ107" s="216"/>
      <c r="WA107" s="216"/>
      <c r="WB107" s="216"/>
      <c r="WC107" s="216"/>
      <c r="WD107" s="216"/>
      <c r="WE107" s="216"/>
      <c r="WF107" s="216"/>
      <c r="WG107" s="216"/>
      <c r="WH107" s="216"/>
      <c r="WI107" s="216"/>
      <c r="WJ107" s="216"/>
      <c r="WK107" s="216"/>
      <c r="WL107" s="216"/>
      <c r="WM107" s="216"/>
      <c r="WN107" s="216"/>
      <c r="WO107" s="216"/>
      <c r="WP107" s="216"/>
      <c r="WQ107" s="216"/>
      <c r="WR107" s="216"/>
      <c r="WS107" s="216"/>
      <c r="WT107" s="216"/>
      <c r="WU107" s="216"/>
      <c r="WV107" s="216"/>
      <c r="WW107" s="216"/>
      <c r="WX107" s="216"/>
      <c r="WY107" s="216"/>
      <c r="WZ107" s="216"/>
      <c r="XA107" s="216"/>
      <c r="XB107" s="216"/>
      <c r="XC107" s="216"/>
      <c r="XD107" s="216"/>
      <c r="XE107" s="216"/>
      <c r="XF107" s="216"/>
      <c r="XG107" s="216"/>
      <c r="XH107" s="216"/>
      <c r="XI107" s="216"/>
      <c r="XJ107" s="216"/>
      <c r="XK107" s="216"/>
      <c r="XL107" s="216"/>
      <c r="XM107" s="216"/>
      <c r="XN107" s="216"/>
      <c r="XO107" s="216"/>
      <c r="XP107" s="216"/>
      <c r="XQ107" s="216"/>
      <c r="XR107" s="216"/>
      <c r="XS107" s="216"/>
      <c r="XT107" s="216"/>
      <c r="XU107" s="216"/>
      <c r="XV107" s="216"/>
      <c r="XW107" s="216"/>
    </row>
    <row r="108" spans="1:647">
      <c r="A108" s="96"/>
      <c r="B108" s="86"/>
      <c r="C108" s="97"/>
      <c r="D108" s="97"/>
      <c r="E108" s="98"/>
      <c r="F108" s="97"/>
      <c r="G108" s="197"/>
      <c r="H108" s="197"/>
      <c r="I108" s="275"/>
      <c r="J108" s="280"/>
      <c r="K108" s="284"/>
      <c r="L108" s="289"/>
      <c r="M108" s="452"/>
      <c r="N108" s="452"/>
      <c r="O108" s="452"/>
      <c r="P108" s="452"/>
      <c r="Q108" s="452"/>
      <c r="R108" s="100"/>
      <c r="S108" s="156"/>
      <c r="T108" s="97"/>
      <c r="U108" s="193"/>
      <c r="V108" s="97"/>
      <c r="W108" s="97"/>
      <c r="X108" s="97"/>
      <c r="Y108" s="299"/>
      <c r="Z108" s="299"/>
      <c r="AA108" s="299"/>
      <c r="AB108" s="85"/>
    </row>
    <row r="109" spans="1:647">
      <c r="A109" s="96"/>
      <c r="B109" s="86"/>
      <c r="C109" s="97"/>
      <c r="D109" s="97"/>
      <c r="E109" s="98"/>
      <c r="F109" s="97"/>
      <c r="G109" s="197"/>
      <c r="H109" s="197"/>
      <c r="I109" s="275"/>
      <c r="J109" s="280"/>
      <c r="K109" s="284"/>
      <c r="L109" s="289"/>
      <c r="M109" s="452"/>
      <c r="N109" s="452"/>
      <c r="O109" s="452"/>
      <c r="P109" s="452"/>
      <c r="Q109" s="452"/>
      <c r="R109" s="100"/>
      <c r="S109" s="156"/>
      <c r="T109" s="97"/>
      <c r="U109" s="193"/>
      <c r="V109" s="97"/>
      <c r="W109" s="97"/>
      <c r="X109" s="97"/>
      <c r="Y109" s="299"/>
      <c r="Z109" s="299"/>
      <c r="AA109" s="299"/>
      <c r="AB109" s="85"/>
    </row>
    <row r="110" spans="1:647">
      <c r="A110" s="96"/>
      <c r="B110" s="86"/>
      <c r="C110" s="97"/>
      <c r="D110" s="97"/>
      <c r="E110" s="98"/>
      <c r="F110" s="97"/>
      <c r="G110" s="197"/>
      <c r="H110" s="197"/>
      <c r="I110" s="276"/>
      <c r="J110" s="280"/>
      <c r="K110" s="285"/>
      <c r="L110" s="288"/>
      <c r="M110" s="452"/>
      <c r="N110" s="452"/>
      <c r="O110" s="452"/>
      <c r="P110" s="452"/>
      <c r="Q110" s="452"/>
      <c r="R110" s="100"/>
      <c r="S110" s="156"/>
      <c r="T110" s="97"/>
      <c r="U110" s="193"/>
      <c r="V110" s="97"/>
      <c r="W110" s="97"/>
      <c r="X110" s="97"/>
      <c r="Y110" s="299"/>
      <c r="Z110" s="299"/>
      <c r="AA110" s="299"/>
      <c r="AB110" s="85"/>
    </row>
    <row r="111" spans="1:647">
      <c r="A111" s="96"/>
      <c r="B111" s="86"/>
      <c r="C111" s="97"/>
      <c r="D111" s="97"/>
      <c r="E111" s="98"/>
      <c r="F111" s="97"/>
      <c r="G111" s="197"/>
      <c r="H111" s="197"/>
      <c r="I111" s="276"/>
      <c r="J111" s="280"/>
      <c r="K111" s="285"/>
      <c r="L111" s="288"/>
      <c r="M111" s="452"/>
      <c r="N111" s="452"/>
      <c r="O111" s="452"/>
      <c r="P111" s="452"/>
      <c r="Q111" s="452"/>
      <c r="R111" s="100"/>
      <c r="S111" s="156"/>
      <c r="T111" s="97"/>
      <c r="U111" s="193"/>
      <c r="V111" s="97"/>
      <c r="W111" s="97"/>
      <c r="X111" s="97"/>
      <c r="Y111" s="299"/>
      <c r="Z111" s="299"/>
      <c r="AA111" s="299"/>
      <c r="AB111" s="85"/>
    </row>
    <row r="112" spans="1:647">
      <c r="A112" s="96"/>
      <c r="B112" s="86"/>
      <c r="C112" s="97"/>
      <c r="D112" s="97"/>
      <c r="E112" s="98"/>
      <c r="F112" s="97"/>
      <c r="G112" s="197"/>
      <c r="H112" s="197"/>
      <c r="I112" s="276"/>
      <c r="J112" s="280"/>
      <c r="K112" s="285"/>
      <c r="L112" s="288"/>
      <c r="M112" s="452"/>
      <c r="N112" s="452"/>
      <c r="O112" s="452"/>
      <c r="P112" s="452"/>
      <c r="Q112" s="452"/>
      <c r="R112" s="100"/>
      <c r="S112" s="156"/>
      <c r="T112" s="97"/>
      <c r="U112" s="193"/>
      <c r="V112" s="97"/>
      <c r="W112" s="97"/>
      <c r="X112" s="97"/>
      <c r="Y112" s="299"/>
      <c r="Z112" s="299"/>
      <c r="AA112" s="299"/>
      <c r="AB112" s="85"/>
    </row>
    <row r="113" spans="1:647">
      <c r="A113" s="96"/>
      <c r="B113" s="86"/>
      <c r="C113" s="97"/>
      <c r="D113" s="97"/>
      <c r="E113" s="98"/>
      <c r="F113" s="97"/>
      <c r="G113" s="197"/>
      <c r="H113" s="197"/>
      <c r="I113" s="276"/>
      <c r="J113" s="280"/>
      <c r="K113" s="285"/>
      <c r="L113" s="289"/>
      <c r="M113" s="452"/>
      <c r="N113" s="452"/>
      <c r="O113" s="452"/>
      <c r="P113" s="452"/>
      <c r="Q113" s="452"/>
      <c r="R113" s="100"/>
      <c r="S113" s="156"/>
      <c r="T113" s="97"/>
      <c r="U113" s="193"/>
      <c r="V113" s="97"/>
      <c r="W113" s="97"/>
      <c r="X113" s="97"/>
      <c r="Y113" s="299"/>
      <c r="Z113" s="299"/>
      <c r="AA113" s="299"/>
      <c r="AB113" s="85"/>
    </row>
    <row r="114" spans="1:647">
      <c r="A114" s="96"/>
      <c r="B114" s="86"/>
      <c r="C114" s="97"/>
      <c r="D114" s="97"/>
      <c r="E114" s="98"/>
      <c r="F114" s="97"/>
      <c r="G114" s="197"/>
      <c r="H114" s="197"/>
      <c r="I114" s="276"/>
      <c r="J114" s="280"/>
      <c r="K114" s="285"/>
      <c r="L114" s="289"/>
      <c r="M114" s="452"/>
      <c r="N114" s="452"/>
      <c r="O114" s="452"/>
      <c r="P114" s="452"/>
      <c r="Q114" s="452"/>
      <c r="R114" s="100"/>
      <c r="S114" s="156"/>
      <c r="T114" s="97"/>
      <c r="U114" s="193"/>
      <c r="V114" s="97"/>
      <c r="W114" s="97"/>
      <c r="X114" s="97"/>
      <c r="Y114" s="299"/>
      <c r="Z114" s="299"/>
      <c r="AA114" s="299"/>
      <c r="AB114" s="85"/>
    </row>
    <row r="115" spans="1:647">
      <c r="A115" s="96"/>
      <c r="B115" s="86"/>
      <c r="C115" s="97"/>
      <c r="D115" s="97"/>
      <c r="E115" s="98"/>
      <c r="F115" s="97"/>
      <c r="G115" s="197"/>
      <c r="H115" s="197"/>
      <c r="I115" s="276"/>
      <c r="J115" s="280"/>
      <c r="K115" s="285"/>
      <c r="L115" s="289"/>
      <c r="M115" s="452"/>
      <c r="N115" s="452"/>
      <c r="O115" s="452"/>
      <c r="P115" s="452"/>
      <c r="Q115" s="452"/>
      <c r="R115" s="100"/>
      <c r="S115" s="156"/>
      <c r="T115" s="97"/>
      <c r="U115" s="193"/>
      <c r="V115" s="97"/>
      <c r="W115" s="97"/>
      <c r="X115" s="97"/>
      <c r="Y115" s="299"/>
      <c r="Z115" s="299"/>
      <c r="AA115" s="299"/>
      <c r="AB115" s="85"/>
    </row>
    <row r="116" spans="1:647">
      <c r="A116" s="96"/>
      <c r="B116" s="86"/>
      <c r="C116" s="97"/>
      <c r="D116" s="97"/>
      <c r="E116" s="98"/>
      <c r="F116" s="97"/>
      <c r="G116" s="197"/>
      <c r="H116" s="197"/>
      <c r="I116" s="277"/>
      <c r="J116" s="281"/>
      <c r="K116" s="286"/>
      <c r="L116" s="288"/>
      <c r="M116" s="452"/>
      <c r="N116" s="452"/>
      <c r="O116" s="452"/>
      <c r="P116" s="452"/>
      <c r="Q116" s="452"/>
      <c r="R116" s="100"/>
      <c r="S116" s="156"/>
      <c r="T116" s="97"/>
      <c r="U116" s="193"/>
      <c r="V116" s="97"/>
      <c r="W116" s="97"/>
      <c r="X116" s="97"/>
      <c r="Y116" s="299"/>
      <c r="Z116" s="299"/>
      <c r="AA116" s="299"/>
      <c r="AB116" s="85"/>
    </row>
    <row r="117" spans="1:647">
      <c r="A117" s="96"/>
      <c r="B117" s="86"/>
      <c r="C117" s="97"/>
      <c r="D117" s="97"/>
      <c r="E117" s="98"/>
      <c r="F117" s="97"/>
      <c r="G117" s="197"/>
      <c r="H117" s="197"/>
      <c r="I117" s="277"/>
      <c r="J117" s="281"/>
      <c r="K117" s="286"/>
      <c r="L117" s="288"/>
      <c r="M117" s="452"/>
      <c r="N117" s="452"/>
      <c r="O117" s="452"/>
      <c r="P117" s="452"/>
      <c r="Q117" s="452"/>
      <c r="R117" s="100"/>
      <c r="S117" s="156"/>
      <c r="T117" s="97"/>
      <c r="U117" s="193"/>
      <c r="V117" s="97"/>
      <c r="W117" s="97"/>
      <c r="X117" s="97"/>
      <c r="Y117" s="299"/>
      <c r="Z117" s="299"/>
      <c r="AA117" s="299"/>
      <c r="AB117" s="85"/>
    </row>
    <row r="118" spans="1:647">
      <c r="A118" s="96"/>
      <c r="B118" s="86"/>
      <c r="C118" s="97"/>
      <c r="D118" s="97"/>
      <c r="E118" s="98"/>
      <c r="F118" s="97"/>
      <c r="G118" s="197"/>
      <c r="H118" s="197"/>
      <c r="I118" s="277"/>
      <c r="J118" s="281"/>
      <c r="K118" s="286"/>
      <c r="L118" s="288"/>
      <c r="M118" s="452"/>
      <c r="N118" s="452"/>
      <c r="O118" s="452"/>
      <c r="P118" s="452"/>
      <c r="Q118" s="452"/>
      <c r="R118" s="100"/>
      <c r="S118" s="156"/>
      <c r="T118" s="97"/>
      <c r="U118" s="193"/>
      <c r="V118" s="97"/>
      <c r="W118" s="97"/>
      <c r="X118" s="97"/>
      <c r="Y118" s="299"/>
      <c r="Z118" s="299"/>
      <c r="AA118" s="299"/>
      <c r="AB118" s="85"/>
    </row>
    <row r="119" spans="1:647">
      <c r="A119" s="96"/>
      <c r="B119" s="86"/>
      <c r="C119" s="97"/>
      <c r="D119" s="97"/>
      <c r="E119" s="98"/>
      <c r="F119" s="97"/>
      <c r="G119" s="197"/>
      <c r="H119" s="197"/>
      <c r="I119" s="277"/>
      <c r="J119" s="281"/>
      <c r="K119" s="286"/>
      <c r="L119" s="289"/>
      <c r="M119" s="452"/>
      <c r="N119" s="452"/>
      <c r="O119" s="452"/>
      <c r="P119" s="452"/>
      <c r="Q119" s="452"/>
      <c r="R119" s="100"/>
      <c r="S119" s="156"/>
      <c r="T119" s="97"/>
      <c r="U119" s="193"/>
      <c r="V119" s="97"/>
      <c r="W119" s="97"/>
      <c r="X119" s="97"/>
      <c r="Y119" s="299"/>
      <c r="Z119" s="299"/>
      <c r="AA119" s="299"/>
      <c r="AB119" s="85"/>
    </row>
    <row r="120" spans="1:647">
      <c r="A120" s="96"/>
      <c r="B120" s="86"/>
      <c r="C120" s="97"/>
      <c r="D120" s="97"/>
      <c r="E120" s="98"/>
      <c r="F120" s="97"/>
      <c r="G120" s="197"/>
      <c r="H120" s="197"/>
      <c r="I120" s="277"/>
      <c r="J120" s="281"/>
      <c r="K120" s="286"/>
      <c r="L120" s="289"/>
      <c r="M120" s="452"/>
      <c r="N120" s="452"/>
      <c r="O120" s="452"/>
      <c r="P120" s="452"/>
      <c r="Q120" s="452"/>
      <c r="R120" s="100"/>
      <c r="S120" s="156"/>
      <c r="T120" s="97"/>
      <c r="U120" s="193"/>
      <c r="V120" s="97"/>
      <c r="W120" s="97"/>
      <c r="X120" s="97"/>
      <c r="Y120" s="299"/>
      <c r="Z120" s="299"/>
      <c r="AA120" s="299"/>
      <c r="AB120" s="85"/>
    </row>
    <row r="121" spans="1:647">
      <c r="A121" s="96"/>
      <c r="B121" s="86"/>
      <c r="C121" s="97"/>
      <c r="D121" s="97"/>
      <c r="E121" s="98"/>
      <c r="F121" s="97"/>
      <c r="G121" s="197"/>
      <c r="H121" s="197"/>
      <c r="I121" s="277"/>
      <c r="J121" s="281"/>
      <c r="K121" s="286"/>
      <c r="L121" s="289"/>
      <c r="M121" s="452"/>
      <c r="N121" s="452"/>
      <c r="O121" s="452"/>
      <c r="P121" s="452"/>
      <c r="Q121" s="452"/>
      <c r="R121" s="100"/>
      <c r="S121" s="156"/>
      <c r="T121" s="97"/>
      <c r="U121" s="193"/>
      <c r="V121" s="97"/>
      <c r="W121" s="97"/>
      <c r="X121" s="97"/>
      <c r="Y121" s="299"/>
      <c r="Z121" s="299"/>
      <c r="AA121" s="299"/>
      <c r="AB121" s="85"/>
    </row>
    <row r="122" spans="1:647">
      <c r="A122" s="96"/>
      <c r="B122" s="86"/>
      <c r="C122" s="97"/>
      <c r="D122" s="97"/>
      <c r="E122" s="98"/>
      <c r="F122" s="97"/>
      <c r="G122" s="197"/>
      <c r="H122" s="197"/>
      <c r="I122" s="278"/>
      <c r="J122" s="281"/>
      <c r="K122" s="287"/>
      <c r="L122" s="288"/>
      <c r="M122" s="452"/>
      <c r="N122" s="452"/>
      <c r="O122" s="452"/>
      <c r="P122" s="452"/>
      <c r="Q122" s="452"/>
      <c r="R122" s="100"/>
      <c r="S122" s="156"/>
      <c r="T122" s="97"/>
      <c r="U122" s="193"/>
      <c r="V122" s="97"/>
      <c r="W122" s="97"/>
      <c r="X122" s="97"/>
      <c r="Y122" s="299"/>
      <c r="Z122" s="299"/>
      <c r="AA122" s="299"/>
      <c r="AB122" s="85"/>
    </row>
    <row r="123" spans="1:647">
      <c r="A123" s="96"/>
      <c r="B123" s="86"/>
      <c r="C123" s="97"/>
      <c r="D123" s="97"/>
      <c r="E123" s="98"/>
      <c r="F123" s="97"/>
      <c r="G123" s="197"/>
      <c r="H123" s="197"/>
      <c r="I123" s="278"/>
      <c r="J123" s="281"/>
      <c r="K123" s="287"/>
      <c r="L123" s="288"/>
      <c r="M123" s="452"/>
      <c r="N123" s="452"/>
      <c r="O123" s="452"/>
      <c r="P123" s="452"/>
      <c r="Q123" s="452"/>
      <c r="R123" s="100"/>
      <c r="S123" s="156"/>
      <c r="T123" s="97"/>
      <c r="U123" s="193"/>
      <c r="V123" s="97"/>
      <c r="W123" s="97"/>
      <c r="X123" s="97"/>
      <c r="Y123" s="299"/>
      <c r="Z123" s="299"/>
      <c r="AA123" s="299"/>
      <c r="AB123" s="85"/>
    </row>
    <row r="124" spans="1:647">
      <c r="A124" s="96"/>
      <c r="B124" s="86"/>
      <c r="C124" s="97"/>
      <c r="D124" s="97"/>
      <c r="E124" s="98"/>
      <c r="F124" s="97"/>
      <c r="G124" s="197"/>
      <c r="H124" s="197"/>
      <c r="I124" s="278"/>
      <c r="J124" s="281"/>
      <c r="K124" s="287"/>
      <c r="L124" s="288"/>
      <c r="M124" s="452"/>
      <c r="N124" s="452"/>
      <c r="O124" s="452"/>
      <c r="P124" s="452"/>
      <c r="Q124" s="452"/>
      <c r="R124" s="100"/>
      <c r="S124" s="156"/>
      <c r="T124" s="97"/>
      <c r="U124" s="193"/>
      <c r="V124" s="97"/>
      <c r="W124" s="97"/>
      <c r="X124" s="97"/>
      <c r="Y124" s="299"/>
      <c r="Z124" s="299"/>
      <c r="AA124" s="299"/>
      <c r="AB124" s="85"/>
    </row>
    <row r="125" spans="1:647">
      <c r="A125" s="96"/>
      <c r="B125" s="86"/>
      <c r="C125" s="97"/>
      <c r="D125" s="97"/>
      <c r="E125" s="98"/>
      <c r="F125" s="97"/>
      <c r="G125" s="197"/>
      <c r="H125" s="197"/>
      <c r="I125" s="278"/>
      <c r="J125" s="281"/>
      <c r="K125" s="287"/>
      <c r="L125" s="289"/>
      <c r="M125" s="452"/>
      <c r="N125" s="452"/>
      <c r="O125" s="452"/>
      <c r="P125" s="452"/>
      <c r="Q125" s="452"/>
      <c r="R125" s="100"/>
      <c r="S125" s="156"/>
      <c r="T125" s="97"/>
      <c r="U125" s="193"/>
      <c r="V125" s="97"/>
      <c r="W125" s="97"/>
      <c r="X125" s="97"/>
      <c r="Y125" s="299"/>
      <c r="Z125" s="299"/>
      <c r="AA125" s="299"/>
      <c r="AB125" s="85"/>
    </row>
    <row r="126" spans="1:647">
      <c r="A126" s="96"/>
      <c r="B126" s="86"/>
      <c r="C126" s="97"/>
      <c r="D126" s="97"/>
      <c r="E126" s="98"/>
      <c r="F126" s="97"/>
      <c r="G126" s="197"/>
      <c r="H126" s="197"/>
      <c r="I126" s="278"/>
      <c r="J126" s="281"/>
      <c r="K126" s="287"/>
      <c r="L126" s="289"/>
      <c r="M126" s="452"/>
      <c r="N126" s="452"/>
      <c r="O126" s="452"/>
      <c r="P126" s="452"/>
      <c r="Q126" s="452"/>
      <c r="R126" s="100"/>
      <c r="S126" s="156"/>
      <c r="T126" s="97"/>
      <c r="U126" s="193"/>
      <c r="V126" s="97"/>
      <c r="W126" s="97"/>
      <c r="X126" s="97"/>
      <c r="Y126" s="299"/>
      <c r="Z126" s="299"/>
      <c r="AA126" s="299"/>
      <c r="AB126" s="85"/>
    </row>
    <row r="127" spans="1:647" s="237" customFormat="1" ht="15" thickBot="1">
      <c r="A127" s="296"/>
      <c r="B127" s="240"/>
      <c r="C127" s="241"/>
      <c r="D127" s="241"/>
      <c r="E127" s="297"/>
      <c r="F127" s="241"/>
      <c r="G127" s="241"/>
      <c r="H127" s="241"/>
      <c r="I127" s="323"/>
      <c r="J127" s="324"/>
      <c r="K127" s="325"/>
      <c r="L127" s="326"/>
      <c r="M127" s="454"/>
      <c r="N127" s="454"/>
      <c r="O127" s="454"/>
      <c r="P127" s="454"/>
      <c r="Q127" s="454"/>
      <c r="R127" s="242"/>
      <c r="S127" s="329"/>
      <c r="T127" s="241"/>
      <c r="U127" s="335"/>
      <c r="V127" s="241"/>
      <c r="W127" s="241"/>
      <c r="X127" s="241"/>
      <c r="Y127" s="336"/>
      <c r="Z127" s="336"/>
      <c r="AA127" s="336"/>
      <c r="AB127" s="236"/>
      <c r="AC127" s="235"/>
      <c r="AD127" s="235"/>
      <c r="AE127" s="235"/>
      <c r="AF127" s="235"/>
      <c r="AG127" s="235"/>
      <c r="AH127" s="235"/>
      <c r="AI127" s="235"/>
      <c r="AJ127" s="235"/>
      <c r="AK127" s="235"/>
      <c r="AL127" s="235"/>
      <c r="AM127" s="235"/>
      <c r="AN127" s="235"/>
      <c r="AO127" s="235"/>
      <c r="AP127" s="235"/>
      <c r="AQ127" s="235"/>
      <c r="AR127" s="235"/>
      <c r="AS127" s="235"/>
      <c r="AT127" s="235"/>
      <c r="AU127" s="235"/>
      <c r="AV127" s="235"/>
      <c r="AW127" s="235"/>
      <c r="AX127" s="235"/>
      <c r="AY127" s="235"/>
      <c r="AZ127" s="235"/>
      <c r="BA127" s="235"/>
      <c r="BB127" s="235"/>
      <c r="BC127" s="235"/>
      <c r="BD127" s="235"/>
      <c r="BE127" s="235"/>
      <c r="BF127" s="235"/>
      <c r="BG127" s="235"/>
      <c r="BH127" s="235"/>
      <c r="BI127" s="235"/>
      <c r="BJ127" s="235"/>
      <c r="BK127" s="235"/>
      <c r="BL127" s="235"/>
      <c r="BM127" s="235"/>
      <c r="BN127" s="235"/>
      <c r="BO127" s="235"/>
      <c r="BP127" s="235"/>
      <c r="BQ127" s="235"/>
      <c r="BR127" s="235"/>
      <c r="BS127" s="235"/>
      <c r="BT127" s="235"/>
      <c r="BU127" s="235"/>
      <c r="BV127" s="235"/>
      <c r="BW127" s="235"/>
      <c r="BX127" s="235"/>
      <c r="BY127" s="235"/>
      <c r="BZ127" s="235"/>
      <c r="CA127" s="235"/>
      <c r="CB127" s="235"/>
      <c r="CC127" s="235"/>
      <c r="CD127" s="235"/>
      <c r="CE127" s="235"/>
      <c r="CF127" s="235"/>
      <c r="CG127" s="235"/>
      <c r="CH127" s="235"/>
      <c r="CI127" s="235"/>
      <c r="CJ127" s="235"/>
      <c r="CK127" s="235"/>
      <c r="CL127" s="235"/>
      <c r="CM127" s="235"/>
      <c r="CN127" s="235"/>
      <c r="CO127" s="235"/>
      <c r="CP127" s="235"/>
      <c r="CQ127" s="235"/>
      <c r="CR127" s="235"/>
      <c r="CS127" s="235"/>
      <c r="CT127" s="235"/>
      <c r="CU127" s="235"/>
      <c r="CV127" s="235"/>
      <c r="CW127" s="235"/>
      <c r="CX127" s="235"/>
      <c r="CY127" s="235"/>
      <c r="CZ127" s="235"/>
      <c r="DA127" s="235"/>
      <c r="DB127" s="235"/>
      <c r="DC127" s="235"/>
      <c r="DD127" s="235"/>
      <c r="DE127" s="235"/>
      <c r="DF127" s="235"/>
      <c r="DG127" s="235"/>
      <c r="DH127" s="235"/>
      <c r="DI127" s="235"/>
      <c r="DJ127" s="235"/>
      <c r="DK127" s="235"/>
      <c r="DL127" s="235"/>
      <c r="DM127" s="235"/>
      <c r="DN127" s="235"/>
      <c r="DO127" s="235"/>
      <c r="DP127" s="235"/>
      <c r="DQ127" s="235"/>
      <c r="DR127" s="235"/>
      <c r="DS127" s="235"/>
      <c r="DT127" s="235"/>
      <c r="DU127" s="235"/>
      <c r="DV127" s="235"/>
      <c r="DW127" s="235"/>
      <c r="DX127" s="235"/>
      <c r="DY127" s="235"/>
      <c r="DZ127" s="235"/>
      <c r="EA127" s="235"/>
      <c r="EB127" s="235"/>
      <c r="EC127" s="235"/>
      <c r="ED127" s="235"/>
      <c r="EE127" s="235"/>
      <c r="EF127" s="235"/>
      <c r="EG127" s="235"/>
      <c r="EH127" s="235"/>
      <c r="EI127" s="235"/>
      <c r="EJ127" s="235"/>
      <c r="EK127" s="235"/>
      <c r="EL127" s="235"/>
      <c r="EM127" s="235"/>
      <c r="EN127" s="235"/>
      <c r="EO127" s="235"/>
      <c r="EP127" s="235"/>
      <c r="EQ127" s="235"/>
      <c r="ER127" s="235"/>
      <c r="ES127" s="235"/>
      <c r="ET127" s="235"/>
      <c r="EU127" s="235"/>
      <c r="EV127" s="235"/>
      <c r="EW127" s="235"/>
      <c r="EX127" s="235"/>
      <c r="EY127" s="235"/>
      <c r="EZ127" s="235"/>
      <c r="FA127" s="235"/>
      <c r="FB127" s="235"/>
      <c r="FC127" s="235"/>
      <c r="FD127" s="235"/>
      <c r="FE127" s="235"/>
      <c r="FF127" s="235"/>
      <c r="FG127" s="235"/>
      <c r="FH127" s="235"/>
      <c r="FI127" s="235"/>
      <c r="FJ127" s="235"/>
      <c r="FK127" s="235"/>
      <c r="FL127" s="235"/>
      <c r="FM127" s="235"/>
      <c r="FN127" s="235"/>
      <c r="FO127" s="235"/>
      <c r="FP127" s="235"/>
      <c r="FQ127" s="235"/>
      <c r="FR127" s="235"/>
      <c r="FS127" s="235"/>
      <c r="FT127" s="235"/>
      <c r="FU127" s="235"/>
      <c r="FV127" s="235"/>
      <c r="FW127" s="235"/>
      <c r="FX127" s="235"/>
      <c r="FY127" s="235"/>
      <c r="FZ127" s="235"/>
      <c r="GA127" s="235"/>
      <c r="GB127" s="235"/>
      <c r="GC127" s="235"/>
      <c r="GD127" s="235"/>
      <c r="GE127" s="235"/>
      <c r="GF127" s="235"/>
      <c r="GG127" s="235"/>
      <c r="GH127" s="235"/>
      <c r="GI127" s="235"/>
      <c r="GJ127" s="235"/>
      <c r="GK127" s="235"/>
      <c r="GL127" s="235"/>
      <c r="GM127" s="235"/>
      <c r="GN127" s="235"/>
      <c r="GO127" s="235"/>
      <c r="GP127" s="235"/>
      <c r="GQ127" s="235"/>
      <c r="GR127" s="235"/>
      <c r="GS127" s="235"/>
      <c r="GT127" s="235"/>
      <c r="GU127" s="235"/>
      <c r="GV127" s="235"/>
      <c r="GW127" s="235"/>
      <c r="GX127" s="235"/>
      <c r="GY127" s="235"/>
      <c r="GZ127" s="235"/>
      <c r="HA127" s="235"/>
      <c r="HB127" s="235"/>
      <c r="HC127" s="235"/>
      <c r="HD127" s="235"/>
      <c r="HE127" s="235"/>
      <c r="HF127" s="235"/>
      <c r="HG127" s="235"/>
      <c r="HH127" s="235"/>
      <c r="HI127" s="235"/>
      <c r="HJ127" s="235"/>
      <c r="HK127" s="235"/>
      <c r="HL127" s="235"/>
      <c r="HM127" s="235"/>
      <c r="HN127" s="235"/>
      <c r="HO127" s="235"/>
      <c r="HP127" s="235"/>
      <c r="HQ127" s="235"/>
      <c r="HR127" s="235"/>
      <c r="HS127" s="235"/>
      <c r="HT127" s="235"/>
      <c r="HU127" s="235"/>
      <c r="HV127" s="235"/>
      <c r="HW127" s="235"/>
      <c r="HX127" s="235"/>
      <c r="HY127" s="235"/>
      <c r="HZ127" s="235"/>
      <c r="IA127" s="235"/>
      <c r="IB127" s="235"/>
      <c r="IC127" s="235"/>
      <c r="ID127" s="235"/>
      <c r="IE127" s="235"/>
      <c r="IF127" s="235"/>
      <c r="IG127" s="235"/>
      <c r="IH127" s="235"/>
      <c r="II127" s="235"/>
      <c r="IJ127" s="235"/>
      <c r="IK127" s="235"/>
      <c r="IL127" s="235"/>
      <c r="IM127" s="235"/>
      <c r="IN127" s="235"/>
      <c r="IO127" s="235"/>
      <c r="IP127" s="235"/>
      <c r="IQ127" s="235"/>
      <c r="IR127" s="235"/>
      <c r="IS127" s="235"/>
      <c r="IT127" s="235"/>
      <c r="IU127" s="235"/>
      <c r="IV127" s="235"/>
      <c r="IW127" s="235"/>
      <c r="IX127" s="235"/>
      <c r="IY127" s="235"/>
      <c r="IZ127" s="235"/>
      <c r="JA127" s="235"/>
      <c r="JB127" s="235"/>
      <c r="JC127" s="235"/>
      <c r="JD127" s="235"/>
      <c r="JE127" s="235"/>
      <c r="JF127" s="235"/>
      <c r="JG127" s="235"/>
      <c r="JH127" s="235"/>
      <c r="JI127" s="235"/>
      <c r="JJ127" s="235"/>
      <c r="JK127" s="235"/>
      <c r="JL127" s="235"/>
      <c r="JM127" s="235"/>
      <c r="JN127" s="235"/>
      <c r="JO127" s="235"/>
      <c r="JP127" s="235"/>
      <c r="JQ127" s="235"/>
      <c r="JR127" s="235"/>
      <c r="JS127" s="235"/>
      <c r="JT127" s="235"/>
      <c r="JU127" s="235"/>
      <c r="JV127" s="235"/>
      <c r="JW127" s="235"/>
      <c r="JX127" s="235"/>
      <c r="JY127" s="235"/>
      <c r="JZ127" s="235"/>
      <c r="KA127" s="235"/>
      <c r="KB127" s="235"/>
      <c r="KC127" s="235"/>
      <c r="KD127" s="235"/>
      <c r="KE127" s="235"/>
      <c r="KF127" s="235"/>
      <c r="KG127" s="235"/>
      <c r="KH127" s="235"/>
      <c r="KI127" s="235"/>
      <c r="KJ127" s="235"/>
      <c r="KK127" s="235"/>
      <c r="KL127" s="235"/>
      <c r="KM127" s="235"/>
      <c r="KN127" s="235"/>
      <c r="KO127" s="235"/>
      <c r="KP127" s="235"/>
      <c r="KQ127" s="235"/>
      <c r="KR127" s="235"/>
      <c r="KS127" s="235"/>
      <c r="KT127" s="235"/>
      <c r="KU127" s="235"/>
      <c r="KV127" s="235"/>
      <c r="KW127" s="235"/>
      <c r="KX127" s="235"/>
      <c r="KY127" s="235"/>
      <c r="KZ127" s="235"/>
      <c r="LA127" s="235"/>
      <c r="LB127" s="235"/>
      <c r="LC127" s="235"/>
      <c r="LD127" s="235"/>
      <c r="LE127" s="235"/>
      <c r="LF127" s="235"/>
      <c r="LG127" s="235"/>
      <c r="LH127" s="235"/>
      <c r="LI127" s="235"/>
      <c r="LJ127" s="235"/>
      <c r="LK127" s="235"/>
      <c r="LL127" s="235"/>
      <c r="LM127" s="235"/>
      <c r="LN127" s="235"/>
      <c r="LO127" s="235"/>
      <c r="LP127" s="235"/>
      <c r="LQ127" s="235"/>
      <c r="LR127" s="235"/>
      <c r="LS127" s="235"/>
      <c r="LT127" s="235"/>
      <c r="LU127" s="235"/>
      <c r="LV127" s="235"/>
      <c r="LW127" s="235"/>
      <c r="LX127" s="235"/>
      <c r="LY127" s="235"/>
      <c r="LZ127" s="235"/>
      <c r="MA127" s="235"/>
      <c r="MB127" s="235"/>
      <c r="MC127" s="235"/>
      <c r="MD127" s="235"/>
      <c r="ME127" s="235"/>
      <c r="MF127" s="235"/>
      <c r="MG127" s="235"/>
      <c r="MH127" s="235"/>
      <c r="MI127" s="235"/>
      <c r="MJ127" s="235"/>
      <c r="MK127" s="235"/>
      <c r="ML127" s="235"/>
      <c r="MM127" s="235"/>
      <c r="MN127" s="235"/>
      <c r="MO127" s="235"/>
      <c r="MP127" s="235"/>
      <c r="MQ127" s="235"/>
      <c r="MR127" s="235"/>
      <c r="MS127" s="235"/>
      <c r="MT127" s="235"/>
      <c r="MU127" s="235"/>
      <c r="MV127" s="235"/>
      <c r="MW127" s="235"/>
      <c r="MX127" s="235"/>
      <c r="MY127" s="235"/>
      <c r="MZ127" s="235"/>
      <c r="NA127" s="235"/>
      <c r="NB127" s="235"/>
      <c r="NC127" s="235"/>
      <c r="ND127" s="235"/>
      <c r="NE127" s="235"/>
      <c r="NF127" s="235"/>
      <c r="NG127" s="235"/>
      <c r="NH127" s="235"/>
      <c r="NI127" s="235"/>
      <c r="NJ127" s="235"/>
      <c r="NK127" s="235"/>
      <c r="NL127" s="235"/>
      <c r="NM127" s="235"/>
      <c r="NN127" s="235"/>
      <c r="NO127" s="235"/>
      <c r="NP127" s="235"/>
      <c r="NQ127" s="235"/>
      <c r="NR127" s="235"/>
      <c r="NS127" s="235"/>
      <c r="NT127" s="235"/>
      <c r="NU127" s="235"/>
      <c r="NV127" s="235"/>
      <c r="NW127" s="235"/>
      <c r="NX127" s="235"/>
      <c r="NY127" s="235"/>
      <c r="NZ127" s="235"/>
      <c r="OA127" s="235"/>
      <c r="OB127" s="235"/>
      <c r="OC127" s="235"/>
      <c r="OD127" s="235"/>
      <c r="OE127" s="235"/>
      <c r="OF127" s="235"/>
      <c r="OG127" s="235"/>
      <c r="OH127" s="235"/>
      <c r="OI127" s="235"/>
      <c r="OJ127" s="235"/>
      <c r="OK127" s="235"/>
      <c r="OL127" s="235"/>
      <c r="OM127" s="235"/>
      <c r="ON127" s="235"/>
      <c r="OO127" s="235"/>
      <c r="OP127" s="235"/>
      <c r="OQ127" s="235"/>
      <c r="OR127" s="235"/>
      <c r="OS127" s="235"/>
      <c r="OT127" s="235"/>
      <c r="OU127" s="235"/>
      <c r="OV127" s="235"/>
      <c r="OW127" s="235"/>
      <c r="OX127" s="235"/>
      <c r="OY127" s="235"/>
      <c r="OZ127" s="235"/>
      <c r="PA127" s="235"/>
      <c r="PB127" s="235"/>
      <c r="PC127" s="235"/>
      <c r="PD127" s="235"/>
      <c r="PE127" s="235"/>
      <c r="PF127" s="235"/>
      <c r="PG127" s="235"/>
      <c r="PH127" s="235"/>
      <c r="PI127" s="235"/>
      <c r="PJ127" s="235"/>
      <c r="PK127" s="235"/>
      <c r="PL127" s="235"/>
      <c r="PM127" s="235"/>
      <c r="PN127" s="235"/>
      <c r="PO127" s="235"/>
      <c r="PP127" s="235"/>
      <c r="PQ127" s="235"/>
      <c r="PR127" s="235"/>
      <c r="PS127" s="235"/>
      <c r="PT127" s="235"/>
      <c r="PU127" s="235"/>
      <c r="PV127" s="235"/>
      <c r="PW127" s="235"/>
      <c r="PX127" s="235"/>
      <c r="PY127" s="235"/>
      <c r="PZ127" s="235"/>
      <c r="QA127" s="235"/>
      <c r="QB127" s="235"/>
      <c r="QC127" s="235"/>
      <c r="QD127" s="235"/>
      <c r="QE127" s="235"/>
      <c r="QF127" s="235"/>
      <c r="QG127" s="235"/>
      <c r="QH127" s="235"/>
      <c r="QI127" s="235"/>
      <c r="QJ127" s="235"/>
      <c r="QK127" s="235"/>
      <c r="QL127" s="235"/>
      <c r="QM127" s="235"/>
      <c r="QN127" s="235"/>
      <c r="QO127" s="235"/>
      <c r="QP127" s="235"/>
      <c r="QQ127" s="235"/>
      <c r="QR127" s="235"/>
      <c r="QS127" s="235"/>
      <c r="QT127" s="235"/>
      <c r="QU127" s="235"/>
      <c r="QV127" s="235"/>
      <c r="QW127" s="235"/>
      <c r="QX127" s="235"/>
      <c r="QY127" s="235"/>
      <c r="QZ127" s="235"/>
      <c r="RA127" s="235"/>
      <c r="RB127" s="235"/>
      <c r="RC127" s="235"/>
      <c r="RD127" s="235"/>
      <c r="RE127" s="235"/>
      <c r="RF127" s="235"/>
      <c r="RG127" s="235"/>
      <c r="RH127" s="235"/>
      <c r="RI127" s="235"/>
      <c r="RJ127" s="235"/>
      <c r="RK127" s="235"/>
      <c r="RL127" s="235"/>
      <c r="RM127" s="235"/>
      <c r="RN127" s="235"/>
      <c r="RO127" s="235"/>
      <c r="RP127" s="235"/>
      <c r="RQ127" s="235"/>
      <c r="RR127" s="235"/>
      <c r="RS127" s="235"/>
      <c r="RT127" s="235"/>
      <c r="RU127" s="235"/>
      <c r="RV127" s="235"/>
      <c r="RW127" s="235"/>
      <c r="RX127" s="235"/>
      <c r="RY127" s="235"/>
      <c r="RZ127" s="235"/>
      <c r="SA127" s="235"/>
      <c r="SB127" s="235"/>
      <c r="SC127" s="235"/>
      <c r="SD127" s="235"/>
      <c r="SE127" s="235"/>
      <c r="SF127" s="235"/>
      <c r="SG127" s="235"/>
      <c r="SH127" s="235"/>
      <c r="SI127" s="235"/>
      <c r="SJ127" s="235"/>
      <c r="SK127" s="235"/>
      <c r="SL127" s="235"/>
      <c r="SM127" s="235"/>
      <c r="SN127" s="235"/>
      <c r="SO127" s="235"/>
      <c r="SP127" s="235"/>
      <c r="SQ127" s="235"/>
      <c r="SR127" s="235"/>
      <c r="SS127" s="235"/>
      <c r="ST127" s="235"/>
      <c r="SU127" s="235"/>
      <c r="SV127" s="235"/>
      <c r="SW127" s="235"/>
      <c r="SX127" s="235"/>
      <c r="SY127" s="235"/>
      <c r="SZ127" s="235"/>
      <c r="TA127" s="235"/>
      <c r="TB127" s="235"/>
      <c r="TC127" s="235"/>
      <c r="TD127" s="235"/>
      <c r="TE127" s="235"/>
      <c r="TF127" s="235"/>
      <c r="TG127" s="235"/>
      <c r="TH127" s="235"/>
      <c r="TI127" s="235"/>
      <c r="TJ127" s="235"/>
      <c r="TK127" s="235"/>
      <c r="TL127" s="235"/>
      <c r="TM127" s="235"/>
      <c r="TN127" s="235"/>
      <c r="TO127" s="235"/>
      <c r="TP127" s="235"/>
      <c r="TQ127" s="235"/>
      <c r="TR127" s="235"/>
      <c r="TS127" s="235"/>
      <c r="TT127" s="235"/>
      <c r="TU127" s="235"/>
      <c r="TV127" s="235"/>
      <c r="TW127" s="235"/>
      <c r="TX127" s="235"/>
      <c r="TY127" s="235"/>
      <c r="TZ127" s="235"/>
      <c r="UA127" s="235"/>
      <c r="UB127" s="235"/>
      <c r="UC127" s="235"/>
      <c r="UD127" s="235"/>
      <c r="UE127" s="235"/>
      <c r="UF127" s="235"/>
      <c r="UG127" s="235"/>
      <c r="UH127" s="235"/>
      <c r="UI127" s="235"/>
      <c r="UJ127" s="235"/>
      <c r="UK127" s="235"/>
      <c r="UL127" s="235"/>
      <c r="UM127" s="235"/>
      <c r="UN127" s="235"/>
      <c r="UO127" s="235"/>
      <c r="UP127" s="235"/>
      <c r="UQ127" s="235"/>
      <c r="UR127" s="235"/>
      <c r="US127" s="235"/>
      <c r="UT127" s="235"/>
      <c r="UU127" s="235"/>
      <c r="UV127" s="235"/>
      <c r="UW127" s="235"/>
      <c r="UX127" s="235"/>
      <c r="UY127" s="235"/>
      <c r="UZ127" s="235"/>
      <c r="VA127" s="235"/>
      <c r="VB127" s="235"/>
      <c r="VC127" s="235"/>
      <c r="VD127" s="235"/>
      <c r="VE127" s="235"/>
      <c r="VF127" s="235"/>
      <c r="VG127" s="235"/>
      <c r="VH127" s="235"/>
      <c r="VI127" s="235"/>
      <c r="VJ127" s="235"/>
      <c r="VK127" s="235"/>
      <c r="VL127" s="235"/>
      <c r="VM127" s="235"/>
      <c r="VN127" s="235"/>
      <c r="VO127" s="235"/>
      <c r="VP127" s="235"/>
      <c r="VQ127" s="235"/>
      <c r="VR127" s="235"/>
      <c r="VS127" s="235"/>
      <c r="VT127" s="235"/>
      <c r="VU127" s="235"/>
      <c r="VV127" s="235"/>
      <c r="VW127" s="235"/>
      <c r="VX127" s="235"/>
      <c r="VY127" s="235"/>
      <c r="VZ127" s="235"/>
      <c r="WA127" s="235"/>
      <c r="WB127" s="235"/>
      <c r="WC127" s="235"/>
      <c r="WD127" s="235"/>
      <c r="WE127" s="235"/>
      <c r="WF127" s="235"/>
      <c r="WG127" s="235"/>
      <c r="WH127" s="235"/>
      <c r="WI127" s="235"/>
      <c r="WJ127" s="235"/>
      <c r="WK127" s="235"/>
      <c r="WL127" s="235"/>
      <c r="WM127" s="235"/>
      <c r="WN127" s="235"/>
      <c r="WO127" s="235"/>
      <c r="WP127" s="235"/>
      <c r="WQ127" s="235"/>
      <c r="WR127" s="235"/>
      <c r="WS127" s="235"/>
      <c r="WT127" s="235"/>
      <c r="WU127" s="235"/>
      <c r="WV127" s="235"/>
      <c r="WW127" s="235"/>
      <c r="WX127" s="235"/>
      <c r="WY127" s="235"/>
      <c r="WZ127" s="235"/>
      <c r="XA127" s="235"/>
      <c r="XB127" s="235"/>
      <c r="XC127" s="235"/>
      <c r="XD127" s="235"/>
      <c r="XE127" s="235"/>
      <c r="XF127" s="235"/>
      <c r="XG127" s="235"/>
      <c r="XH127" s="235"/>
      <c r="XI127" s="235"/>
      <c r="XJ127" s="235"/>
      <c r="XK127" s="235"/>
      <c r="XL127" s="235"/>
      <c r="XM127" s="235"/>
      <c r="XN127" s="235"/>
      <c r="XO127" s="235"/>
      <c r="XP127" s="235"/>
      <c r="XQ127" s="235"/>
      <c r="XR127" s="235"/>
      <c r="XS127" s="235"/>
      <c r="XT127" s="235"/>
      <c r="XU127" s="235"/>
      <c r="XV127" s="235"/>
      <c r="XW127" s="235"/>
    </row>
    <row r="128" spans="1:647" s="217" customFormat="1" ht="15" thickTop="1">
      <c r="A128" s="195"/>
      <c r="B128" s="196"/>
      <c r="C128" s="197"/>
      <c r="D128" s="197"/>
      <c r="E128" s="198"/>
      <c r="F128" s="197"/>
      <c r="G128" s="197"/>
      <c r="H128" s="197"/>
      <c r="I128" s="197"/>
      <c r="J128" s="199"/>
      <c r="K128" s="332"/>
      <c r="L128" s="332"/>
      <c r="M128" s="451"/>
      <c r="N128" s="451"/>
      <c r="O128" s="451"/>
      <c r="P128" s="451"/>
      <c r="Q128" s="449"/>
      <c r="R128" s="238"/>
      <c r="S128" s="332"/>
      <c r="T128" s="197"/>
      <c r="U128" s="200"/>
      <c r="V128" s="197"/>
      <c r="W128" s="197"/>
      <c r="X128" s="197"/>
      <c r="Y128" s="298"/>
      <c r="Z128" s="298"/>
      <c r="AA128" s="298"/>
      <c r="AB128" s="202"/>
      <c r="AC128" s="216"/>
      <c r="AD128" s="216"/>
      <c r="AE128" s="216"/>
      <c r="AF128" s="216"/>
      <c r="AG128" s="216"/>
      <c r="AH128" s="216"/>
      <c r="AI128" s="216"/>
      <c r="AJ128" s="216"/>
      <c r="AK128" s="216"/>
      <c r="AL128" s="216"/>
      <c r="AM128" s="216"/>
      <c r="AN128" s="216"/>
      <c r="AO128" s="216"/>
      <c r="AP128" s="216"/>
      <c r="AQ128" s="216"/>
      <c r="AR128" s="216"/>
      <c r="AS128" s="216"/>
      <c r="AT128" s="216"/>
      <c r="AU128" s="216"/>
      <c r="AV128" s="216"/>
      <c r="AW128" s="216"/>
      <c r="AX128" s="216"/>
      <c r="AY128" s="216"/>
      <c r="AZ128" s="216"/>
      <c r="BA128" s="216"/>
      <c r="BB128" s="216"/>
      <c r="BC128" s="216"/>
      <c r="BD128" s="216"/>
      <c r="BE128" s="216"/>
      <c r="BF128" s="216"/>
      <c r="BG128" s="216"/>
      <c r="BH128" s="216"/>
      <c r="BI128" s="216"/>
      <c r="BJ128" s="216"/>
      <c r="BK128" s="216"/>
      <c r="BL128" s="216"/>
      <c r="BM128" s="216"/>
      <c r="BN128" s="216"/>
      <c r="BO128" s="216"/>
      <c r="BP128" s="216"/>
      <c r="BQ128" s="216"/>
      <c r="BR128" s="216"/>
      <c r="BS128" s="216"/>
      <c r="BT128" s="216"/>
      <c r="BU128" s="216"/>
      <c r="BV128" s="216"/>
      <c r="BW128" s="216"/>
      <c r="BX128" s="216"/>
      <c r="BY128" s="216"/>
      <c r="BZ128" s="216"/>
      <c r="CA128" s="216"/>
      <c r="CB128" s="216"/>
      <c r="CC128" s="216"/>
      <c r="CD128" s="216"/>
      <c r="CE128" s="216"/>
      <c r="CF128" s="216"/>
      <c r="CG128" s="216"/>
      <c r="CH128" s="216"/>
      <c r="CI128" s="216"/>
      <c r="CJ128" s="216"/>
      <c r="CK128" s="216"/>
      <c r="CL128" s="216"/>
      <c r="CM128" s="216"/>
      <c r="CN128" s="216"/>
      <c r="CO128" s="216"/>
      <c r="CP128" s="216"/>
      <c r="CQ128" s="216"/>
      <c r="CR128" s="216"/>
      <c r="CS128" s="216"/>
      <c r="CT128" s="216"/>
      <c r="CU128" s="216"/>
      <c r="CV128" s="216"/>
      <c r="CW128" s="216"/>
      <c r="CX128" s="216"/>
      <c r="CY128" s="216"/>
      <c r="CZ128" s="216"/>
      <c r="DA128" s="216"/>
      <c r="DB128" s="216"/>
      <c r="DC128" s="216"/>
      <c r="DD128" s="216"/>
      <c r="DE128" s="216"/>
      <c r="DF128" s="216"/>
      <c r="DG128" s="216"/>
      <c r="DH128" s="216"/>
      <c r="DI128" s="216"/>
      <c r="DJ128" s="216"/>
      <c r="DK128" s="216"/>
      <c r="DL128" s="216"/>
      <c r="DM128" s="216"/>
      <c r="DN128" s="216"/>
      <c r="DO128" s="216"/>
      <c r="DP128" s="216"/>
      <c r="DQ128" s="216"/>
      <c r="DR128" s="216"/>
      <c r="DS128" s="216"/>
      <c r="DT128" s="216"/>
      <c r="DU128" s="216"/>
      <c r="DV128" s="216"/>
      <c r="DW128" s="216"/>
      <c r="DX128" s="216"/>
      <c r="DY128" s="216"/>
      <c r="DZ128" s="216"/>
      <c r="EA128" s="216"/>
      <c r="EB128" s="216"/>
      <c r="EC128" s="216"/>
      <c r="ED128" s="216"/>
      <c r="EE128" s="216"/>
      <c r="EF128" s="216"/>
      <c r="EG128" s="216"/>
      <c r="EH128" s="216"/>
      <c r="EI128" s="216"/>
      <c r="EJ128" s="216"/>
      <c r="EK128" s="216"/>
      <c r="EL128" s="216"/>
      <c r="EM128" s="216"/>
      <c r="EN128" s="216"/>
      <c r="EO128" s="216"/>
      <c r="EP128" s="216"/>
      <c r="EQ128" s="216"/>
      <c r="ER128" s="216"/>
      <c r="ES128" s="216"/>
      <c r="ET128" s="216"/>
      <c r="EU128" s="216"/>
      <c r="EV128" s="216"/>
      <c r="EW128" s="216"/>
      <c r="EX128" s="216"/>
      <c r="EY128" s="216"/>
      <c r="EZ128" s="216"/>
      <c r="FA128" s="216"/>
      <c r="FB128" s="216"/>
      <c r="FC128" s="216"/>
      <c r="FD128" s="216"/>
      <c r="FE128" s="216"/>
      <c r="FF128" s="216"/>
      <c r="FG128" s="216"/>
      <c r="FH128" s="216"/>
      <c r="FI128" s="216"/>
      <c r="FJ128" s="216"/>
      <c r="FK128" s="216"/>
      <c r="FL128" s="216"/>
      <c r="FM128" s="216"/>
      <c r="FN128" s="216"/>
      <c r="FO128" s="216"/>
      <c r="FP128" s="216"/>
      <c r="FQ128" s="216"/>
      <c r="FR128" s="216"/>
      <c r="FS128" s="216"/>
      <c r="FT128" s="216"/>
      <c r="FU128" s="216"/>
      <c r="FV128" s="216"/>
      <c r="FW128" s="216"/>
      <c r="FX128" s="216"/>
      <c r="FY128" s="216"/>
      <c r="FZ128" s="216"/>
      <c r="GA128" s="216"/>
      <c r="GB128" s="216"/>
      <c r="GC128" s="216"/>
      <c r="GD128" s="216"/>
      <c r="GE128" s="216"/>
      <c r="GF128" s="216"/>
      <c r="GG128" s="216"/>
      <c r="GH128" s="216"/>
      <c r="GI128" s="216"/>
      <c r="GJ128" s="216"/>
      <c r="GK128" s="216"/>
      <c r="GL128" s="216"/>
      <c r="GM128" s="216"/>
      <c r="GN128" s="216"/>
      <c r="GO128" s="216"/>
      <c r="GP128" s="216"/>
      <c r="GQ128" s="216"/>
      <c r="GR128" s="216"/>
      <c r="GS128" s="216"/>
      <c r="GT128" s="216"/>
      <c r="GU128" s="216"/>
      <c r="GV128" s="216"/>
      <c r="GW128" s="216"/>
      <c r="GX128" s="216"/>
      <c r="GY128" s="216"/>
      <c r="GZ128" s="216"/>
      <c r="HA128" s="216"/>
      <c r="HB128" s="216"/>
      <c r="HC128" s="216"/>
      <c r="HD128" s="216"/>
      <c r="HE128" s="216"/>
      <c r="HF128" s="216"/>
      <c r="HG128" s="216"/>
      <c r="HH128" s="216"/>
      <c r="HI128" s="216"/>
      <c r="HJ128" s="216"/>
      <c r="HK128" s="216"/>
      <c r="HL128" s="216"/>
      <c r="HM128" s="216"/>
      <c r="HN128" s="216"/>
      <c r="HO128" s="216"/>
      <c r="HP128" s="216"/>
      <c r="HQ128" s="216"/>
      <c r="HR128" s="216"/>
      <c r="HS128" s="216"/>
      <c r="HT128" s="216"/>
      <c r="HU128" s="216"/>
      <c r="HV128" s="216"/>
      <c r="HW128" s="216"/>
      <c r="HX128" s="216"/>
      <c r="HY128" s="216"/>
      <c r="HZ128" s="216"/>
      <c r="IA128" s="216"/>
      <c r="IB128" s="216"/>
      <c r="IC128" s="216"/>
      <c r="ID128" s="216"/>
      <c r="IE128" s="216"/>
      <c r="IF128" s="216"/>
      <c r="IG128" s="216"/>
      <c r="IH128" s="216"/>
      <c r="II128" s="216"/>
      <c r="IJ128" s="216"/>
      <c r="IK128" s="216"/>
      <c r="IL128" s="216"/>
      <c r="IM128" s="216"/>
      <c r="IN128" s="216"/>
      <c r="IO128" s="216"/>
      <c r="IP128" s="216"/>
      <c r="IQ128" s="216"/>
      <c r="IR128" s="216"/>
      <c r="IS128" s="216"/>
      <c r="IT128" s="216"/>
      <c r="IU128" s="216"/>
      <c r="IV128" s="216"/>
      <c r="IW128" s="216"/>
      <c r="IX128" s="216"/>
      <c r="IY128" s="216"/>
      <c r="IZ128" s="216"/>
      <c r="JA128" s="216"/>
      <c r="JB128" s="216"/>
      <c r="JC128" s="216"/>
      <c r="JD128" s="216"/>
      <c r="JE128" s="216"/>
      <c r="JF128" s="216"/>
      <c r="JG128" s="216"/>
      <c r="JH128" s="216"/>
      <c r="JI128" s="216"/>
      <c r="JJ128" s="216"/>
      <c r="JK128" s="216"/>
      <c r="JL128" s="216"/>
      <c r="JM128" s="216"/>
      <c r="JN128" s="216"/>
      <c r="JO128" s="216"/>
      <c r="JP128" s="216"/>
      <c r="JQ128" s="216"/>
      <c r="JR128" s="216"/>
      <c r="JS128" s="216"/>
      <c r="JT128" s="216"/>
      <c r="JU128" s="216"/>
      <c r="JV128" s="216"/>
      <c r="JW128" s="216"/>
      <c r="JX128" s="216"/>
      <c r="JY128" s="216"/>
      <c r="JZ128" s="216"/>
      <c r="KA128" s="216"/>
      <c r="KB128" s="216"/>
      <c r="KC128" s="216"/>
      <c r="KD128" s="216"/>
      <c r="KE128" s="216"/>
      <c r="KF128" s="216"/>
      <c r="KG128" s="216"/>
      <c r="KH128" s="216"/>
      <c r="KI128" s="216"/>
      <c r="KJ128" s="216"/>
      <c r="KK128" s="216"/>
      <c r="KL128" s="216"/>
      <c r="KM128" s="216"/>
      <c r="KN128" s="216"/>
      <c r="KO128" s="216"/>
      <c r="KP128" s="216"/>
      <c r="KQ128" s="216"/>
      <c r="KR128" s="216"/>
      <c r="KS128" s="216"/>
      <c r="KT128" s="216"/>
      <c r="KU128" s="216"/>
      <c r="KV128" s="216"/>
      <c r="KW128" s="216"/>
      <c r="KX128" s="216"/>
      <c r="KY128" s="216"/>
      <c r="KZ128" s="216"/>
      <c r="LA128" s="216"/>
      <c r="LB128" s="216"/>
      <c r="LC128" s="216"/>
      <c r="LD128" s="216"/>
      <c r="LE128" s="216"/>
      <c r="LF128" s="216"/>
      <c r="LG128" s="216"/>
      <c r="LH128" s="216"/>
      <c r="LI128" s="216"/>
      <c r="LJ128" s="216"/>
      <c r="LK128" s="216"/>
      <c r="LL128" s="216"/>
      <c r="LM128" s="216"/>
      <c r="LN128" s="216"/>
      <c r="LO128" s="216"/>
      <c r="LP128" s="216"/>
      <c r="LQ128" s="216"/>
      <c r="LR128" s="216"/>
      <c r="LS128" s="216"/>
      <c r="LT128" s="216"/>
      <c r="LU128" s="216"/>
      <c r="LV128" s="216"/>
      <c r="LW128" s="216"/>
      <c r="LX128" s="216"/>
      <c r="LY128" s="216"/>
      <c r="LZ128" s="216"/>
      <c r="MA128" s="216"/>
      <c r="MB128" s="216"/>
      <c r="MC128" s="216"/>
      <c r="MD128" s="216"/>
      <c r="ME128" s="216"/>
      <c r="MF128" s="216"/>
      <c r="MG128" s="216"/>
      <c r="MH128" s="216"/>
      <c r="MI128" s="216"/>
      <c r="MJ128" s="216"/>
      <c r="MK128" s="216"/>
      <c r="ML128" s="216"/>
      <c r="MM128" s="216"/>
      <c r="MN128" s="216"/>
      <c r="MO128" s="216"/>
      <c r="MP128" s="216"/>
      <c r="MQ128" s="216"/>
      <c r="MR128" s="216"/>
      <c r="MS128" s="216"/>
      <c r="MT128" s="216"/>
      <c r="MU128" s="216"/>
      <c r="MV128" s="216"/>
      <c r="MW128" s="216"/>
      <c r="MX128" s="216"/>
      <c r="MY128" s="216"/>
      <c r="MZ128" s="216"/>
      <c r="NA128" s="216"/>
      <c r="NB128" s="216"/>
      <c r="NC128" s="216"/>
      <c r="ND128" s="216"/>
      <c r="NE128" s="216"/>
      <c r="NF128" s="216"/>
      <c r="NG128" s="216"/>
      <c r="NH128" s="216"/>
      <c r="NI128" s="216"/>
      <c r="NJ128" s="216"/>
      <c r="NK128" s="216"/>
      <c r="NL128" s="216"/>
      <c r="NM128" s="216"/>
      <c r="NN128" s="216"/>
      <c r="NO128" s="216"/>
      <c r="NP128" s="216"/>
      <c r="NQ128" s="216"/>
      <c r="NR128" s="216"/>
      <c r="NS128" s="216"/>
      <c r="NT128" s="216"/>
      <c r="NU128" s="216"/>
      <c r="NV128" s="216"/>
      <c r="NW128" s="216"/>
      <c r="NX128" s="216"/>
      <c r="NY128" s="216"/>
      <c r="NZ128" s="216"/>
      <c r="OA128" s="216"/>
      <c r="OB128" s="216"/>
      <c r="OC128" s="216"/>
      <c r="OD128" s="216"/>
      <c r="OE128" s="216"/>
      <c r="OF128" s="216"/>
      <c r="OG128" s="216"/>
      <c r="OH128" s="216"/>
      <c r="OI128" s="216"/>
      <c r="OJ128" s="216"/>
      <c r="OK128" s="216"/>
      <c r="OL128" s="216"/>
      <c r="OM128" s="216"/>
      <c r="ON128" s="216"/>
      <c r="OO128" s="216"/>
      <c r="OP128" s="216"/>
      <c r="OQ128" s="216"/>
      <c r="OR128" s="216"/>
      <c r="OS128" s="216"/>
      <c r="OT128" s="216"/>
      <c r="OU128" s="216"/>
      <c r="OV128" s="216"/>
      <c r="OW128" s="216"/>
      <c r="OX128" s="216"/>
      <c r="OY128" s="216"/>
      <c r="OZ128" s="216"/>
      <c r="PA128" s="216"/>
      <c r="PB128" s="216"/>
      <c r="PC128" s="216"/>
      <c r="PD128" s="216"/>
      <c r="PE128" s="216"/>
      <c r="PF128" s="216"/>
      <c r="PG128" s="216"/>
      <c r="PH128" s="216"/>
      <c r="PI128" s="216"/>
      <c r="PJ128" s="216"/>
      <c r="PK128" s="216"/>
      <c r="PL128" s="216"/>
      <c r="PM128" s="216"/>
      <c r="PN128" s="216"/>
      <c r="PO128" s="216"/>
      <c r="PP128" s="216"/>
      <c r="PQ128" s="216"/>
      <c r="PR128" s="216"/>
      <c r="PS128" s="216"/>
      <c r="PT128" s="216"/>
      <c r="PU128" s="216"/>
      <c r="PV128" s="216"/>
      <c r="PW128" s="216"/>
      <c r="PX128" s="216"/>
      <c r="PY128" s="216"/>
      <c r="PZ128" s="216"/>
      <c r="QA128" s="216"/>
      <c r="QB128" s="216"/>
      <c r="QC128" s="216"/>
      <c r="QD128" s="216"/>
      <c r="QE128" s="216"/>
      <c r="QF128" s="216"/>
      <c r="QG128" s="216"/>
      <c r="QH128" s="216"/>
      <c r="QI128" s="216"/>
      <c r="QJ128" s="216"/>
      <c r="QK128" s="216"/>
      <c r="QL128" s="216"/>
      <c r="QM128" s="216"/>
      <c r="QN128" s="216"/>
      <c r="QO128" s="216"/>
      <c r="QP128" s="216"/>
      <c r="QQ128" s="216"/>
      <c r="QR128" s="216"/>
      <c r="QS128" s="216"/>
      <c r="QT128" s="216"/>
      <c r="QU128" s="216"/>
      <c r="QV128" s="216"/>
      <c r="QW128" s="216"/>
      <c r="QX128" s="216"/>
      <c r="QY128" s="216"/>
      <c r="QZ128" s="216"/>
      <c r="RA128" s="216"/>
      <c r="RB128" s="216"/>
      <c r="RC128" s="216"/>
      <c r="RD128" s="216"/>
      <c r="RE128" s="216"/>
      <c r="RF128" s="216"/>
      <c r="RG128" s="216"/>
      <c r="RH128" s="216"/>
      <c r="RI128" s="216"/>
      <c r="RJ128" s="216"/>
      <c r="RK128" s="216"/>
      <c r="RL128" s="216"/>
      <c r="RM128" s="216"/>
      <c r="RN128" s="216"/>
      <c r="RO128" s="216"/>
      <c r="RP128" s="216"/>
      <c r="RQ128" s="216"/>
      <c r="RR128" s="216"/>
      <c r="RS128" s="216"/>
      <c r="RT128" s="216"/>
      <c r="RU128" s="216"/>
      <c r="RV128" s="216"/>
      <c r="RW128" s="216"/>
      <c r="RX128" s="216"/>
      <c r="RY128" s="216"/>
      <c r="RZ128" s="216"/>
      <c r="SA128" s="216"/>
      <c r="SB128" s="216"/>
      <c r="SC128" s="216"/>
      <c r="SD128" s="216"/>
      <c r="SE128" s="216"/>
      <c r="SF128" s="216"/>
      <c r="SG128" s="216"/>
      <c r="SH128" s="216"/>
      <c r="SI128" s="216"/>
      <c r="SJ128" s="216"/>
      <c r="SK128" s="216"/>
      <c r="SL128" s="216"/>
      <c r="SM128" s="216"/>
      <c r="SN128" s="216"/>
      <c r="SO128" s="216"/>
      <c r="SP128" s="216"/>
      <c r="SQ128" s="216"/>
      <c r="SR128" s="216"/>
      <c r="SS128" s="216"/>
      <c r="ST128" s="216"/>
      <c r="SU128" s="216"/>
      <c r="SV128" s="216"/>
      <c r="SW128" s="216"/>
      <c r="SX128" s="216"/>
      <c r="SY128" s="216"/>
      <c r="SZ128" s="216"/>
      <c r="TA128" s="216"/>
      <c r="TB128" s="216"/>
      <c r="TC128" s="216"/>
      <c r="TD128" s="216"/>
      <c r="TE128" s="216"/>
      <c r="TF128" s="216"/>
      <c r="TG128" s="216"/>
      <c r="TH128" s="216"/>
      <c r="TI128" s="216"/>
      <c r="TJ128" s="216"/>
      <c r="TK128" s="216"/>
      <c r="TL128" s="216"/>
      <c r="TM128" s="216"/>
      <c r="TN128" s="216"/>
      <c r="TO128" s="216"/>
      <c r="TP128" s="216"/>
      <c r="TQ128" s="216"/>
      <c r="TR128" s="216"/>
      <c r="TS128" s="216"/>
      <c r="TT128" s="216"/>
      <c r="TU128" s="216"/>
      <c r="TV128" s="216"/>
      <c r="TW128" s="216"/>
      <c r="TX128" s="216"/>
      <c r="TY128" s="216"/>
      <c r="TZ128" s="216"/>
      <c r="UA128" s="216"/>
      <c r="UB128" s="216"/>
      <c r="UC128" s="216"/>
      <c r="UD128" s="216"/>
      <c r="UE128" s="216"/>
      <c r="UF128" s="216"/>
      <c r="UG128" s="216"/>
      <c r="UH128" s="216"/>
      <c r="UI128" s="216"/>
      <c r="UJ128" s="216"/>
      <c r="UK128" s="216"/>
      <c r="UL128" s="216"/>
      <c r="UM128" s="216"/>
      <c r="UN128" s="216"/>
      <c r="UO128" s="216"/>
      <c r="UP128" s="216"/>
      <c r="UQ128" s="216"/>
      <c r="UR128" s="216"/>
      <c r="US128" s="216"/>
      <c r="UT128" s="216"/>
      <c r="UU128" s="216"/>
      <c r="UV128" s="216"/>
      <c r="UW128" s="216"/>
      <c r="UX128" s="216"/>
      <c r="UY128" s="216"/>
      <c r="UZ128" s="216"/>
      <c r="VA128" s="216"/>
      <c r="VB128" s="216"/>
      <c r="VC128" s="216"/>
      <c r="VD128" s="216"/>
      <c r="VE128" s="216"/>
      <c r="VF128" s="216"/>
      <c r="VG128" s="216"/>
      <c r="VH128" s="216"/>
      <c r="VI128" s="216"/>
      <c r="VJ128" s="216"/>
      <c r="VK128" s="216"/>
      <c r="VL128" s="216"/>
      <c r="VM128" s="216"/>
      <c r="VN128" s="216"/>
      <c r="VO128" s="216"/>
      <c r="VP128" s="216"/>
      <c r="VQ128" s="216"/>
      <c r="VR128" s="216"/>
      <c r="VS128" s="216"/>
      <c r="VT128" s="216"/>
      <c r="VU128" s="216"/>
      <c r="VV128" s="216"/>
      <c r="VW128" s="216"/>
      <c r="VX128" s="216"/>
      <c r="VY128" s="216"/>
      <c r="VZ128" s="216"/>
      <c r="WA128" s="216"/>
      <c r="WB128" s="216"/>
      <c r="WC128" s="216"/>
      <c r="WD128" s="216"/>
      <c r="WE128" s="216"/>
      <c r="WF128" s="216"/>
      <c r="WG128" s="216"/>
      <c r="WH128" s="216"/>
      <c r="WI128" s="216"/>
      <c r="WJ128" s="216"/>
      <c r="WK128" s="216"/>
      <c r="WL128" s="216"/>
      <c r="WM128" s="216"/>
      <c r="WN128" s="216"/>
      <c r="WO128" s="216"/>
      <c r="WP128" s="216"/>
      <c r="WQ128" s="216"/>
      <c r="WR128" s="216"/>
      <c r="WS128" s="216"/>
      <c r="WT128" s="216"/>
      <c r="WU128" s="216"/>
      <c r="WV128" s="216"/>
      <c r="WW128" s="216"/>
      <c r="WX128" s="216"/>
      <c r="WY128" s="216"/>
      <c r="WZ128" s="216"/>
      <c r="XA128" s="216"/>
      <c r="XB128" s="216"/>
      <c r="XC128" s="216"/>
      <c r="XD128" s="216"/>
      <c r="XE128" s="216"/>
      <c r="XF128" s="216"/>
      <c r="XG128" s="216"/>
      <c r="XH128" s="216"/>
      <c r="XI128" s="216"/>
      <c r="XJ128" s="216"/>
      <c r="XK128" s="216"/>
      <c r="XL128" s="216"/>
      <c r="XM128" s="216"/>
      <c r="XN128" s="216"/>
      <c r="XO128" s="216"/>
      <c r="XP128" s="216"/>
      <c r="XQ128" s="216"/>
      <c r="XR128" s="216"/>
      <c r="XS128" s="216"/>
      <c r="XT128" s="216"/>
      <c r="XU128" s="216"/>
      <c r="XV128" s="216"/>
      <c r="XW128" s="216"/>
    </row>
    <row r="129" spans="1:28">
      <c r="A129" s="96"/>
      <c r="B129" s="86"/>
      <c r="C129" s="97"/>
      <c r="D129" s="97"/>
      <c r="E129" s="98"/>
      <c r="F129" s="97"/>
      <c r="G129" s="197"/>
      <c r="H129" s="197"/>
      <c r="I129" s="97"/>
      <c r="J129" s="192"/>
      <c r="K129" s="194"/>
      <c r="L129" s="194"/>
      <c r="M129" s="452"/>
      <c r="N129" s="452"/>
      <c r="O129" s="452"/>
      <c r="P129" s="452"/>
      <c r="Q129" s="450"/>
      <c r="R129" s="100"/>
      <c r="S129" s="194"/>
      <c r="T129" s="97"/>
      <c r="U129" s="193"/>
      <c r="V129" s="97"/>
      <c r="W129" s="97"/>
      <c r="X129" s="97"/>
      <c r="Y129" s="299"/>
      <c r="Z129" s="299"/>
      <c r="AA129" s="299"/>
      <c r="AB129" s="85"/>
    </row>
    <row r="130" spans="1:28">
      <c r="A130" s="96"/>
      <c r="B130" s="86"/>
      <c r="C130" s="97"/>
      <c r="D130" s="97"/>
      <c r="E130" s="98"/>
      <c r="F130" s="97"/>
      <c r="G130" s="197"/>
      <c r="H130" s="197"/>
      <c r="I130" s="97"/>
      <c r="J130" s="192"/>
      <c r="K130" s="194"/>
      <c r="L130" s="194"/>
      <c r="M130" s="452"/>
      <c r="N130" s="452"/>
      <c r="O130" s="452"/>
      <c r="P130" s="452"/>
      <c r="Q130" s="450"/>
      <c r="R130" s="100"/>
      <c r="S130" s="194"/>
      <c r="T130" s="97"/>
      <c r="U130" s="193"/>
      <c r="V130" s="97"/>
      <c r="W130" s="97"/>
      <c r="X130" s="97"/>
      <c r="Y130" s="299"/>
      <c r="Z130" s="299"/>
      <c r="AA130" s="299"/>
      <c r="AB130" s="85"/>
    </row>
    <row r="131" spans="1:28">
      <c r="A131" s="96"/>
      <c r="B131" s="86"/>
      <c r="C131" s="97"/>
      <c r="D131" s="97"/>
      <c r="E131" s="98"/>
      <c r="F131" s="97"/>
      <c r="G131" s="197"/>
      <c r="H131" s="197"/>
      <c r="I131" s="273"/>
      <c r="J131" s="279"/>
      <c r="K131" s="282"/>
      <c r="L131" s="194"/>
      <c r="M131" s="452"/>
      <c r="N131" s="452"/>
      <c r="O131" s="452"/>
      <c r="P131" s="452"/>
      <c r="Q131" s="456"/>
      <c r="R131" s="100"/>
      <c r="S131" s="156"/>
      <c r="T131" s="97"/>
      <c r="U131" s="193"/>
      <c r="V131" s="97"/>
      <c r="W131" s="97"/>
      <c r="X131" s="97"/>
      <c r="Y131" s="299"/>
      <c r="Z131" s="299"/>
      <c r="AA131" s="299"/>
      <c r="AB131" s="85"/>
    </row>
    <row r="132" spans="1:28">
      <c r="A132" s="96"/>
      <c r="B132" s="86"/>
      <c r="C132" s="97"/>
      <c r="D132" s="97"/>
      <c r="E132" s="98"/>
      <c r="F132" s="97"/>
      <c r="G132" s="197"/>
      <c r="H132" s="197"/>
      <c r="I132" s="273"/>
      <c r="J132" s="279"/>
      <c r="K132" s="282"/>
      <c r="L132" s="194"/>
      <c r="M132" s="452"/>
      <c r="N132" s="452"/>
      <c r="O132" s="452"/>
      <c r="P132" s="452"/>
      <c r="Q132" s="456"/>
      <c r="R132" s="100"/>
      <c r="S132" s="156"/>
      <c r="T132" s="97"/>
      <c r="U132" s="193"/>
      <c r="V132" s="97"/>
      <c r="W132" s="97"/>
      <c r="X132" s="97"/>
      <c r="Y132" s="299"/>
      <c r="Z132" s="299"/>
      <c r="AA132" s="299"/>
      <c r="AB132" s="85"/>
    </row>
    <row r="133" spans="1:28">
      <c r="A133" s="96"/>
      <c r="B133" s="86"/>
      <c r="C133" s="97"/>
      <c r="D133" s="97"/>
      <c r="E133" s="98"/>
      <c r="F133" s="97"/>
      <c r="G133" s="197"/>
      <c r="H133" s="197"/>
      <c r="I133" s="273"/>
      <c r="J133" s="279"/>
      <c r="K133" s="282"/>
      <c r="L133" s="194"/>
      <c r="M133" s="452"/>
      <c r="N133" s="452"/>
      <c r="O133" s="452"/>
      <c r="P133" s="452"/>
      <c r="Q133" s="456"/>
      <c r="R133" s="100"/>
      <c r="S133" s="156"/>
      <c r="T133" s="97"/>
      <c r="U133" s="193"/>
      <c r="V133" s="97"/>
      <c r="W133" s="97"/>
      <c r="X133" s="97"/>
      <c r="Y133" s="299"/>
      <c r="Z133" s="299"/>
      <c r="AA133" s="299"/>
      <c r="AB133" s="85"/>
    </row>
    <row r="134" spans="1:28">
      <c r="A134" s="96"/>
      <c r="B134" s="86"/>
      <c r="C134" s="97"/>
      <c r="D134" s="97"/>
      <c r="E134" s="98"/>
      <c r="F134" s="97"/>
      <c r="G134" s="197"/>
      <c r="H134" s="197"/>
      <c r="I134" s="274"/>
      <c r="J134" s="279"/>
      <c r="K134" s="283"/>
      <c r="L134" s="194"/>
      <c r="M134" s="452"/>
      <c r="N134" s="452"/>
      <c r="O134" s="452"/>
      <c r="P134" s="452"/>
      <c r="Q134" s="456"/>
      <c r="R134" s="100"/>
      <c r="S134" s="156"/>
      <c r="T134" s="97"/>
      <c r="U134" s="193"/>
      <c r="V134" s="97"/>
      <c r="W134" s="97"/>
      <c r="X134" s="97"/>
      <c r="Y134" s="299"/>
      <c r="Z134" s="299"/>
      <c r="AA134" s="299"/>
      <c r="AB134" s="85"/>
    </row>
    <row r="135" spans="1:28">
      <c r="A135" s="96"/>
      <c r="B135" s="86"/>
      <c r="C135" s="97"/>
      <c r="D135" s="97"/>
      <c r="E135" s="98"/>
      <c r="F135" s="97"/>
      <c r="G135" s="197"/>
      <c r="H135" s="197"/>
      <c r="I135" s="274"/>
      <c r="J135" s="279"/>
      <c r="K135" s="283"/>
      <c r="L135" s="194"/>
      <c r="M135" s="452"/>
      <c r="N135" s="452"/>
      <c r="O135" s="452"/>
      <c r="P135" s="452"/>
      <c r="Q135" s="456"/>
      <c r="R135" s="100"/>
      <c r="S135" s="156"/>
      <c r="T135" s="97"/>
      <c r="U135" s="193"/>
      <c r="V135" s="97"/>
      <c r="W135" s="97"/>
      <c r="X135" s="97"/>
      <c r="Y135" s="299"/>
      <c r="Z135" s="299"/>
      <c r="AA135" s="299"/>
      <c r="AB135" s="85"/>
    </row>
    <row r="136" spans="1:28">
      <c r="A136" s="96"/>
      <c r="B136" s="86"/>
      <c r="C136" s="97"/>
      <c r="D136" s="97"/>
      <c r="E136" s="98"/>
      <c r="F136" s="97"/>
      <c r="G136" s="197"/>
      <c r="H136" s="197"/>
      <c r="I136" s="274"/>
      <c r="J136" s="279"/>
      <c r="K136" s="283"/>
      <c r="L136" s="194"/>
      <c r="M136" s="452"/>
      <c r="N136" s="452"/>
      <c r="O136" s="452"/>
      <c r="P136" s="452"/>
      <c r="Q136" s="456"/>
      <c r="R136" s="100"/>
      <c r="S136" s="156"/>
      <c r="T136" s="97"/>
      <c r="U136" s="193"/>
      <c r="V136" s="97"/>
      <c r="W136" s="97"/>
      <c r="X136" s="97"/>
      <c r="Y136" s="299"/>
      <c r="Z136" s="299"/>
      <c r="AA136" s="299"/>
      <c r="AB136" s="85"/>
    </row>
    <row r="137" spans="1:28">
      <c r="A137" s="96"/>
      <c r="B137" s="86"/>
      <c r="C137" s="97"/>
      <c r="D137" s="97"/>
      <c r="E137" s="98"/>
      <c r="F137" s="97"/>
      <c r="G137" s="197"/>
      <c r="H137" s="197"/>
      <c r="I137" s="275"/>
      <c r="J137" s="280"/>
      <c r="K137" s="284"/>
      <c r="L137" s="194"/>
      <c r="M137" s="452"/>
      <c r="N137" s="452"/>
      <c r="O137" s="452"/>
      <c r="P137" s="452"/>
      <c r="Q137" s="456"/>
      <c r="R137" s="100"/>
      <c r="S137" s="156"/>
      <c r="T137" s="97"/>
      <c r="U137" s="193"/>
      <c r="V137" s="97"/>
      <c r="W137" s="97"/>
      <c r="X137" s="97"/>
      <c r="Y137" s="299"/>
      <c r="Z137" s="299"/>
      <c r="AA137" s="299"/>
      <c r="AB137" s="85"/>
    </row>
    <row r="138" spans="1:28">
      <c r="A138" s="96"/>
      <c r="B138" s="86"/>
      <c r="C138" s="97"/>
      <c r="D138" s="97"/>
      <c r="E138" s="98"/>
      <c r="F138" s="97"/>
      <c r="G138" s="197"/>
      <c r="H138" s="197"/>
      <c r="I138" s="275"/>
      <c r="J138" s="280"/>
      <c r="K138" s="284"/>
      <c r="L138" s="194"/>
      <c r="M138" s="452"/>
      <c r="N138" s="452"/>
      <c r="O138" s="452"/>
      <c r="P138" s="452"/>
      <c r="Q138" s="456"/>
      <c r="R138" s="100"/>
      <c r="S138" s="156"/>
      <c r="T138" s="97"/>
      <c r="U138" s="193"/>
      <c r="V138" s="97"/>
      <c r="W138" s="97"/>
      <c r="X138" s="97"/>
      <c r="Y138" s="299"/>
      <c r="Z138" s="299"/>
      <c r="AA138" s="299"/>
      <c r="AB138" s="85"/>
    </row>
    <row r="139" spans="1:28">
      <c r="A139" s="96"/>
      <c r="B139" s="86"/>
      <c r="C139" s="97"/>
      <c r="D139" s="97"/>
      <c r="E139" s="98"/>
      <c r="F139" s="97"/>
      <c r="G139" s="197"/>
      <c r="H139" s="197"/>
      <c r="I139" s="275"/>
      <c r="J139" s="280"/>
      <c r="K139" s="284"/>
      <c r="L139" s="194"/>
      <c r="M139" s="452"/>
      <c r="N139" s="452"/>
      <c r="O139" s="452"/>
      <c r="P139" s="452"/>
      <c r="Q139" s="456"/>
      <c r="R139" s="100"/>
      <c r="S139" s="156"/>
      <c r="T139" s="97"/>
      <c r="U139" s="193"/>
      <c r="V139" s="97"/>
      <c r="W139" s="97"/>
      <c r="X139" s="97"/>
      <c r="Y139" s="299"/>
      <c r="Z139" s="299"/>
      <c r="AA139" s="299"/>
      <c r="AB139" s="85"/>
    </row>
    <row r="140" spans="1:28">
      <c r="A140" s="96"/>
      <c r="B140" s="86"/>
      <c r="C140" s="97"/>
      <c r="D140" s="97"/>
      <c r="E140" s="98"/>
      <c r="F140" s="97"/>
      <c r="G140" s="197"/>
      <c r="H140" s="197"/>
      <c r="I140" s="276"/>
      <c r="J140" s="280"/>
      <c r="K140" s="285"/>
      <c r="L140" s="194"/>
      <c r="M140" s="452"/>
      <c r="N140" s="452"/>
      <c r="O140" s="452"/>
      <c r="P140" s="452"/>
      <c r="Q140" s="456"/>
      <c r="R140" s="100"/>
      <c r="S140" s="156"/>
      <c r="T140" s="97"/>
      <c r="U140" s="193"/>
      <c r="V140" s="97"/>
      <c r="W140" s="97"/>
      <c r="X140" s="97"/>
      <c r="Y140" s="299"/>
      <c r="Z140" s="299"/>
      <c r="AA140" s="299"/>
      <c r="AB140" s="85"/>
    </row>
    <row r="141" spans="1:28">
      <c r="A141" s="96"/>
      <c r="B141" s="86"/>
      <c r="C141" s="97"/>
      <c r="D141" s="97"/>
      <c r="E141" s="98"/>
      <c r="F141" s="97"/>
      <c r="G141" s="197"/>
      <c r="H141" s="197"/>
      <c r="I141" s="276"/>
      <c r="J141" s="280"/>
      <c r="K141" s="285"/>
      <c r="L141" s="194"/>
      <c r="M141" s="452"/>
      <c r="N141" s="452"/>
      <c r="O141" s="452"/>
      <c r="P141" s="452"/>
      <c r="Q141" s="456"/>
      <c r="R141" s="100"/>
      <c r="S141" s="156"/>
      <c r="T141" s="97"/>
      <c r="U141" s="193"/>
      <c r="V141" s="97"/>
      <c r="W141" s="97"/>
      <c r="X141" s="97"/>
      <c r="Y141" s="299"/>
      <c r="Z141" s="299"/>
      <c r="AA141" s="299"/>
      <c r="AB141" s="85"/>
    </row>
    <row r="142" spans="1:28">
      <c r="A142" s="96"/>
      <c r="B142" s="86"/>
      <c r="C142" s="97"/>
      <c r="D142" s="97"/>
      <c r="E142" s="98"/>
      <c r="F142" s="97"/>
      <c r="G142" s="197"/>
      <c r="H142" s="197"/>
      <c r="I142" s="276"/>
      <c r="J142" s="280"/>
      <c r="K142" s="285"/>
      <c r="L142" s="194"/>
      <c r="M142" s="452"/>
      <c r="N142" s="452"/>
      <c r="O142" s="452"/>
      <c r="P142" s="452"/>
      <c r="Q142" s="456"/>
      <c r="R142" s="100"/>
      <c r="S142" s="156"/>
      <c r="T142" s="97"/>
      <c r="U142" s="193"/>
      <c r="V142" s="97"/>
      <c r="W142" s="97"/>
      <c r="X142" s="97"/>
      <c r="Y142" s="299"/>
      <c r="Z142" s="299"/>
      <c r="AA142" s="299"/>
      <c r="AB142" s="85"/>
    </row>
    <row r="143" spans="1:28">
      <c r="A143" s="96"/>
      <c r="B143" s="86"/>
      <c r="C143" s="97"/>
      <c r="D143" s="97"/>
      <c r="E143" s="98"/>
      <c r="F143" s="97"/>
      <c r="G143" s="197"/>
      <c r="H143" s="197"/>
      <c r="I143" s="277"/>
      <c r="J143" s="281"/>
      <c r="K143" s="286"/>
      <c r="L143" s="194"/>
      <c r="M143" s="452"/>
      <c r="N143" s="452"/>
      <c r="O143" s="452"/>
      <c r="P143" s="452"/>
      <c r="Q143" s="456"/>
      <c r="R143" s="100"/>
      <c r="S143" s="156"/>
      <c r="T143" s="97"/>
      <c r="U143" s="193"/>
      <c r="V143" s="97"/>
      <c r="W143" s="97"/>
      <c r="X143" s="97"/>
      <c r="Y143" s="299"/>
      <c r="Z143" s="299"/>
      <c r="AA143" s="299"/>
      <c r="AB143" s="85"/>
    </row>
    <row r="144" spans="1:28">
      <c r="A144" s="96"/>
      <c r="B144" s="86"/>
      <c r="C144" s="97"/>
      <c r="D144" s="97"/>
      <c r="E144" s="98"/>
      <c r="F144" s="97"/>
      <c r="G144" s="197"/>
      <c r="H144" s="197"/>
      <c r="I144" s="277"/>
      <c r="J144" s="281"/>
      <c r="K144" s="286"/>
      <c r="L144" s="194"/>
      <c r="M144" s="452"/>
      <c r="N144" s="452"/>
      <c r="O144" s="452"/>
      <c r="P144" s="452"/>
      <c r="Q144" s="456"/>
      <c r="R144" s="100"/>
      <c r="S144" s="156"/>
      <c r="T144" s="97"/>
      <c r="U144" s="193"/>
      <c r="V144" s="97"/>
      <c r="W144" s="97"/>
      <c r="X144" s="97"/>
      <c r="Y144" s="299"/>
      <c r="Z144" s="299"/>
      <c r="AA144" s="299"/>
      <c r="AB144" s="85"/>
    </row>
    <row r="145" spans="1:647">
      <c r="A145" s="96"/>
      <c r="B145" s="86"/>
      <c r="C145" s="97"/>
      <c r="D145" s="97"/>
      <c r="E145" s="98"/>
      <c r="F145" s="97"/>
      <c r="G145" s="197"/>
      <c r="H145" s="197"/>
      <c r="I145" s="277"/>
      <c r="J145" s="281"/>
      <c r="K145" s="286"/>
      <c r="L145" s="194"/>
      <c r="M145" s="452"/>
      <c r="N145" s="452"/>
      <c r="O145" s="452"/>
      <c r="P145" s="452"/>
      <c r="Q145" s="456"/>
      <c r="R145" s="100"/>
      <c r="S145" s="156"/>
      <c r="T145" s="97"/>
      <c r="U145" s="193"/>
      <c r="V145" s="97"/>
      <c r="W145" s="97"/>
      <c r="X145" s="97"/>
      <c r="Y145" s="299"/>
      <c r="Z145" s="299"/>
      <c r="AA145" s="299"/>
      <c r="AB145" s="85"/>
    </row>
    <row r="146" spans="1:647">
      <c r="A146" s="96"/>
      <c r="B146" s="86"/>
      <c r="C146" s="97"/>
      <c r="D146" s="97"/>
      <c r="E146" s="98"/>
      <c r="F146" s="97"/>
      <c r="G146" s="197"/>
      <c r="H146" s="197"/>
      <c r="I146" s="278"/>
      <c r="J146" s="281"/>
      <c r="K146" s="287"/>
      <c r="L146" s="194"/>
      <c r="M146" s="452"/>
      <c r="N146" s="452"/>
      <c r="O146" s="452"/>
      <c r="P146" s="452"/>
      <c r="Q146" s="456"/>
      <c r="R146" s="100"/>
      <c r="S146" s="156"/>
      <c r="T146" s="97"/>
      <c r="U146" s="193"/>
      <c r="V146" s="97"/>
      <c r="W146" s="97"/>
      <c r="X146" s="97"/>
      <c r="Y146" s="299"/>
      <c r="Z146" s="299"/>
      <c r="AA146" s="299"/>
      <c r="AB146" s="85"/>
    </row>
    <row r="147" spans="1:647">
      <c r="A147" s="96"/>
      <c r="B147" s="86"/>
      <c r="C147" s="97"/>
      <c r="D147" s="97"/>
      <c r="E147" s="98"/>
      <c r="F147" s="97"/>
      <c r="G147" s="197"/>
      <c r="H147" s="197"/>
      <c r="I147" s="278"/>
      <c r="J147" s="281"/>
      <c r="K147" s="287"/>
      <c r="L147" s="194"/>
      <c r="M147" s="452"/>
      <c r="N147" s="452"/>
      <c r="O147" s="452"/>
      <c r="P147" s="452"/>
      <c r="Q147" s="456"/>
      <c r="R147" s="100"/>
      <c r="S147" s="156"/>
      <c r="T147" s="97"/>
      <c r="U147" s="193"/>
      <c r="V147" s="97"/>
      <c r="W147" s="97"/>
      <c r="X147" s="97"/>
      <c r="Y147" s="299"/>
      <c r="Z147" s="299"/>
      <c r="AA147" s="299"/>
      <c r="AB147" s="85"/>
    </row>
    <row r="148" spans="1:647" s="221" customFormat="1" ht="15" thickBot="1">
      <c r="A148" s="339"/>
      <c r="B148" s="209"/>
      <c r="C148" s="211"/>
      <c r="D148" s="211"/>
      <c r="E148" s="340"/>
      <c r="F148" s="211"/>
      <c r="G148" s="211"/>
      <c r="H148" s="211"/>
      <c r="I148" s="341"/>
      <c r="J148" s="342"/>
      <c r="K148" s="343"/>
      <c r="L148" s="344"/>
      <c r="M148" s="455"/>
      <c r="N148" s="455"/>
      <c r="O148" s="455"/>
      <c r="P148" s="455"/>
      <c r="Q148" s="457"/>
      <c r="R148" s="210"/>
      <c r="S148" s="218"/>
      <c r="T148" s="211"/>
      <c r="U148" s="222"/>
      <c r="V148" s="211"/>
      <c r="W148" s="211"/>
      <c r="X148" s="211"/>
      <c r="Y148" s="345"/>
      <c r="Z148" s="345"/>
      <c r="AA148" s="345"/>
      <c r="AB148" s="208"/>
      <c r="AC148" s="220"/>
      <c r="AD148" s="220"/>
      <c r="AE148" s="220"/>
      <c r="AF148" s="220"/>
      <c r="AG148" s="220"/>
      <c r="AH148" s="220"/>
      <c r="AI148" s="220"/>
      <c r="AJ148" s="220"/>
      <c r="AK148" s="220"/>
      <c r="AL148" s="220"/>
      <c r="AM148" s="220"/>
      <c r="AN148" s="220"/>
      <c r="AO148" s="220"/>
      <c r="AP148" s="220"/>
      <c r="AQ148" s="220"/>
      <c r="AR148" s="220"/>
      <c r="AS148" s="220"/>
      <c r="AT148" s="220"/>
      <c r="AU148" s="220"/>
      <c r="AV148" s="220"/>
      <c r="AW148" s="220"/>
      <c r="AX148" s="220"/>
      <c r="AY148" s="220"/>
      <c r="AZ148" s="220"/>
      <c r="BA148" s="220"/>
      <c r="BB148" s="220"/>
      <c r="BC148" s="220"/>
      <c r="BD148" s="220"/>
      <c r="BE148" s="220"/>
      <c r="BF148" s="220"/>
      <c r="BG148" s="220"/>
      <c r="BH148" s="220"/>
      <c r="BI148" s="220"/>
      <c r="BJ148" s="220"/>
      <c r="BK148" s="220"/>
      <c r="BL148" s="220"/>
      <c r="BM148" s="220"/>
      <c r="BN148" s="220"/>
      <c r="BO148" s="220"/>
      <c r="BP148" s="220"/>
      <c r="BQ148" s="220"/>
      <c r="BR148" s="220"/>
      <c r="BS148" s="220"/>
      <c r="BT148" s="220"/>
      <c r="BU148" s="220"/>
      <c r="BV148" s="220"/>
      <c r="BW148" s="220"/>
      <c r="BX148" s="220"/>
      <c r="BY148" s="220"/>
      <c r="BZ148" s="220"/>
      <c r="CA148" s="220"/>
      <c r="CB148" s="220"/>
      <c r="CC148" s="220"/>
      <c r="CD148" s="220"/>
      <c r="CE148" s="220"/>
      <c r="CF148" s="220"/>
      <c r="CG148" s="220"/>
      <c r="CH148" s="220"/>
      <c r="CI148" s="220"/>
      <c r="CJ148" s="220"/>
      <c r="CK148" s="220"/>
      <c r="CL148" s="220"/>
      <c r="CM148" s="220"/>
      <c r="CN148" s="220"/>
      <c r="CO148" s="220"/>
      <c r="CP148" s="220"/>
      <c r="CQ148" s="220"/>
      <c r="CR148" s="220"/>
      <c r="CS148" s="220"/>
      <c r="CT148" s="220"/>
      <c r="CU148" s="220"/>
      <c r="CV148" s="220"/>
      <c r="CW148" s="220"/>
      <c r="CX148" s="220"/>
      <c r="CY148" s="220"/>
      <c r="CZ148" s="220"/>
      <c r="DA148" s="220"/>
      <c r="DB148" s="220"/>
      <c r="DC148" s="220"/>
      <c r="DD148" s="220"/>
      <c r="DE148" s="220"/>
      <c r="DF148" s="220"/>
      <c r="DG148" s="220"/>
      <c r="DH148" s="220"/>
      <c r="DI148" s="220"/>
      <c r="DJ148" s="220"/>
      <c r="DK148" s="220"/>
      <c r="DL148" s="220"/>
      <c r="DM148" s="220"/>
      <c r="DN148" s="220"/>
      <c r="DO148" s="220"/>
      <c r="DP148" s="220"/>
      <c r="DQ148" s="220"/>
      <c r="DR148" s="220"/>
      <c r="DS148" s="220"/>
      <c r="DT148" s="220"/>
      <c r="DU148" s="220"/>
      <c r="DV148" s="220"/>
      <c r="DW148" s="220"/>
      <c r="DX148" s="220"/>
      <c r="DY148" s="220"/>
      <c r="DZ148" s="220"/>
      <c r="EA148" s="220"/>
      <c r="EB148" s="220"/>
      <c r="EC148" s="220"/>
      <c r="ED148" s="220"/>
      <c r="EE148" s="220"/>
      <c r="EF148" s="220"/>
      <c r="EG148" s="220"/>
      <c r="EH148" s="220"/>
      <c r="EI148" s="220"/>
      <c r="EJ148" s="220"/>
      <c r="EK148" s="220"/>
      <c r="EL148" s="220"/>
      <c r="EM148" s="220"/>
      <c r="EN148" s="220"/>
      <c r="EO148" s="220"/>
      <c r="EP148" s="220"/>
      <c r="EQ148" s="220"/>
      <c r="ER148" s="220"/>
      <c r="ES148" s="220"/>
      <c r="ET148" s="220"/>
      <c r="EU148" s="220"/>
      <c r="EV148" s="220"/>
      <c r="EW148" s="220"/>
      <c r="EX148" s="220"/>
      <c r="EY148" s="220"/>
      <c r="EZ148" s="220"/>
      <c r="FA148" s="220"/>
      <c r="FB148" s="220"/>
      <c r="FC148" s="220"/>
      <c r="FD148" s="220"/>
      <c r="FE148" s="220"/>
      <c r="FF148" s="220"/>
      <c r="FG148" s="220"/>
      <c r="FH148" s="220"/>
      <c r="FI148" s="220"/>
      <c r="FJ148" s="220"/>
      <c r="FK148" s="220"/>
      <c r="FL148" s="220"/>
      <c r="FM148" s="220"/>
      <c r="FN148" s="220"/>
      <c r="FO148" s="220"/>
      <c r="FP148" s="220"/>
      <c r="FQ148" s="220"/>
      <c r="FR148" s="220"/>
      <c r="FS148" s="220"/>
      <c r="FT148" s="220"/>
      <c r="FU148" s="220"/>
      <c r="FV148" s="220"/>
      <c r="FW148" s="220"/>
      <c r="FX148" s="220"/>
      <c r="FY148" s="220"/>
      <c r="FZ148" s="220"/>
      <c r="GA148" s="220"/>
      <c r="GB148" s="220"/>
      <c r="GC148" s="220"/>
      <c r="GD148" s="220"/>
      <c r="GE148" s="220"/>
      <c r="GF148" s="220"/>
      <c r="GG148" s="220"/>
      <c r="GH148" s="220"/>
      <c r="GI148" s="220"/>
      <c r="GJ148" s="220"/>
      <c r="GK148" s="220"/>
      <c r="GL148" s="220"/>
      <c r="GM148" s="220"/>
      <c r="GN148" s="220"/>
      <c r="GO148" s="220"/>
      <c r="GP148" s="220"/>
      <c r="GQ148" s="220"/>
      <c r="GR148" s="220"/>
      <c r="GS148" s="220"/>
      <c r="GT148" s="220"/>
      <c r="GU148" s="220"/>
      <c r="GV148" s="220"/>
      <c r="GW148" s="220"/>
      <c r="GX148" s="220"/>
      <c r="GY148" s="220"/>
      <c r="GZ148" s="220"/>
      <c r="HA148" s="220"/>
      <c r="HB148" s="220"/>
      <c r="HC148" s="220"/>
      <c r="HD148" s="220"/>
      <c r="HE148" s="220"/>
      <c r="HF148" s="220"/>
      <c r="HG148" s="220"/>
      <c r="HH148" s="220"/>
      <c r="HI148" s="220"/>
      <c r="HJ148" s="220"/>
      <c r="HK148" s="220"/>
      <c r="HL148" s="220"/>
      <c r="HM148" s="220"/>
      <c r="HN148" s="220"/>
      <c r="HO148" s="220"/>
      <c r="HP148" s="220"/>
      <c r="HQ148" s="220"/>
      <c r="HR148" s="220"/>
      <c r="HS148" s="220"/>
      <c r="HT148" s="220"/>
      <c r="HU148" s="220"/>
      <c r="HV148" s="220"/>
      <c r="HW148" s="220"/>
      <c r="HX148" s="220"/>
      <c r="HY148" s="220"/>
      <c r="HZ148" s="220"/>
      <c r="IA148" s="220"/>
      <c r="IB148" s="220"/>
      <c r="IC148" s="220"/>
      <c r="ID148" s="220"/>
      <c r="IE148" s="220"/>
      <c r="IF148" s="220"/>
      <c r="IG148" s="220"/>
      <c r="IH148" s="220"/>
      <c r="II148" s="220"/>
      <c r="IJ148" s="220"/>
      <c r="IK148" s="220"/>
      <c r="IL148" s="220"/>
      <c r="IM148" s="220"/>
      <c r="IN148" s="220"/>
      <c r="IO148" s="220"/>
      <c r="IP148" s="220"/>
      <c r="IQ148" s="220"/>
      <c r="IR148" s="220"/>
      <c r="IS148" s="220"/>
      <c r="IT148" s="220"/>
      <c r="IU148" s="220"/>
      <c r="IV148" s="220"/>
      <c r="IW148" s="220"/>
      <c r="IX148" s="220"/>
      <c r="IY148" s="220"/>
      <c r="IZ148" s="220"/>
      <c r="JA148" s="220"/>
      <c r="JB148" s="220"/>
      <c r="JC148" s="220"/>
      <c r="JD148" s="220"/>
      <c r="JE148" s="220"/>
      <c r="JF148" s="220"/>
      <c r="JG148" s="220"/>
      <c r="JH148" s="220"/>
      <c r="JI148" s="220"/>
      <c r="JJ148" s="220"/>
      <c r="JK148" s="220"/>
      <c r="JL148" s="220"/>
      <c r="JM148" s="220"/>
      <c r="JN148" s="220"/>
      <c r="JO148" s="220"/>
      <c r="JP148" s="220"/>
      <c r="JQ148" s="220"/>
      <c r="JR148" s="220"/>
      <c r="JS148" s="220"/>
      <c r="JT148" s="220"/>
      <c r="JU148" s="220"/>
      <c r="JV148" s="220"/>
      <c r="JW148" s="220"/>
      <c r="JX148" s="220"/>
      <c r="JY148" s="220"/>
      <c r="JZ148" s="220"/>
      <c r="KA148" s="220"/>
      <c r="KB148" s="220"/>
      <c r="KC148" s="220"/>
      <c r="KD148" s="220"/>
      <c r="KE148" s="220"/>
      <c r="KF148" s="220"/>
      <c r="KG148" s="220"/>
      <c r="KH148" s="220"/>
      <c r="KI148" s="220"/>
      <c r="KJ148" s="220"/>
      <c r="KK148" s="220"/>
      <c r="KL148" s="220"/>
      <c r="KM148" s="220"/>
      <c r="KN148" s="220"/>
      <c r="KO148" s="220"/>
      <c r="KP148" s="220"/>
      <c r="KQ148" s="220"/>
      <c r="KR148" s="220"/>
      <c r="KS148" s="220"/>
      <c r="KT148" s="220"/>
      <c r="KU148" s="220"/>
      <c r="KV148" s="220"/>
      <c r="KW148" s="220"/>
      <c r="KX148" s="220"/>
      <c r="KY148" s="220"/>
      <c r="KZ148" s="220"/>
      <c r="LA148" s="220"/>
      <c r="LB148" s="220"/>
      <c r="LC148" s="220"/>
      <c r="LD148" s="220"/>
      <c r="LE148" s="220"/>
      <c r="LF148" s="220"/>
      <c r="LG148" s="220"/>
      <c r="LH148" s="220"/>
      <c r="LI148" s="220"/>
      <c r="LJ148" s="220"/>
      <c r="LK148" s="220"/>
      <c r="LL148" s="220"/>
      <c r="LM148" s="220"/>
      <c r="LN148" s="220"/>
      <c r="LO148" s="220"/>
      <c r="LP148" s="220"/>
      <c r="LQ148" s="220"/>
      <c r="LR148" s="220"/>
      <c r="LS148" s="220"/>
      <c r="LT148" s="220"/>
      <c r="LU148" s="220"/>
      <c r="LV148" s="220"/>
      <c r="LW148" s="220"/>
      <c r="LX148" s="220"/>
      <c r="LY148" s="220"/>
      <c r="LZ148" s="220"/>
      <c r="MA148" s="220"/>
      <c r="MB148" s="220"/>
      <c r="MC148" s="220"/>
      <c r="MD148" s="220"/>
      <c r="ME148" s="220"/>
      <c r="MF148" s="220"/>
      <c r="MG148" s="220"/>
      <c r="MH148" s="220"/>
      <c r="MI148" s="220"/>
      <c r="MJ148" s="220"/>
      <c r="MK148" s="220"/>
      <c r="ML148" s="220"/>
      <c r="MM148" s="220"/>
      <c r="MN148" s="220"/>
      <c r="MO148" s="220"/>
      <c r="MP148" s="220"/>
      <c r="MQ148" s="220"/>
      <c r="MR148" s="220"/>
      <c r="MS148" s="220"/>
      <c r="MT148" s="220"/>
      <c r="MU148" s="220"/>
      <c r="MV148" s="220"/>
      <c r="MW148" s="220"/>
      <c r="MX148" s="220"/>
      <c r="MY148" s="220"/>
      <c r="MZ148" s="220"/>
      <c r="NA148" s="220"/>
      <c r="NB148" s="220"/>
      <c r="NC148" s="220"/>
      <c r="ND148" s="220"/>
      <c r="NE148" s="220"/>
      <c r="NF148" s="220"/>
      <c r="NG148" s="220"/>
      <c r="NH148" s="220"/>
      <c r="NI148" s="220"/>
      <c r="NJ148" s="220"/>
      <c r="NK148" s="220"/>
      <c r="NL148" s="220"/>
      <c r="NM148" s="220"/>
      <c r="NN148" s="220"/>
      <c r="NO148" s="220"/>
      <c r="NP148" s="220"/>
      <c r="NQ148" s="220"/>
      <c r="NR148" s="220"/>
      <c r="NS148" s="220"/>
      <c r="NT148" s="220"/>
      <c r="NU148" s="220"/>
      <c r="NV148" s="220"/>
      <c r="NW148" s="220"/>
      <c r="NX148" s="220"/>
      <c r="NY148" s="220"/>
      <c r="NZ148" s="220"/>
      <c r="OA148" s="220"/>
      <c r="OB148" s="220"/>
      <c r="OC148" s="220"/>
      <c r="OD148" s="220"/>
      <c r="OE148" s="220"/>
      <c r="OF148" s="220"/>
      <c r="OG148" s="220"/>
      <c r="OH148" s="220"/>
      <c r="OI148" s="220"/>
      <c r="OJ148" s="220"/>
      <c r="OK148" s="220"/>
      <c r="OL148" s="220"/>
      <c r="OM148" s="220"/>
      <c r="ON148" s="220"/>
      <c r="OO148" s="220"/>
      <c r="OP148" s="220"/>
      <c r="OQ148" s="220"/>
      <c r="OR148" s="220"/>
      <c r="OS148" s="220"/>
      <c r="OT148" s="220"/>
      <c r="OU148" s="220"/>
      <c r="OV148" s="220"/>
      <c r="OW148" s="220"/>
      <c r="OX148" s="220"/>
      <c r="OY148" s="220"/>
      <c r="OZ148" s="220"/>
      <c r="PA148" s="220"/>
      <c r="PB148" s="220"/>
      <c r="PC148" s="220"/>
      <c r="PD148" s="220"/>
      <c r="PE148" s="220"/>
      <c r="PF148" s="220"/>
      <c r="PG148" s="220"/>
      <c r="PH148" s="220"/>
      <c r="PI148" s="220"/>
      <c r="PJ148" s="220"/>
      <c r="PK148" s="220"/>
      <c r="PL148" s="220"/>
      <c r="PM148" s="220"/>
      <c r="PN148" s="220"/>
      <c r="PO148" s="220"/>
      <c r="PP148" s="220"/>
      <c r="PQ148" s="220"/>
      <c r="PR148" s="220"/>
      <c r="PS148" s="220"/>
      <c r="PT148" s="220"/>
      <c r="PU148" s="220"/>
      <c r="PV148" s="220"/>
      <c r="PW148" s="220"/>
      <c r="PX148" s="220"/>
      <c r="PY148" s="220"/>
      <c r="PZ148" s="220"/>
      <c r="QA148" s="220"/>
      <c r="QB148" s="220"/>
      <c r="QC148" s="220"/>
      <c r="QD148" s="220"/>
      <c r="QE148" s="220"/>
      <c r="QF148" s="220"/>
      <c r="QG148" s="220"/>
      <c r="QH148" s="220"/>
      <c r="QI148" s="220"/>
      <c r="QJ148" s="220"/>
      <c r="QK148" s="220"/>
      <c r="QL148" s="220"/>
      <c r="QM148" s="220"/>
      <c r="QN148" s="220"/>
      <c r="QO148" s="220"/>
      <c r="QP148" s="220"/>
      <c r="QQ148" s="220"/>
      <c r="QR148" s="220"/>
      <c r="QS148" s="220"/>
      <c r="QT148" s="220"/>
      <c r="QU148" s="220"/>
      <c r="QV148" s="220"/>
      <c r="QW148" s="220"/>
      <c r="QX148" s="220"/>
      <c r="QY148" s="220"/>
      <c r="QZ148" s="220"/>
      <c r="RA148" s="220"/>
      <c r="RB148" s="220"/>
      <c r="RC148" s="220"/>
      <c r="RD148" s="220"/>
      <c r="RE148" s="220"/>
      <c r="RF148" s="220"/>
      <c r="RG148" s="220"/>
      <c r="RH148" s="220"/>
      <c r="RI148" s="220"/>
      <c r="RJ148" s="220"/>
      <c r="RK148" s="220"/>
      <c r="RL148" s="220"/>
      <c r="RM148" s="220"/>
      <c r="RN148" s="220"/>
      <c r="RO148" s="220"/>
      <c r="RP148" s="220"/>
      <c r="RQ148" s="220"/>
      <c r="RR148" s="220"/>
      <c r="RS148" s="220"/>
      <c r="RT148" s="220"/>
      <c r="RU148" s="220"/>
      <c r="RV148" s="220"/>
      <c r="RW148" s="220"/>
      <c r="RX148" s="220"/>
      <c r="RY148" s="220"/>
      <c r="RZ148" s="220"/>
      <c r="SA148" s="220"/>
      <c r="SB148" s="220"/>
      <c r="SC148" s="220"/>
      <c r="SD148" s="220"/>
      <c r="SE148" s="220"/>
      <c r="SF148" s="220"/>
      <c r="SG148" s="220"/>
      <c r="SH148" s="220"/>
      <c r="SI148" s="220"/>
      <c r="SJ148" s="220"/>
      <c r="SK148" s="220"/>
      <c r="SL148" s="220"/>
      <c r="SM148" s="220"/>
      <c r="SN148" s="220"/>
      <c r="SO148" s="220"/>
      <c r="SP148" s="220"/>
      <c r="SQ148" s="220"/>
      <c r="SR148" s="220"/>
      <c r="SS148" s="220"/>
      <c r="ST148" s="220"/>
      <c r="SU148" s="220"/>
      <c r="SV148" s="220"/>
      <c r="SW148" s="220"/>
      <c r="SX148" s="220"/>
      <c r="SY148" s="220"/>
      <c r="SZ148" s="220"/>
      <c r="TA148" s="220"/>
      <c r="TB148" s="220"/>
      <c r="TC148" s="220"/>
      <c r="TD148" s="220"/>
      <c r="TE148" s="220"/>
      <c r="TF148" s="220"/>
      <c r="TG148" s="220"/>
      <c r="TH148" s="220"/>
      <c r="TI148" s="220"/>
      <c r="TJ148" s="220"/>
      <c r="TK148" s="220"/>
      <c r="TL148" s="220"/>
      <c r="TM148" s="220"/>
      <c r="TN148" s="220"/>
      <c r="TO148" s="220"/>
      <c r="TP148" s="220"/>
      <c r="TQ148" s="220"/>
      <c r="TR148" s="220"/>
      <c r="TS148" s="220"/>
      <c r="TT148" s="220"/>
      <c r="TU148" s="220"/>
      <c r="TV148" s="220"/>
      <c r="TW148" s="220"/>
      <c r="TX148" s="220"/>
      <c r="TY148" s="220"/>
      <c r="TZ148" s="220"/>
      <c r="UA148" s="220"/>
      <c r="UB148" s="220"/>
      <c r="UC148" s="220"/>
      <c r="UD148" s="220"/>
      <c r="UE148" s="220"/>
      <c r="UF148" s="220"/>
      <c r="UG148" s="220"/>
      <c r="UH148" s="220"/>
      <c r="UI148" s="220"/>
      <c r="UJ148" s="220"/>
      <c r="UK148" s="220"/>
      <c r="UL148" s="220"/>
      <c r="UM148" s="220"/>
      <c r="UN148" s="220"/>
      <c r="UO148" s="220"/>
      <c r="UP148" s="220"/>
      <c r="UQ148" s="220"/>
      <c r="UR148" s="220"/>
      <c r="US148" s="220"/>
      <c r="UT148" s="220"/>
      <c r="UU148" s="220"/>
      <c r="UV148" s="220"/>
      <c r="UW148" s="220"/>
      <c r="UX148" s="220"/>
      <c r="UY148" s="220"/>
      <c r="UZ148" s="220"/>
      <c r="VA148" s="220"/>
      <c r="VB148" s="220"/>
      <c r="VC148" s="220"/>
      <c r="VD148" s="220"/>
      <c r="VE148" s="220"/>
      <c r="VF148" s="220"/>
      <c r="VG148" s="220"/>
      <c r="VH148" s="220"/>
      <c r="VI148" s="220"/>
      <c r="VJ148" s="220"/>
      <c r="VK148" s="220"/>
      <c r="VL148" s="220"/>
      <c r="VM148" s="220"/>
      <c r="VN148" s="220"/>
      <c r="VO148" s="220"/>
      <c r="VP148" s="220"/>
      <c r="VQ148" s="220"/>
      <c r="VR148" s="220"/>
      <c r="VS148" s="220"/>
      <c r="VT148" s="220"/>
      <c r="VU148" s="220"/>
      <c r="VV148" s="220"/>
      <c r="VW148" s="220"/>
      <c r="VX148" s="220"/>
      <c r="VY148" s="220"/>
      <c r="VZ148" s="220"/>
      <c r="WA148" s="220"/>
      <c r="WB148" s="220"/>
      <c r="WC148" s="220"/>
      <c r="WD148" s="220"/>
      <c r="WE148" s="220"/>
      <c r="WF148" s="220"/>
      <c r="WG148" s="220"/>
      <c r="WH148" s="220"/>
      <c r="WI148" s="220"/>
      <c r="WJ148" s="220"/>
      <c r="WK148" s="220"/>
      <c r="WL148" s="220"/>
      <c r="WM148" s="220"/>
      <c r="WN148" s="220"/>
      <c r="WO148" s="220"/>
      <c r="WP148" s="220"/>
      <c r="WQ148" s="220"/>
      <c r="WR148" s="220"/>
      <c r="WS148" s="220"/>
      <c r="WT148" s="220"/>
      <c r="WU148" s="220"/>
      <c r="WV148" s="220"/>
      <c r="WW148" s="220"/>
      <c r="WX148" s="220"/>
      <c r="WY148" s="220"/>
      <c r="WZ148" s="220"/>
      <c r="XA148" s="220"/>
      <c r="XB148" s="220"/>
      <c r="XC148" s="220"/>
      <c r="XD148" s="220"/>
      <c r="XE148" s="220"/>
      <c r="XF148" s="220"/>
      <c r="XG148" s="220"/>
      <c r="XH148" s="220"/>
      <c r="XI148" s="220"/>
      <c r="XJ148" s="220"/>
      <c r="XK148" s="220"/>
      <c r="XL148" s="220"/>
      <c r="XM148" s="220"/>
      <c r="XN148" s="220"/>
      <c r="XO148" s="220"/>
      <c r="XP148" s="220"/>
      <c r="XQ148" s="220"/>
      <c r="XR148" s="220"/>
      <c r="XS148" s="220"/>
      <c r="XT148" s="220"/>
      <c r="XU148" s="220"/>
      <c r="XV148" s="220"/>
      <c r="XW148" s="220"/>
    </row>
    <row r="149" spans="1:647" s="217" customFormat="1">
      <c r="C149" s="337"/>
      <c r="F149" s="337"/>
      <c r="G149" s="337"/>
      <c r="H149" s="337"/>
      <c r="I149" s="337"/>
      <c r="J149" s="338"/>
      <c r="K149" s="29"/>
      <c r="L149" s="29"/>
      <c r="M149" s="29"/>
      <c r="N149" s="29"/>
      <c r="O149" s="29"/>
      <c r="P149" s="29"/>
      <c r="Q149" s="29"/>
      <c r="R149" s="93"/>
      <c r="S149" s="93"/>
      <c r="T149" s="93"/>
      <c r="U149" s="93"/>
      <c r="V149" s="93"/>
      <c r="W149" s="93"/>
      <c r="Y149" s="216"/>
      <c r="Z149" s="216"/>
      <c r="AA149" s="216"/>
      <c r="AB149" s="216"/>
      <c r="AC149" s="216"/>
      <c r="AD149" s="216"/>
      <c r="AE149" s="216"/>
      <c r="AF149" s="216"/>
      <c r="AG149" s="216"/>
      <c r="AH149" s="216"/>
      <c r="AI149" s="216"/>
      <c r="AJ149" s="216"/>
      <c r="AK149" s="216"/>
      <c r="AL149" s="216"/>
      <c r="AM149" s="216"/>
      <c r="AN149" s="216"/>
      <c r="AO149" s="216"/>
      <c r="AP149" s="216"/>
      <c r="AQ149" s="216"/>
      <c r="AR149" s="216"/>
      <c r="AS149" s="216"/>
      <c r="AT149" s="216"/>
      <c r="AU149" s="216"/>
      <c r="AV149" s="216"/>
      <c r="AW149" s="216"/>
      <c r="AX149" s="216"/>
      <c r="AY149" s="216"/>
      <c r="AZ149" s="216"/>
      <c r="BA149" s="216"/>
      <c r="BB149" s="216"/>
      <c r="BC149" s="216"/>
      <c r="BD149" s="216"/>
      <c r="BE149" s="216"/>
      <c r="BF149" s="216"/>
      <c r="BG149" s="216"/>
      <c r="BH149" s="216"/>
      <c r="BI149" s="216"/>
      <c r="BJ149" s="216"/>
      <c r="BK149" s="216"/>
      <c r="BL149" s="216"/>
      <c r="BM149" s="216"/>
      <c r="BN149" s="216"/>
      <c r="BO149" s="216"/>
      <c r="BP149" s="216"/>
      <c r="BQ149" s="216"/>
      <c r="BR149" s="216"/>
      <c r="BS149" s="216"/>
      <c r="BT149" s="216"/>
      <c r="BU149" s="216"/>
      <c r="BV149" s="216"/>
      <c r="BW149" s="216"/>
      <c r="BX149" s="216"/>
      <c r="BY149" s="216"/>
      <c r="BZ149" s="216"/>
      <c r="CA149" s="216"/>
      <c r="CB149" s="216"/>
      <c r="CC149" s="216"/>
      <c r="CD149" s="216"/>
      <c r="CE149" s="216"/>
      <c r="CF149" s="216"/>
      <c r="CG149" s="216"/>
      <c r="CH149" s="216"/>
      <c r="CI149" s="216"/>
      <c r="CJ149" s="216"/>
      <c r="CK149" s="216"/>
      <c r="CL149" s="216"/>
      <c r="CM149" s="216"/>
      <c r="CN149" s="216"/>
      <c r="CO149" s="216"/>
      <c r="CP149" s="216"/>
      <c r="CQ149" s="216"/>
      <c r="CR149" s="216"/>
      <c r="CS149" s="216"/>
      <c r="CT149" s="216"/>
      <c r="CU149" s="216"/>
      <c r="CV149" s="216"/>
      <c r="CW149" s="216"/>
      <c r="CX149" s="216"/>
      <c r="CY149" s="216"/>
      <c r="CZ149" s="216"/>
      <c r="DA149" s="216"/>
      <c r="DB149" s="216"/>
      <c r="DC149" s="216"/>
      <c r="DD149" s="216"/>
      <c r="DE149" s="216"/>
      <c r="DF149" s="216"/>
      <c r="DG149" s="216"/>
      <c r="DH149" s="216"/>
      <c r="DI149" s="216"/>
      <c r="DJ149" s="216"/>
      <c r="DK149" s="216"/>
      <c r="DL149" s="216"/>
      <c r="DM149" s="216"/>
      <c r="DN149" s="216"/>
      <c r="DO149" s="216"/>
      <c r="DP149" s="216"/>
      <c r="DQ149" s="216"/>
      <c r="DR149" s="216"/>
      <c r="DS149" s="216"/>
      <c r="DT149" s="216"/>
      <c r="DU149" s="216"/>
      <c r="DV149" s="216"/>
      <c r="DW149" s="216"/>
      <c r="DX149" s="216"/>
      <c r="DY149" s="216"/>
      <c r="DZ149" s="216"/>
      <c r="EA149" s="216"/>
      <c r="EB149" s="216"/>
      <c r="EC149" s="216"/>
      <c r="ED149" s="216"/>
      <c r="EE149" s="216"/>
      <c r="EF149" s="216"/>
      <c r="EG149" s="216"/>
      <c r="EH149" s="216"/>
      <c r="EI149" s="216"/>
      <c r="EJ149" s="216"/>
      <c r="EK149" s="216"/>
      <c r="EL149" s="216"/>
      <c r="EM149" s="216"/>
      <c r="EN149" s="216"/>
      <c r="EO149" s="216"/>
      <c r="EP149" s="216"/>
      <c r="EQ149" s="216"/>
      <c r="ER149" s="216"/>
      <c r="ES149" s="216"/>
      <c r="ET149" s="216"/>
      <c r="EU149" s="216"/>
      <c r="EV149" s="216"/>
      <c r="EW149" s="216"/>
      <c r="EX149" s="216"/>
      <c r="EY149" s="216"/>
      <c r="EZ149" s="216"/>
      <c r="FA149" s="216"/>
      <c r="FB149" s="216"/>
      <c r="FC149" s="216"/>
      <c r="FD149" s="216"/>
      <c r="FE149" s="216"/>
      <c r="FF149" s="216"/>
      <c r="FG149" s="216"/>
      <c r="FH149" s="216"/>
      <c r="FI149" s="216"/>
      <c r="FJ149" s="216"/>
      <c r="FK149" s="216"/>
      <c r="FL149" s="216"/>
      <c r="FM149" s="216"/>
      <c r="FN149" s="216"/>
      <c r="FO149" s="216"/>
      <c r="FP149" s="216"/>
      <c r="FQ149" s="216"/>
      <c r="FR149" s="216"/>
      <c r="FS149" s="216"/>
      <c r="FT149" s="216"/>
      <c r="FU149" s="216"/>
      <c r="FV149" s="216"/>
      <c r="FW149" s="216"/>
      <c r="FX149" s="216"/>
      <c r="FY149" s="216"/>
      <c r="FZ149" s="216"/>
      <c r="GA149" s="216"/>
      <c r="GB149" s="216"/>
      <c r="GC149" s="216"/>
      <c r="GD149" s="216"/>
      <c r="GE149" s="216"/>
      <c r="GF149" s="216"/>
      <c r="GG149" s="216"/>
      <c r="GH149" s="216"/>
      <c r="GI149" s="216"/>
      <c r="GJ149" s="216"/>
      <c r="GK149" s="216"/>
      <c r="GL149" s="216"/>
      <c r="GM149" s="216"/>
      <c r="GN149" s="216"/>
      <c r="GO149" s="216"/>
      <c r="GP149" s="216"/>
      <c r="GQ149" s="216"/>
      <c r="GR149" s="216"/>
      <c r="GS149" s="216"/>
      <c r="GT149" s="216"/>
      <c r="GU149" s="216"/>
      <c r="GV149" s="216"/>
      <c r="GW149" s="216"/>
      <c r="GX149" s="216"/>
      <c r="GY149" s="216"/>
      <c r="GZ149" s="216"/>
      <c r="HA149" s="216"/>
      <c r="HB149" s="216"/>
      <c r="HC149" s="216"/>
      <c r="HD149" s="216"/>
      <c r="HE149" s="216"/>
      <c r="HF149" s="216"/>
      <c r="HG149" s="216"/>
      <c r="HH149" s="216"/>
      <c r="HI149" s="216"/>
      <c r="HJ149" s="216"/>
      <c r="HK149" s="216"/>
      <c r="HL149" s="216"/>
      <c r="HM149" s="216"/>
      <c r="HN149" s="216"/>
      <c r="HO149" s="216"/>
      <c r="HP149" s="216"/>
      <c r="HQ149" s="216"/>
      <c r="HR149" s="216"/>
      <c r="HS149" s="216"/>
      <c r="HT149" s="216"/>
      <c r="HU149" s="216"/>
      <c r="HV149" s="216"/>
      <c r="HW149" s="216"/>
      <c r="HX149" s="216"/>
      <c r="HY149" s="216"/>
      <c r="HZ149" s="216"/>
      <c r="IA149" s="216"/>
      <c r="IB149" s="216"/>
      <c r="IC149" s="216"/>
      <c r="ID149" s="216"/>
      <c r="IE149" s="216"/>
      <c r="IF149" s="216"/>
      <c r="IG149" s="216"/>
      <c r="IH149" s="216"/>
      <c r="II149" s="216"/>
      <c r="IJ149" s="216"/>
      <c r="IK149" s="216"/>
      <c r="IL149" s="216"/>
      <c r="IM149" s="216"/>
      <c r="IN149" s="216"/>
      <c r="IO149" s="216"/>
      <c r="IP149" s="216"/>
      <c r="IQ149" s="216"/>
      <c r="IR149" s="216"/>
      <c r="IS149" s="216"/>
      <c r="IT149" s="216"/>
      <c r="IU149" s="216"/>
      <c r="IV149" s="216"/>
      <c r="IW149" s="216"/>
      <c r="IX149" s="216"/>
      <c r="IY149" s="216"/>
      <c r="IZ149" s="216"/>
      <c r="JA149" s="216"/>
      <c r="JB149" s="216"/>
      <c r="JC149" s="216"/>
      <c r="JD149" s="216"/>
      <c r="JE149" s="216"/>
      <c r="JF149" s="216"/>
      <c r="JG149" s="216"/>
      <c r="JH149" s="216"/>
      <c r="JI149" s="216"/>
      <c r="JJ149" s="216"/>
      <c r="JK149" s="216"/>
      <c r="JL149" s="216"/>
      <c r="JM149" s="216"/>
      <c r="JN149" s="216"/>
      <c r="JO149" s="216"/>
      <c r="JP149" s="216"/>
      <c r="JQ149" s="216"/>
      <c r="JR149" s="216"/>
      <c r="JS149" s="216"/>
      <c r="JT149" s="216"/>
      <c r="JU149" s="216"/>
      <c r="JV149" s="216"/>
      <c r="JW149" s="216"/>
      <c r="JX149" s="216"/>
      <c r="JY149" s="216"/>
      <c r="JZ149" s="216"/>
      <c r="KA149" s="216"/>
      <c r="KB149" s="216"/>
      <c r="KC149" s="216"/>
      <c r="KD149" s="216"/>
      <c r="KE149" s="216"/>
      <c r="KF149" s="216"/>
      <c r="KG149" s="216"/>
      <c r="KH149" s="216"/>
      <c r="KI149" s="216"/>
      <c r="KJ149" s="216"/>
      <c r="KK149" s="216"/>
      <c r="KL149" s="216"/>
      <c r="KM149" s="216"/>
      <c r="KN149" s="216"/>
      <c r="KO149" s="216"/>
      <c r="KP149" s="216"/>
      <c r="KQ149" s="216"/>
      <c r="KR149" s="216"/>
      <c r="KS149" s="216"/>
      <c r="KT149" s="216"/>
      <c r="KU149" s="216"/>
      <c r="KV149" s="216"/>
      <c r="KW149" s="216"/>
      <c r="KX149" s="216"/>
      <c r="KY149" s="216"/>
      <c r="KZ149" s="216"/>
      <c r="LA149" s="216"/>
      <c r="LB149" s="216"/>
      <c r="LC149" s="216"/>
      <c r="LD149" s="216"/>
      <c r="LE149" s="216"/>
      <c r="LF149" s="216"/>
      <c r="LG149" s="216"/>
      <c r="LH149" s="216"/>
      <c r="LI149" s="216"/>
      <c r="LJ149" s="216"/>
      <c r="LK149" s="216"/>
      <c r="LL149" s="216"/>
      <c r="LM149" s="216"/>
      <c r="LN149" s="216"/>
      <c r="LO149" s="216"/>
      <c r="LP149" s="216"/>
      <c r="LQ149" s="216"/>
      <c r="LR149" s="216"/>
      <c r="LS149" s="216"/>
      <c r="LT149" s="216"/>
      <c r="LU149" s="216"/>
      <c r="LV149" s="216"/>
      <c r="LW149" s="216"/>
      <c r="LX149" s="216"/>
      <c r="LY149" s="216"/>
      <c r="LZ149" s="216"/>
      <c r="MA149" s="216"/>
      <c r="MB149" s="216"/>
      <c r="MC149" s="216"/>
      <c r="MD149" s="216"/>
      <c r="ME149" s="216"/>
      <c r="MF149" s="216"/>
      <c r="MG149" s="216"/>
      <c r="MH149" s="216"/>
      <c r="MI149" s="216"/>
      <c r="MJ149" s="216"/>
      <c r="MK149" s="216"/>
      <c r="ML149" s="216"/>
      <c r="MM149" s="216"/>
      <c r="MN149" s="216"/>
      <c r="MO149" s="216"/>
      <c r="MP149" s="216"/>
      <c r="MQ149" s="216"/>
      <c r="MR149" s="216"/>
      <c r="MS149" s="216"/>
      <c r="MT149" s="216"/>
      <c r="MU149" s="216"/>
      <c r="MV149" s="216"/>
      <c r="MW149" s="216"/>
      <c r="MX149" s="216"/>
      <c r="MY149" s="216"/>
      <c r="MZ149" s="216"/>
      <c r="NA149" s="216"/>
      <c r="NB149" s="216"/>
      <c r="NC149" s="216"/>
      <c r="ND149" s="216"/>
      <c r="NE149" s="216"/>
      <c r="NF149" s="216"/>
      <c r="NG149" s="216"/>
      <c r="NH149" s="216"/>
      <c r="NI149" s="216"/>
      <c r="NJ149" s="216"/>
      <c r="NK149" s="216"/>
      <c r="NL149" s="216"/>
      <c r="NM149" s="216"/>
      <c r="NN149" s="216"/>
      <c r="NO149" s="216"/>
      <c r="NP149" s="216"/>
      <c r="NQ149" s="216"/>
      <c r="NR149" s="216"/>
      <c r="NS149" s="216"/>
      <c r="NT149" s="216"/>
      <c r="NU149" s="216"/>
      <c r="NV149" s="216"/>
      <c r="NW149" s="216"/>
      <c r="NX149" s="216"/>
      <c r="NY149" s="216"/>
      <c r="NZ149" s="216"/>
      <c r="OA149" s="216"/>
      <c r="OB149" s="216"/>
      <c r="OC149" s="216"/>
      <c r="OD149" s="216"/>
      <c r="OE149" s="216"/>
      <c r="OF149" s="216"/>
      <c r="OG149" s="216"/>
      <c r="OH149" s="216"/>
      <c r="OI149" s="216"/>
      <c r="OJ149" s="216"/>
      <c r="OK149" s="216"/>
      <c r="OL149" s="216"/>
      <c r="OM149" s="216"/>
      <c r="ON149" s="216"/>
      <c r="OO149" s="216"/>
      <c r="OP149" s="216"/>
      <c r="OQ149" s="216"/>
      <c r="OR149" s="216"/>
      <c r="OS149" s="216"/>
      <c r="OT149" s="216"/>
      <c r="OU149" s="216"/>
      <c r="OV149" s="216"/>
      <c r="OW149" s="216"/>
      <c r="OX149" s="216"/>
      <c r="OY149" s="216"/>
      <c r="OZ149" s="216"/>
      <c r="PA149" s="216"/>
      <c r="PB149" s="216"/>
      <c r="PC149" s="216"/>
      <c r="PD149" s="216"/>
      <c r="PE149" s="216"/>
      <c r="PF149" s="216"/>
      <c r="PG149" s="216"/>
      <c r="PH149" s="216"/>
      <c r="PI149" s="216"/>
      <c r="PJ149" s="216"/>
      <c r="PK149" s="216"/>
      <c r="PL149" s="216"/>
      <c r="PM149" s="216"/>
      <c r="PN149" s="216"/>
      <c r="PO149" s="216"/>
      <c r="PP149" s="216"/>
      <c r="PQ149" s="216"/>
      <c r="PR149" s="216"/>
      <c r="PS149" s="216"/>
      <c r="PT149" s="216"/>
      <c r="PU149" s="216"/>
      <c r="PV149" s="216"/>
      <c r="PW149" s="216"/>
      <c r="PX149" s="216"/>
      <c r="PY149" s="216"/>
      <c r="PZ149" s="216"/>
      <c r="QA149" s="216"/>
      <c r="QB149" s="216"/>
      <c r="QC149" s="216"/>
      <c r="QD149" s="216"/>
      <c r="QE149" s="216"/>
      <c r="QF149" s="216"/>
      <c r="QG149" s="216"/>
      <c r="QH149" s="216"/>
      <c r="QI149" s="216"/>
      <c r="QJ149" s="216"/>
      <c r="QK149" s="216"/>
      <c r="QL149" s="216"/>
      <c r="QM149" s="216"/>
      <c r="QN149" s="216"/>
      <c r="QO149" s="216"/>
      <c r="QP149" s="216"/>
      <c r="QQ149" s="216"/>
      <c r="QR149" s="216"/>
      <c r="QS149" s="216"/>
      <c r="QT149" s="216"/>
      <c r="QU149" s="216"/>
      <c r="QV149" s="216"/>
      <c r="QW149" s="216"/>
      <c r="QX149" s="216"/>
      <c r="QY149" s="216"/>
      <c r="QZ149" s="216"/>
      <c r="RA149" s="216"/>
      <c r="RB149" s="216"/>
      <c r="RC149" s="216"/>
      <c r="RD149" s="216"/>
      <c r="RE149" s="216"/>
      <c r="RF149" s="216"/>
      <c r="RG149" s="216"/>
      <c r="RH149" s="216"/>
      <c r="RI149" s="216"/>
      <c r="RJ149" s="216"/>
      <c r="RK149" s="216"/>
      <c r="RL149" s="216"/>
      <c r="RM149" s="216"/>
      <c r="RN149" s="216"/>
      <c r="RO149" s="216"/>
      <c r="RP149" s="216"/>
      <c r="RQ149" s="216"/>
      <c r="RR149" s="216"/>
      <c r="RS149" s="216"/>
      <c r="RT149" s="216"/>
      <c r="RU149" s="216"/>
      <c r="RV149" s="216"/>
      <c r="RW149" s="216"/>
      <c r="RX149" s="216"/>
      <c r="RY149" s="216"/>
      <c r="RZ149" s="216"/>
      <c r="SA149" s="216"/>
      <c r="SB149" s="216"/>
      <c r="SC149" s="216"/>
      <c r="SD149" s="216"/>
      <c r="SE149" s="216"/>
      <c r="SF149" s="216"/>
      <c r="SG149" s="216"/>
      <c r="SH149" s="216"/>
      <c r="SI149" s="216"/>
      <c r="SJ149" s="216"/>
      <c r="SK149" s="216"/>
      <c r="SL149" s="216"/>
      <c r="SM149" s="216"/>
      <c r="SN149" s="216"/>
      <c r="SO149" s="216"/>
      <c r="SP149" s="216"/>
      <c r="SQ149" s="216"/>
      <c r="SR149" s="216"/>
      <c r="SS149" s="216"/>
      <c r="ST149" s="216"/>
      <c r="SU149" s="216"/>
      <c r="SV149" s="216"/>
      <c r="SW149" s="216"/>
      <c r="SX149" s="216"/>
      <c r="SY149" s="216"/>
      <c r="SZ149" s="216"/>
      <c r="TA149" s="216"/>
      <c r="TB149" s="216"/>
      <c r="TC149" s="216"/>
      <c r="TD149" s="216"/>
      <c r="TE149" s="216"/>
      <c r="TF149" s="216"/>
      <c r="TG149" s="216"/>
      <c r="TH149" s="216"/>
      <c r="TI149" s="216"/>
      <c r="TJ149" s="216"/>
      <c r="TK149" s="216"/>
      <c r="TL149" s="216"/>
      <c r="TM149" s="216"/>
      <c r="TN149" s="216"/>
      <c r="TO149" s="216"/>
      <c r="TP149" s="216"/>
      <c r="TQ149" s="216"/>
      <c r="TR149" s="216"/>
      <c r="TS149" s="216"/>
      <c r="TT149" s="216"/>
      <c r="TU149" s="216"/>
      <c r="TV149" s="216"/>
      <c r="TW149" s="216"/>
      <c r="TX149" s="216"/>
      <c r="TY149" s="216"/>
      <c r="TZ149" s="216"/>
      <c r="UA149" s="216"/>
      <c r="UB149" s="216"/>
      <c r="UC149" s="216"/>
      <c r="UD149" s="216"/>
      <c r="UE149" s="216"/>
      <c r="UF149" s="216"/>
      <c r="UG149" s="216"/>
      <c r="UH149" s="216"/>
      <c r="UI149" s="216"/>
      <c r="UJ149" s="216"/>
      <c r="UK149" s="216"/>
      <c r="UL149" s="216"/>
      <c r="UM149" s="216"/>
      <c r="UN149" s="216"/>
      <c r="UO149" s="216"/>
      <c r="UP149" s="216"/>
      <c r="UQ149" s="216"/>
      <c r="UR149" s="216"/>
      <c r="US149" s="216"/>
      <c r="UT149" s="216"/>
      <c r="UU149" s="216"/>
      <c r="UV149" s="216"/>
      <c r="UW149" s="216"/>
      <c r="UX149" s="216"/>
      <c r="UY149" s="216"/>
      <c r="UZ149" s="216"/>
      <c r="VA149" s="216"/>
      <c r="VB149" s="216"/>
      <c r="VC149" s="216"/>
      <c r="VD149" s="216"/>
      <c r="VE149" s="216"/>
      <c r="VF149" s="216"/>
      <c r="VG149" s="216"/>
      <c r="VH149" s="216"/>
      <c r="VI149" s="216"/>
      <c r="VJ149" s="216"/>
      <c r="VK149" s="216"/>
      <c r="VL149" s="216"/>
      <c r="VM149" s="216"/>
      <c r="VN149" s="216"/>
      <c r="VO149" s="216"/>
      <c r="VP149" s="216"/>
      <c r="VQ149" s="216"/>
      <c r="VR149" s="216"/>
      <c r="VS149" s="216"/>
      <c r="VT149" s="216"/>
      <c r="VU149" s="216"/>
      <c r="VV149" s="216"/>
      <c r="VW149" s="216"/>
      <c r="VX149" s="216"/>
      <c r="VY149" s="216"/>
      <c r="VZ149" s="216"/>
      <c r="WA149" s="216"/>
      <c r="WB149" s="216"/>
      <c r="WC149" s="216"/>
      <c r="WD149" s="216"/>
      <c r="WE149" s="216"/>
      <c r="WF149" s="216"/>
      <c r="WG149" s="216"/>
      <c r="WH149" s="216"/>
      <c r="WI149" s="216"/>
      <c r="WJ149" s="216"/>
      <c r="WK149" s="216"/>
      <c r="WL149" s="216"/>
      <c r="WM149" s="216"/>
      <c r="WN149" s="216"/>
      <c r="WO149" s="216"/>
      <c r="WP149" s="216"/>
      <c r="WQ149" s="216"/>
      <c r="WR149" s="216"/>
      <c r="WS149" s="216"/>
      <c r="WT149" s="216"/>
      <c r="WU149" s="216"/>
      <c r="WV149" s="216"/>
      <c r="WW149" s="216"/>
      <c r="WX149" s="216"/>
      <c r="WY149" s="216"/>
      <c r="WZ149" s="216"/>
      <c r="XA149" s="216"/>
      <c r="XB149" s="216"/>
      <c r="XC149" s="216"/>
      <c r="XD149" s="216"/>
      <c r="XE149" s="216"/>
      <c r="XF149" s="216"/>
      <c r="XG149" s="216"/>
      <c r="XH149" s="216"/>
      <c r="XI149" s="216"/>
      <c r="XJ149" s="216"/>
      <c r="XK149" s="216"/>
      <c r="XL149" s="216"/>
      <c r="XM149" s="216"/>
      <c r="XN149" s="216"/>
      <c r="XO149" s="216"/>
      <c r="XP149" s="216"/>
      <c r="XQ149" s="216"/>
      <c r="XR149" s="216"/>
      <c r="XS149" s="216"/>
      <c r="XT149" s="216"/>
      <c r="XU149" s="216"/>
      <c r="XV149" s="216"/>
      <c r="XW149" s="216"/>
    </row>
  </sheetData>
  <phoneticPr fontId="7" type="noConversion"/>
  <conditionalFormatting sqref="Q62:Q64">
    <cfRule type="cellIs" dxfId="3" priority="1" operator="equal">
      <formula>""""""</formula>
    </cfRule>
  </conditionalFormatting>
  <conditionalFormatting sqref="R2:R4">
    <cfRule type="cellIs" dxfId="2" priority="7" operator="equal">
      <formula>""""""</formula>
    </cfRule>
  </conditionalFormatting>
  <conditionalFormatting sqref="S2:S88 T5:T85 V5:W85 T86:W148 S92:S127 S131:S148">
    <cfRule type="cellIs" dxfId="1" priority="21" operator="equal">
      <formula>""""""</formula>
    </cfRule>
  </conditionalFormatting>
  <conditionalFormatting sqref="Y107:AA148">
    <cfRule type="cellIs" dxfId="0" priority="3" operator="equal">
      <formula>""""""</formula>
    </cfRule>
  </conditionalFormatting>
  <dataValidations count="2">
    <dataValidation type="list" allowBlank="1" showInputMessage="1" showErrorMessage="1" sqref="D2:D148" xr:uid="{00524564-AACE-4D68-A1F5-87978E042927}">
      <formula1>sample_form</formula1>
    </dataValidation>
    <dataValidation type="list" allowBlank="1" showInputMessage="1" showErrorMessage="1" sqref="C2:C148" xr:uid="{87C5D538-2CCB-4E67-BE57-55A463699826}">
      <formula1>#REF!</formula1>
    </dataValidation>
  </dataValidations>
  <pageMargins left="0.51181102362204722" right="0.51181102362204722" top="0.74803149606299213" bottom="0.74803149606299213" header="0.31496062992125984" footer="0.31496062992125984"/>
  <pageSetup paperSize="8" scale="1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R6256"/>
  <sheetViews>
    <sheetView topLeftCell="C1" zoomScale="80" zoomScaleNormal="80" workbookViewId="0">
      <pane ySplit="2" topLeftCell="A3" activePane="bottomLeft" state="frozen"/>
      <selection pane="bottomLeft" activeCell="A3" sqref="A3:P149"/>
    </sheetView>
  </sheetViews>
  <sheetFormatPr defaultColWidth="9.33203125" defaultRowHeight="14.25" customHeight="1"/>
  <cols>
    <col min="1" max="1" width="10.33203125" style="24" customWidth="1"/>
    <col min="2" max="2" width="24" style="24" customWidth="1"/>
    <col min="3" max="3" width="25.44140625" style="24" customWidth="1"/>
    <col min="4" max="4" width="19.33203125" style="24" customWidth="1"/>
    <col min="5" max="5" width="17.44140625" style="24" customWidth="1"/>
    <col min="6" max="6" width="12" style="24" bestFit="1" customWidth="1"/>
    <col min="7" max="7" width="10.5546875" style="24" bestFit="1" customWidth="1"/>
    <col min="8" max="8" width="10.5546875" style="24" customWidth="1"/>
    <col min="9" max="9" width="21.5546875" style="103" bestFit="1" customWidth="1"/>
    <col min="10" max="10" width="12.33203125" style="24" customWidth="1"/>
    <col min="11" max="11" width="9.6640625" style="23" customWidth="1"/>
    <col min="12" max="12" width="16.44140625" style="23" customWidth="1"/>
    <col min="13" max="13" width="16.44140625" style="10" customWidth="1"/>
    <col min="14" max="14" width="17.44140625" style="10" customWidth="1"/>
    <col min="15" max="15" width="16.33203125" customWidth="1"/>
    <col min="16" max="16" width="18.5546875" style="23" bestFit="1" customWidth="1"/>
    <col min="17" max="17" width="9.33203125" style="23"/>
    <col min="18" max="18" width="13.44140625" style="23" bestFit="1" customWidth="1"/>
    <col min="19" max="19" width="10.6640625" style="23" bestFit="1" customWidth="1"/>
    <col min="20" max="16384" width="9.33203125" style="23"/>
  </cols>
  <sheetData>
    <row r="1" spans="1:18" ht="14.25" customHeight="1">
      <c r="J1" s="486" t="s">
        <v>31</v>
      </c>
      <c r="K1" s="487"/>
      <c r="L1" s="487"/>
      <c r="M1" s="487"/>
      <c r="N1" s="487"/>
      <c r="O1" s="488"/>
    </row>
    <row r="2" spans="1:18" s="25" customFormat="1" ht="48.75" customHeight="1">
      <c r="A2" s="27" t="s">
        <v>32</v>
      </c>
      <c r="B2" s="27" t="s">
        <v>33</v>
      </c>
      <c r="C2" s="27" t="s">
        <v>34</v>
      </c>
      <c r="D2" s="27" t="s">
        <v>35</v>
      </c>
      <c r="E2" s="104" t="s">
        <v>36</v>
      </c>
      <c r="F2" s="25" t="s">
        <v>37</v>
      </c>
      <c r="G2" s="104" t="s">
        <v>38</v>
      </c>
      <c r="H2" s="104"/>
      <c r="I2" s="105" t="s">
        <v>39</v>
      </c>
      <c r="J2" s="31" t="s">
        <v>23</v>
      </c>
      <c r="K2" s="32" t="s">
        <v>40</v>
      </c>
      <c r="L2" s="33" t="s">
        <v>41</v>
      </c>
      <c r="M2" s="34" t="s">
        <v>42</v>
      </c>
      <c r="N2" s="35" t="s">
        <v>43</v>
      </c>
      <c r="O2" s="36" t="s">
        <v>44</v>
      </c>
      <c r="P2" s="26" t="s">
        <v>45</v>
      </c>
    </row>
    <row r="3" spans="1:18" ht="14.25" customHeight="1">
      <c r="A3" s="91"/>
      <c r="B3" s="107"/>
      <c r="C3" s="107"/>
      <c r="D3" s="107"/>
      <c r="E3" s="108"/>
      <c r="F3" s="109"/>
      <c r="G3" s="108"/>
      <c r="H3" s="108"/>
      <c r="I3" s="110"/>
      <c r="J3" s="109"/>
      <c r="K3" s="111"/>
      <c r="L3" s="112"/>
      <c r="M3" s="90"/>
      <c r="N3" s="90"/>
      <c r="O3" s="90"/>
      <c r="P3" s="112"/>
    </row>
    <row r="4" spans="1:18" ht="14.25" customHeight="1">
      <c r="A4" s="91"/>
      <c r="B4" s="107"/>
      <c r="C4" s="107"/>
      <c r="D4" s="107"/>
      <c r="E4" s="108"/>
      <c r="F4" s="109"/>
      <c r="G4" s="108"/>
      <c r="H4" s="108"/>
      <c r="I4" s="110"/>
      <c r="J4" s="109"/>
      <c r="K4" s="111"/>
      <c r="L4" s="112"/>
      <c r="M4" s="90"/>
      <c r="N4" s="90"/>
      <c r="O4" s="90"/>
      <c r="P4" s="112"/>
    </row>
    <row r="5" spans="1:18" ht="14.25" customHeight="1">
      <c r="A5" s="91"/>
      <c r="B5" s="107"/>
      <c r="C5" s="107"/>
      <c r="D5" s="107"/>
      <c r="E5" s="108"/>
      <c r="F5" s="109"/>
      <c r="G5" s="108"/>
      <c r="H5" s="108"/>
      <c r="I5" s="110"/>
      <c r="J5" s="109"/>
      <c r="K5" s="111"/>
      <c r="L5" s="112"/>
      <c r="M5" s="90"/>
      <c r="N5" s="90"/>
      <c r="O5" s="90"/>
      <c r="P5" s="112"/>
    </row>
    <row r="6" spans="1:18" ht="14.25" customHeight="1">
      <c r="A6" s="91"/>
      <c r="B6" s="107"/>
      <c r="C6" s="107"/>
      <c r="D6" s="107"/>
      <c r="E6" s="108"/>
      <c r="F6" s="109"/>
      <c r="G6" s="108"/>
      <c r="H6" s="108"/>
      <c r="I6" s="110"/>
      <c r="J6" s="109"/>
      <c r="K6" s="111"/>
      <c r="L6" s="112"/>
      <c r="M6" s="90"/>
      <c r="N6" s="90"/>
      <c r="O6" s="90"/>
      <c r="P6" s="112"/>
    </row>
    <row r="7" spans="1:18" ht="14.25" customHeight="1">
      <c r="A7" s="91"/>
      <c r="B7" s="107"/>
      <c r="C7" s="107"/>
      <c r="D7" s="107"/>
      <c r="E7" s="108"/>
      <c r="F7" s="109"/>
      <c r="G7" s="108"/>
      <c r="H7" s="108"/>
      <c r="I7" s="110"/>
      <c r="J7" s="109"/>
      <c r="K7" s="111"/>
      <c r="L7" s="112"/>
      <c r="M7" s="90"/>
      <c r="N7" s="90"/>
      <c r="O7" s="90"/>
      <c r="P7" s="112"/>
    </row>
    <row r="8" spans="1:18" ht="14.25" customHeight="1">
      <c r="A8" s="91"/>
      <c r="B8" s="107"/>
      <c r="C8" s="107"/>
      <c r="D8" s="107"/>
      <c r="E8" s="108"/>
      <c r="F8" s="109"/>
      <c r="G8" s="108"/>
      <c r="H8" s="108"/>
      <c r="I8" s="110"/>
      <c r="J8" s="109"/>
      <c r="K8" s="111"/>
      <c r="L8" s="112"/>
      <c r="M8" s="90"/>
      <c r="N8" s="90"/>
      <c r="O8" s="90"/>
      <c r="P8" s="112"/>
    </row>
    <row r="9" spans="1:18" ht="14.25" customHeight="1">
      <c r="A9" s="91"/>
      <c r="B9" s="107"/>
      <c r="C9" s="107"/>
      <c r="D9" s="107"/>
      <c r="E9" s="108"/>
      <c r="F9" s="109"/>
      <c r="G9" s="108"/>
      <c r="H9" s="108"/>
      <c r="I9" s="110"/>
      <c r="J9" s="109"/>
      <c r="K9" s="111"/>
      <c r="L9" s="112"/>
      <c r="M9" s="90"/>
      <c r="N9" s="90"/>
      <c r="O9" s="90"/>
      <c r="P9" s="112"/>
      <c r="R9" s="82"/>
    </row>
    <row r="10" spans="1:18" ht="14.25" customHeight="1">
      <c r="A10" s="91"/>
      <c r="B10" s="107"/>
      <c r="C10" s="107"/>
      <c r="D10" s="107"/>
      <c r="E10" s="108"/>
      <c r="F10" s="109"/>
      <c r="G10" s="108"/>
      <c r="H10" s="108"/>
      <c r="I10" s="110"/>
      <c r="J10" s="109"/>
      <c r="K10" s="111"/>
      <c r="L10" s="112"/>
      <c r="M10" s="90"/>
      <c r="N10" s="90"/>
      <c r="O10" s="90"/>
      <c r="P10" s="112"/>
      <c r="R10" s="82"/>
    </row>
    <row r="11" spans="1:18" ht="14.25" customHeight="1">
      <c r="A11" s="91"/>
      <c r="B11" s="107"/>
      <c r="C11" s="107"/>
      <c r="D11" s="107"/>
      <c r="E11" s="108"/>
      <c r="F11" s="109"/>
      <c r="G11" s="108"/>
      <c r="H11" s="108"/>
      <c r="I11" s="110"/>
      <c r="J11" s="109"/>
      <c r="K11" s="111"/>
      <c r="L11" s="112"/>
      <c r="M11" s="90"/>
      <c r="N11" s="90"/>
      <c r="O11" s="90"/>
      <c r="P11" s="112"/>
      <c r="R11" s="106"/>
    </row>
    <row r="12" spans="1:18" ht="14.25" customHeight="1">
      <c r="A12" s="91"/>
      <c r="B12" s="107"/>
      <c r="C12" s="107"/>
      <c r="D12" s="107"/>
      <c r="E12" s="108"/>
      <c r="F12" s="109"/>
      <c r="G12" s="108"/>
      <c r="H12" s="108"/>
      <c r="I12" s="110"/>
      <c r="J12" s="109"/>
      <c r="K12" s="111"/>
      <c r="L12" s="112"/>
      <c r="M12" s="90"/>
      <c r="N12" s="90"/>
      <c r="O12" s="90"/>
      <c r="P12" s="112"/>
      <c r="R12" s="106"/>
    </row>
    <row r="13" spans="1:18" ht="14.25" customHeight="1">
      <c r="A13" s="91"/>
      <c r="B13" s="107"/>
      <c r="C13" s="107"/>
      <c r="D13" s="107"/>
      <c r="E13" s="108"/>
      <c r="F13" s="109"/>
      <c r="G13" s="108"/>
      <c r="H13" s="108"/>
      <c r="I13" s="110"/>
      <c r="J13" s="109"/>
      <c r="K13" s="111"/>
      <c r="L13" s="112"/>
      <c r="M13" s="90"/>
      <c r="N13" s="90"/>
      <c r="O13" s="90"/>
      <c r="P13" s="112"/>
      <c r="R13" s="106"/>
    </row>
    <row r="14" spans="1:18" ht="14.25" customHeight="1">
      <c r="A14" s="91"/>
      <c r="B14" s="107"/>
      <c r="C14" s="107"/>
      <c r="D14" s="107"/>
      <c r="E14" s="108"/>
      <c r="F14" s="109"/>
      <c r="G14" s="108"/>
      <c r="H14" s="108"/>
      <c r="I14" s="110"/>
      <c r="J14" s="109"/>
      <c r="K14" s="111"/>
      <c r="L14" s="112"/>
      <c r="M14" s="90"/>
      <c r="N14" s="90"/>
      <c r="O14" s="90"/>
      <c r="P14" s="112"/>
    </row>
    <row r="15" spans="1:18" ht="14.25" customHeight="1">
      <c r="A15" s="91"/>
      <c r="B15" s="107"/>
      <c r="C15" s="107"/>
      <c r="D15" s="107"/>
      <c r="E15" s="108"/>
      <c r="F15" s="109"/>
      <c r="G15" s="108"/>
      <c r="H15" s="108"/>
      <c r="I15" s="110"/>
      <c r="J15" s="109"/>
      <c r="K15" s="111"/>
      <c r="L15" s="112"/>
      <c r="M15" s="90"/>
      <c r="N15" s="90"/>
      <c r="O15" s="90"/>
      <c r="P15" s="112"/>
    </row>
    <row r="16" spans="1:18" ht="14.25" customHeight="1">
      <c r="A16" s="91"/>
      <c r="B16" s="107"/>
      <c r="C16" s="107"/>
      <c r="D16" s="107"/>
      <c r="E16" s="108"/>
      <c r="F16" s="109"/>
      <c r="G16" s="108"/>
      <c r="H16" s="108"/>
      <c r="I16" s="110"/>
      <c r="J16" s="109"/>
      <c r="K16" s="111"/>
      <c r="L16" s="112"/>
      <c r="M16" s="90"/>
      <c r="N16" s="90"/>
      <c r="O16" s="90"/>
      <c r="P16" s="112"/>
    </row>
    <row r="17" spans="1:16" ht="14.25" customHeight="1">
      <c r="A17" s="91"/>
      <c r="B17" s="107"/>
      <c r="C17" s="107"/>
      <c r="D17" s="107"/>
      <c r="E17" s="108"/>
      <c r="F17" s="109"/>
      <c r="G17" s="108"/>
      <c r="H17" s="108"/>
      <c r="I17" s="110"/>
      <c r="J17" s="109"/>
      <c r="K17" s="111"/>
      <c r="L17" s="112"/>
      <c r="M17" s="90"/>
      <c r="N17" s="90"/>
      <c r="O17" s="90"/>
      <c r="P17" s="112"/>
    </row>
    <row r="18" spans="1:16" ht="14.25" customHeight="1">
      <c r="A18" s="91"/>
      <c r="B18" s="107"/>
      <c r="C18" s="107"/>
      <c r="D18" s="107"/>
      <c r="E18" s="108"/>
      <c r="F18" s="109"/>
      <c r="G18" s="108"/>
      <c r="H18" s="108"/>
      <c r="I18" s="110"/>
      <c r="J18" s="109"/>
      <c r="K18" s="111"/>
      <c r="L18" s="112"/>
      <c r="M18" s="90"/>
      <c r="N18" s="90"/>
      <c r="O18" s="90"/>
      <c r="P18" s="112"/>
    </row>
    <row r="19" spans="1:16" ht="14.25" customHeight="1">
      <c r="A19" s="91"/>
      <c r="B19" s="107"/>
      <c r="C19" s="107"/>
      <c r="D19" s="107"/>
      <c r="E19" s="108"/>
      <c r="F19" s="109"/>
      <c r="G19" s="108"/>
      <c r="H19" s="108"/>
      <c r="I19" s="110"/>
      <c r="J19" s="109"/>
      <c r="K19" s="111"/>
      <c r="L19" s="112"/>
      <c r="M19" s="90"/>
      <c r="N19" s="90"/>
      <c r="O19" s="90"/>
      <c r="P19" s="112"/>
    </row>
    <row r="20" spans="1:16" ht="14.25" customHeight="1">
      <c r="A20" s="91"/>
      <c r="B20" s="107"/>
      <c r="C20" s="107"/>
      <c r="D20" s="107"/>
      <c r="E20" s="108"/>
      <c r="F20" s="109"/>
      <c r="G20" s="108"/>
      <c r="H20" s="108"/>
      <c r="I20" s="110"/>
      <c r="J20" s="109"/>
      <c r="K20" s="111"/>
      <c r="L20" s="112"/>
      <c r="M20" s="90"/>
      <c r="N20" s="90"/>
      <c r="O20" s="90"/>
      <c r="P20" s="112"/>
    </row>
    <row r="21" spans="1:16" ht="14.25" customHeight="1">
      <c r="A21" s="91"/>
      <c r="B21" s="107"/>
      <c r="C21" s="107"/>
      <c r="D21" s="107"/>
      <c r="E21" s="108"/>
      <c r="F21" s="109"/>
      <c r="G21" s="108"/>
      <c r="H21" s="108"/>
      <c r="I21" s="110"/>
      <c r="J21" s="109"/>
      <c r="K21" s="111"/>
      <c r="L21" s="112"/>
      <c r="M21" s="90"/>
      <c r="N21" s="90"/>
      <c r="O21" s="90"/>
      <c r="P21" s="112"/>
    </row>
    <row r="22" spans="1:16" ht="14.25" customHeight="1">
      <c r="A22" s="91"/>
      <c r="B22" s="107"/>
      <c r="C22" s="107"/>
      <c r="D22" s="107"/>
      <c r="E22" s="108"/>
      <c r="F22" s="109"/>
      <c r="G22" s="108"/>
      <c r="H22" s="108"/>
      <c r="I22" s="110"/>
      <c r="J22" s="109"/>
      <c r="K22" s="111"/>
      <c r="L22" s="112"/>
      <c r="M22" s="90"/>
      <c r="N22" s="90"/>
      <c r="O22" s="90"/>
      <c r="P22" s="112"/>
    </row>
    <row r="23" spans="1:16" ht="14.25" customHeight="1">
      <c r="A23" s="91"/>
      <c r="B23" s="107"/>
      <c r="C23" s="107"/>
      <c r="D23" s="107"/>
      <c r="E23" s="108"/>
      <c r="F23" s="109"/>
      <c r="G23" s="108"/>
      <c r="H23" s="108"/>
      <c r="I23" s="110"/>
      <c r="J23" s="109"/>
      <c r="K23" s="111"/>
      <c r="L23" s="112"/>
      <c r="M23" s="90"/>
      <c r="N23" s="90"/>
      <c r="O23" s="90"/>
      <c r="P23" s="112"/>
    </row>
    <row r="24" spans="1:16" ht="14.25" customHeight="1">
      <c r="A24" s="91"/>
      <c r="B24" s="107"/>
      <c r="C24" s="107"/>
      <c r="D24" s="107"/>
      <c r="E24" s="108"/>
      <c r="F24" s="109"/>
      <c r="G24" s="108"/>
      <c r="H24" s="108"/>
      <c r="I24" s="110"/>
      <c r="J24" s="109"/>
      <c r="K24" s="111"/>
      <c r="L24" s="112"/>
      <c r="M24" s="90"/>
      <c r="N24" s="90"/>
      <c r="O24" s="90"/>
      <c r="P24" s="112"/>
    </row>
    <row r="25" spans="1:16" ht="14.25" customHeight="1">
      <c r="A25" s="91"/>
      <c r="B25" s="107"/>
      <c r="C25" s="107"/>
      <c r="D25" s="107"/>
      <c r="E25" s="108"/>
      <c r="F25" s="109"/>
      <c r="G25" s="108"/>
      <c r="H25" s="108"/>
      <c r="I25" s="110"/>
      <c r="J25" s="109"/>
      <c r="K25" s="111"/>
      <c r="L25" s="112"/>
      <c r="M25" s="90"/>
      <c r="N25" s="90"/>
      <c r="O25" s="90"/>
      <c r="P25" s="112"/>
    </row>
    <row r="26" spans="1:16" ht="14.25" customHeight="1">
      <c r="A26" s="91"/>
      <c r="B26" s="107"/>
      <c r="C26" s="107"/>
      <c r="D26" s="107"/>
      <c r="E26" s="108"/>
      <c r="F26" s="109"/>
      <c r="G26" s="108"/>
      <c r="H26" s="108"/>
      <c r="I26" s="110"/>
      <c r="J26" s="109"/>
      <c r="K26" s="111"/>
      <c r="L26" s="112"/>
      <c r="M26" s="90"/>
      <c r="N26" s="90"/>
      <c r="O26" s="90"/>
      <c r="P26" s="112"/>
    </row>
    <row r="27" spans="1:16" ht="14.25" customHeight="1">
      <c r="A27" s="91"/>
      <c r="B27" s="107"/>
      <c r="C27" s="107"/>
      <c r="D27" s="107"/>
      <c r="E27" s="108"/>
      <c r="F27" s="109"/>
      <c r="G27" s="108"/>
      <c r="H27" s="108"/>
      <c r="I27" s="110"/>
      <c r="J27" s="109"/>
      <c r="K27" s="111"/>
      <c r="L27" s="112"/>
      <c r="M27" s="90"/>
      <c r="N27" s="90"/>
      <c r="O27" s="90"/>
      <c r="P27" s="112"/>
    </row>
    <row r="28" spans="1:16" ht="14.25" customHeight="1">
      <c r="A28" s="91"/>
      <c r="B28" s="107"/>
      <c r="C28" s="107"/>
      <c r="D28" s="107"/>
      <c r="E28" s="108"/>
      <c r="F28" s="109"/>
      <c r="G28" s="108"/>
      <c r="H28" s="108"/>
      <c r="I28" s="110"/>
      <c r="J28" s="109"/>
      <c r="K28" s="111"/>
      <c r="L28" s="112"/>
      <c r="M28" s="90"/>
      <c r="N28" s="90"/>
      <c r="O28" s="90"/>
      <c r="P28" s="112"/>
    </row>
    <row r="29" spans="1:16" ht="14.25" customHeight="1">
      <c r="A29" s="91"/>
      <c r="B29" s="107"/>
      <c r="C29" s="107"/>
      <c r="D29" s="107"/>
      <c r="E29" s="108"/>
      <c r="F29" s="109"/>
      <c r="G29" s="108"/>
      <c r="H29" s="108"/>
      <c r="I29" s="110"/>
      <c r="J29" s="109"/>
      <c r="K29" s="111"/>
      <c r="L29" s="112"/>
      <c r="M29" s="90"/>
      <c r="N29" s="90"/>
      <c r="O29" s="90"/>
      <c r="P29" s="112"/>
    </row>
    <row r="30" spans="1:16" ht="14.25" customHeight="1">
      <c r="A30" s="91"/>
      <c r="B30" s="107"/>
      <c r="C30" s="107"/>
      <c r="D30" s="107"/>
      <c r="E30" s="108"/>
      <c r="F30" s="109"/>
      <c r="G30" s="108"/>
      <c r="H30" s="108"/>
      <c r="I30" s="110"/>
      <c r="J30" s="109"/>
      <c r="K30" s="111"/>
      <c r="L30" s="112"/>
      <c r="M30" s="90"/>
      <c r="N30" s="90"/>
      <c r="O30" s="90"/>
      <c r="P30" s="112"/>
    </row>
    <row r="31" spans="1:16" ht="14.25" customHeight="1">
      <c r="A31" s="91"/>
      <c r="B31" s="107"/>
      <c r="C31" s="107"/>
      <c r="D31" s="107"/>
      <c r="E31" s="108"/>
      <c r="F31" s="109"/>
      <c r="G31" s="108"/>
      <c r="H31" s="108"/>
      <c r="I31" s="110"/>
      <c r="J31" s="109"/>
      <c r="K31" s="111"/>
      <c r="L31" s="112"/>
      <c r="M31" s="90"/>
      <c r="N31" s="90"/>
      <c r="O31" s="90"/>
      <c r="P31" s="112"/>
    </row>
    <row r="32" spans="1:16" ht="13.95" customHeight="1">
      <c r="A32" s="91"/>
      <c r="B32" s="107"/>
      <c r="C32" s="107"/>
      <c r="D32" s="107"/>
      <c r="E32" s="108"/>
      <c r="F32" s="109"/>
      <c r="G32" s="108"/>
      <c r="H32" s="108"/>
      <c r="I32" s="110"/>
      <c r="J32" s="109"/>
      <c r="K32" s="111"/>
      <c r="L32" s="112"/>
      <c r="M32" s="90"/>
      <c r="N32" s="90"/>
      <c r="O32" s="90"/>
      <c r="P32" s="112"/>
    </row>
    <row r="33" spans="1:16" ht="13.95" customHeight="1">
      <c r="A33" s="91"/>
      <c r="B33" s="107"/>
      <c r="C33" s="107"/>
      <c r="D33" s="107"/>
      <c r="E33" s="108"/>
      <c r="F33" s="108"/>
      <c r="G33" s="108"/>
      <c r="H33" s="108"/>
      <c r="I33" s="110"/>
      <c r="J33" s="109"/>
      <c r="K33" s="111"/>
      <c r="L33" s="112"/>
      <c r="M33" s="90"/>
      <c r="N33" s="90"/>
      <c r="O33" s="90"/>
      <c r="P33" s="112"/>
    </row>
    <row r="34" spans="1:16" ht="13.95" customHeight="1">
      <c r="A34" s="91"/>
      <c r="B34" s="107"/>
      <c r="C34" s="107"/>
      <c r="D34" s="107"/>
      <c r="E34" s="108"/>
      <c r="F34" s="108"/>
      <c r="G34" s="108"/>
      <c r="H34" s="108"/>
      <c r="I34" s="110"/>
      <c r="J34" s="109"/>
      <c r="K34" s="111"/>
      <c r="L34" s="112"/>
      <c r="M34" s="90"/>
      <c r="N34" s="90"/>
      <c r="O34" s="90"/>
      <c r="P34" s="112"/>
    </row>
    <row r="35" spans="1:16" ht="13.95" customHeight="1">
      <c r="A35" s="91"/>
      <c r="B35" s="107"/>
      <c r="C35" s="107"/>
      <c r="D35" s="107"/>
      <c r="E35" s="108"/>
      <c r="F35" s="108"/>
      <c r="G35" s="108"/>
      <c r="H35" s="108"/>
      <c r="I35" s="110"/>
      <c r="J35" s="109"/>
      <c r="K35" s="111"/>
      <c r="L35" s="112"/>
      <c r="M35" s="90"/>
      <c r="N35" s="90"/>
      <c r="O35" s="90"/>
      <c r="P35" s="112"/>
    </row>
    <row r="36" spans="1:16" ht="13.95" customHeight="1">
      <c r="A36" s="91"/>
      <c r="B36" s="107"/>
      <c r="C36" s="107"/>
      <c r="D36" s="107"/>
      <c r="E36" s="108"/>
      <c r="F36" s="108"/>
      <c r="G36" s="108"/>
      <c r="H36" s="108"/>
      <c r="I36" s="110"/>
      <c r="J36" s="109"/>
      <c r="K36" s="111"/>
      <c r="L36" s="112"/>
      <c r="M36" s="90"/>
      <c r="N36" s="90"/>
      <c r="O36" s="90"/>
      <c r="P36" s="112"/>
    </row>
    <row r="37" spans="1:16" ht="13.95" customHeight="1">
      <c r="A37" s="91"/>
      <c r="B37" s="107"/>
      <c r="C37" s="107"/>
      <c r="D37" s="107"/>
      <c r="E37" s="108"/>
      <c r="F37" s="108"/>
      <c r="G37" s="108"/>
      <c r="H37" s="108"/>
      <c r="I37" s="110"/>
      <c r="J37" s="109"/>
      <c r="K37" s="111"/>
      <c r="L37" s="112"/>
      <c r="M37" s="90"/>
      <c r="N37" s="90"/>
      <c r="O37" s="90"/>
      <c r="P37" s="112"/>
    </row>
    <row r="38" spans="1:16" ht="13.95" customHeight="1">
      <c r="A38" s="91"/>
      <c r="B38" s="107"/>
      <c r="C38" s="107"/>
      <c r="D38" s="107"/>
      <c r="E38" s="108"/>
      <c r="F38" s="108"/>
      <c r="G38" s="108"/>
      <c r="H38" s="108"/>
      <c r="I38" s="110"/>
      <c r="J38" s="109"/>
      <c r="K38" s="111"/>
      <c r="L38" s="112"/>
      <c r="M38" s="90"/>
      <c r="N38" s="90"/>
      <c r="O38" s="90"/>
      <c r="P38" s="112"/>
    </row>
    <row r="39" spans="1:16" ht="14.25" customHeight="1">
      <c r="A39" s="91"/>
      <c r="B39" s="107"/>
      <c r="C39" s="107"/>
      <c r="D39" s="107"/>
      <c r="E39" s="108"/>
      <c r="F39" s="108"/>
      <c r="G39" s="108"/>
      <c r="H39" s="108"/>
      <c r="I39" s="110"/>
      <c r="J39" s="109"/>
      <c r="K39" s="111"/>
      <c r="L39" s="112"/>
      <c r="M39" s="90"/>
      <c r="N39" s="90"/>
      <c r="O39" s="90"/>
      <c r="P39" s="112"/>
    </row>
    <row r="40" spans="1:16" ht="14.25" customHeight="1">
      <c r="A40" s="91"/>
      <c r="B40" s="107"/>
      <c r="C40" s="107"/>
      <c r="D40" s="107"/>
      <c r="E40" s="108"/>
      <c r="F40" s="108"/>
      <c r="G40" s="108"/>
      <c r="H40" s="108"/>
      <c r="I40" s="110"/>
      <c r="J40" s="109"/>
      <c r="K40" s="111"/>
      <c r="L40" s="112"/>
      <c r="M40" s="90"/>
      <c r="N40" s="90"/>
      <c r="O40" s="90"/>
      <c r="P40" s="112"/>
    </row>
    <row r="41" spans="1:16" ht="14.25" customHeight="1">
      <c r="A41" s="91"/>
      <c r="B41" s="107"/>
      <c r="C41" s="107"/>
      <c r="D41" s="107"/>
      <c r="E41" s="108"/>
      <c r="F41" s="108"/>
      <c r="G41" s="108"/>
      <c r="H41" s="108"/>
      <c r="I41" s="110"/>
      <c r="J41" s="109"/>
      <c r="K41" s="111"/>
      <c r="L41" s="112"/>
      <c r="M41" s="90"/>
      <c r="N41" s="90"/>
      <c r="O41" s="90"/>
      <c r="P41" s="112"/>
    </row>
    <row r="42" spans="1:16" ht="14.25" customHeight="1">
      <c r="A42" s="91"/>
      <c r="B42" s="107"/>
      <c r="C42" s="107"/>
      <c r="D42" s="107"/>
      <c r="E42" s="108"/>
      <c r="F42" s="108"/>
      <c r="G42" s="108"/>
      <c r="H42" s="108"/>
      <c r="I42" s="110"/>
      <c r="J42" s="109"/>
      <c r="K42" s="111"/>
      <c r="L42" s="112"/>
      <c r="M42" s="90"/>
      <c r="N42" s="90"/>
      <c r="O42" s="90"/>
      <c r="P42" s="112"/>
    </row>
    <row r="43" spans="1:16" ht="14.25" customHeight="1">
      <c r="A43" s="91"/>
      <c r="B43" s="107"/>
      <c r="C43" s="107"/>
      <c r="D43" s="107"/>
      <c r="E43" s="108"/>
      <c r="F43" s="108"/>
      <c r="G43" s="108"/>
      <c r="H43" s="108"/>
      <c r="I43" s="110"/>
      <c r="J43" s="109"/>
      <c r="K43" s="111"/>
      <c r="L43" s="112"/>
      <c r="M43" s="90"/>
      <c r="N43" s="90"/>
      <c r="O43" s="90"/>
      <c r="P43" s="112"/>
    </row>
    <row r="44" spans="1:16" ht="14.25" customHeight="1">
      <c r="A44" s="91"/>
      <c r="B44" s="107"/>
      <c r="C44" s="107"/>
      <c r="D44" s="107"/>
      <c r="E44" s="108"/>
      <c r="F44" s="108"/>
      <c r="G44" s="108"/>
      <c r="H44" s="108"/>
      <c r="I44" s="110"/>
      <c r="J44" s="109"/>
      <c r="K44" s="111"/>
      <c r="L44" s="112"/>
      <c r="M44" s="90"/>
      <c r="N44" s="90"/>
      <c r="O44" s="90"/>
      <c r="P44" s="112"/>
    </row>
    <row r="45" spans="1:16" ht="14.25" customHeight="1">
      <c r="A45" s="91"/>
      <c r="B45" s="107"/>
      <c r="C45" s="107"/>
      <c r="D45" s="107"/>
      <c r="E45" s="108"/>
      <c r="F45" s="108"/>
      <c r="G45" s="108"/>
      <c r="H45" s="108"/>
      <c r="I45" s="110"/>
      <c r="J45" s="109"/>
      <c r="K45" s="111"/>
      <c r="L45" s="112"/>
      <c r="M45" s="90"/>
      <c r="N45" s="90"/>
      <c r="O45" s="90"/>
      <c r="P45" s="112"/>
    </row>
    <row r="46" spans="1:16" ht="14.25" customHeight="1">
      <c r="A46" s="91"/>
      <c r="B46" s="107"/>
      <c r="C46" s="107"/>
      <c r="D46" s="107"/>
      <c r="E46" s="108"/>
      <c r="F46" s="108"/>
      <c r="G46" s="108"/>
      <c r="H46" s="108"/>
      <c r="I46" s="110"/>
      <c r="J46" s="109"/>
      <c r="K46" s="111"/>
      <c r="L46" s="112"/>
      <c r="M46" s="90"/>
      <c r="N46" s="90"/>
      <c r="O46" s="90"/>
      <c r="P46" s="112"/>
    </row>
    <row r="47" spans="1:16" ht="14.25" customHeight="1">
      <c r="A47" s="91"/>
      <c r="B47" s="107"/>
      <c r="C47" s="107"/>
      <c r="D47" s="107"/>
      <c r="E47" s="108"/>
      <c r="F47" s="108"/>
      <c r="G47" s="108"/>
      <c r="H47" s="108"/>
      <c r="I47" s="110"/>
      <c r="J47" s="109"/>
      <c r="K47" s="111"/>
      <c r="L47" s="112"/>
      <c r="M47" s="90"/>
      <c r="N47" s="90"/>
      <c r="O47" s="90"/>
      <c r="P47" s="112"/>
    </row>
    <row r="48" spans="1:16" ht="14.25" customHeight="1">
      <c r="A48" s="91"/>
      <c r="B48" s="107"/>
      <c r="C48" s="107"/>
      <c r="D48" s="107"/>
      <c r="E48" s="108"/>
      <c r="F48" s="108"/>
      <c r="G48" s="108"/>
      <c r="H48" s="108"/>
      <c r="I48" s="110"/>
      <c r="J48" s="109"/>
      <c r="K48" s="111"/>
      <c r="L48" s="112"/>
      <c r="M48" s="90"/>
      <c r="N48" s="90"/>
      <c r="O48" s="90"/>
      <c r="P48" s="112"/>
    </row>
    <row r="49" spans="1:16" ht="14.25" customHeight="1">
      <c r="A49" s="91"/>
      <c r="B49" s="107"/>
      <c r="C49" s="107"/>
      <c r="D49" s="107"/>
      <c r="E49" s="108"/>
      <c r="F49" s="108"/>
      <c r="G49" s="108"/>
      <c r="H49" s="108"/>
      <c r="I49" s="110"/>
      <c r="J49" s="109"/>
      <c r="K49" s="111"/>
      <c r="L49" s="112"/>
      <c r="M49" s="90"/>
      <c r="N49" s="90"/>
      <c r="O49" s="90"/>
      <c r="P49" s="112"/>
    </row>
    <row r="50" spans="1:16" ht="14.25" customHeight="1">
      <c r="A50" s="91"/>
      <c r="B50" s="107"/>
      <c r="C50" s="107"/>
      <c r="D50" s="107"/>
      <c r="E50" s="108"/>
      <c r="F50" s="108"/>
      <c r="G50" s="108"/>
      <c r="H50" s="108"/>
      <c r="I50" s="110"/>
      <c r="J50" s="109"/>
      <c r="K50" s="111"/>
      <c r="L50" s="112"/>
      <c r="M50" s="90"/>
      <c r="N50" s="90"/>
      <c r="O50" s="90"/>
      <c r="P50" s="112"/>
    </row>
    <row r="51" spans="1:16" ht="14.25" customHeight="1">
      <c r="A51" s="91"/>
      <c r="B51" s="107"/>
      <c r="C51" s="107"/>
      <c r="D51" s="107"/>
      <c r="E51" s="108"/>
      <c r="F51" s="108"/>
      <c r="G51" s="108"/>
      <c r="H51" s="108"/>
      <c r="I51" s="110"/>
      <c r="J51" s="109"/>
      <c r="K51" s="111"/>
      <c r="L51" s="112"/>
      <c r="M51" s="90"/>
      <c r="N51" s="90"/>
      <c r="O51" s="90"/>
      <c r="P51" s="112"/>
    </row>
    <row r="52" spans="1:16" ht="14.25" customHeight="1">
      <c r="A52" s="91"/>
      <c r="B52" s="107"/>
      <c r="C52" s="107"/>
      <c r="D52" s="107"/>
      <c r="E52" s="108"/>
      <c r="F52" s="108"/>
      <c r="G52" s="108"/>
      <c r="H52" s="108"/>
      <c r="I52" s="110"/>
      <c r="J52" s="109"/>
      <c r="K52" s="111"/>
      <c r="L52" s="112"/>
      <c r="M52" s="90"/>
      <c r="N52" s="90"/>
      <c r="O52" s="90"/>
      <c r="P52" s="112"/>
    </row>
    <row r="53" spans="1:16" ht="14.25" customHeight="1">
      <c r="A53" s="91"/>
      <c r="B53" s="107"/>
      <c r="C53" s="107"/>
      <c r="D53" s="107"/>
      <c r="E53" s="108"/>
      <c r="F53" s="108"/>
      <c r="G53" s="108"/>
      <c r="H53" s="108"/>
      <c r="I53" s="110"/>
      <c r="J53" s="109"/>
      <c r="K53" s="111"/>
      <c r="L53" s="112"/>
      <c r="M53" s="90"/>
      <c r="N53" s="90"/>
      <c r="O53" s="90"/>
      <c r="P53" s="112"/>
    </row>
    <row r="54" spans="1:16" ht="14.25" customHeight="1">
      <c r="A54" s="91"/>
      <c r="B54" s="107"/>
      <c r="C54" s="107"/>
      <c r="D54" s="107"/>
      <c r="E54" s="108"/>
      <c r="F54" s="108"/>
      <c r="G54" s="108"/>
      <c r="H54" s="108"/>
      <c r="I54" s="110"/>
      <c r="J54" s="109"/>
      <c r="K54" s="111"/>
      <c r="L54" s="112"/>
      <c r="M54" s="90"/>
      <c r="N54" s="90"/>
      <c r="O54" s="90"/>
      <c r="P54" s="112"/>
    </row>
    <row r="55" spans="1:16" ht="14.25" customHeight="1">
      <c r="A55" s="91"/>
      <c r="B55" s="107"/>
      <c r="C55" s="107"/>
      <c r="D55" s="107"/>
      <c r="E55" s="108"/>
      <c r="F55" s="108"/>
      <c r="G55" s="108"/>
      <c r="H55" s="108"/>
      <c r="I55" s="110"/>
      <c r="J55" s="109"/>
      <c r="K55" s="111"/>
      <c r="L55" s="112"/>
      <c r="M55" s="90"/>
      <c r="N55" s="90"/>
      <c r="O55" s="90"/>
      <c r="P55" s="112"/>
    </row>
    <row r="56" spans="1:16" ht="14.25" customHeight="1">
      <c r="A56" s="91"/>
      <c r="B56" s="107"/>
      <c r="C56" s="107"/>
      <c r="D56" s="107"/>
      <c r="E56" s="108"/>
      <c r="F56" s="108"/>
      <c r="G56" s="108"/>
      <c r="H56" s="108"/>
      <c r="I56" s="110"/>
      <c r="J56" s="109"/>
      <c r="K56" s="111"/>
      <c r="L56" s="112"/>
      <c r="M56" s="90"/>
      <c r="N56" s="90"/>
      <c r="O56" s="90"/>
      <c r="P56" s="112"/>
    </row>
    <row r="57" spans="1:16" ht="14.25" customHeight="1">
      <c r="A57" s="91"/>
      <c r="B57" s="107"/>
      <c r="C57" s="107"/>
      <c r="D57" s="107"/>
      <c r="E57" s="108"/>
      <c r="F57" s="108"/>
      <c r="G57" s="108"/>
      <c r="H57" s="108"/>
      <c r="I57" s="110"/>
      <c r="J57" s="109"/>
      <c r="K57" s="111"/>
      <c r="L57" s="112"/>
      <c r="M57" s="90"/>
      <c r="N57" s="90"/>
      <c r="O57" s="90"/>
      <c r="P57" s="112"/>
    </row>
    <row r="58" spans="1:16" ht="14.25" customHeight="1">
      <c r="A58" s="91"/>
      <c r="B58" s="107"/>
      <c r="C58" s="107"/>
      <c r="D58" s="107"/>
      <c r="E58" s="108"/>
      <c r="F58" s="108"/>
      <c r="G58" s="108"/>
      <c r="H58" s="108"/>
      <c r="I58" s="110"/>
      <c r="J58" s="109"/>
      <c r="K58" s="111"/>
      <c r="L58" s="112"/>
      <c r="M58" s="90"/>
      <c r="N58" s="90"/>
      <c r="O58" s="90"/>
      <c r="P58" s="112"/>
    </row>
    <row r="59" spans="1:16" ht="14.25" customHeight="1">
      <c r="A59" s="91"/>
      <c r="B59" s="107"/>
      <c r="C59" s="107"/>
      <c r="D59" s="107"/>
      <c r="E59" s="108"/>
      <c r="F59" s="108"/>
      <c r="G59" s="108"/>
      <c r="H59" s="108"/>
      <c r="I59" s="110"/>
      <c r="J59" s="109"/>
      <c r="K59" s="111"/>
      <c r="L59" s="112"/>
      <c r="M59" s="90"/>
      <c r="N59" s="90"/>
      <c r="O59" s="90"/>
      <c r="P59" s="112"/>
    </row>
    <row r="60" spans="1:16" ht="14.25" customHeight="1">
      <c r="A60" s="91"/>
      <c r="B60" s="107"/>
      <c r="C60" s="107"/>
      <c r="D60" s="107"/>
      <c r="E60" s="108"/>
      <c r="F60" s="108"/>
      <c r="G60" s="108"/>
      <c r="H60" s="108"/>
      <c r="I60" s="110"/>
      <c r="J60" s="109"/>
      <c r="K60" s="111"/>
      <c r="L60" s="112"/>
      <c r="M60" s="90"/>
      <c r="N60" s="90"/>
      <c r="O60" s="90"/>
      <c r="P60" s="112"/>
    </row>
    <row r="61" spans="1:16" ht="14.25" customHeight="1">
      <c r="A61" s="91"/>
      <c r="B61" s="107"/>
      <c r="C61" s="107"/>
      <c r="D61" s="107"/>
      <c r="E61" s="108"/>
      <c r="F61" s="108"/>
      <c r="G61" s="108"/>
      <c r="H61" s="108"/>
      <c r="I61" s="110"/>
      <c r="J61" s="109"/>
      <c r="K61" s="111"/>
      <c r="L61" s="112"/>
      <c r="M61" s="90"/>
      <c r="N61" s="90"/>
      <c r="O61" s="90"/>
      <c r="P61" s="112"/>
    </row>
    <row r="62" spans="1:16" ht="14.25" customHeight="1">
      <c r="A62" s="91"/>
      <c r="B62" s="107"/>
      <c r="C62" s="107"/>
      <c r="D62" s="107"/>
      <c r="E62" s="108"/>
      <c r="F62" s="108"/>
      <c r="G62" s="108"/>
      <c r="H62" s="108"/>
      <c r="I62" s="110"/>
      <c r="J62" s="109"/>
      <c r="K62" s="111"/>
      <c r="L62" s="112"/>
      <c r="M62" s="90"/>
      <c r="N62" s="90"/>
      <c r="O62" s="90"/>
      <c r="P62" s="112"/>
    </row>
    <row r="63" spans="1:16" ht="14.25" customHeight="1" thickBot="1">
      <c r="A63" s="234"/>
      <c r="B63" s="107"/>
      <c r="C63" s="248"/>
      <c r="D63" s="248"/>
      <c r="E63" s="249"/>
      <c r="F63" s="249"/>
      <c r="G63" s="249"/>
      <c r="H63" s="249"/>
      <c r="I63" s="250"/>
      <c r="J63" s="251"/>
      <c r="K63" s="252"/>
      <c r="L63" s="253"/>
      <c r="M63" s="254"/>
      <c r="N63" s="254"/>
      <c r="O63" s="254"/>
      <c r="P63" s="253"/>
    </row>
    <row r="64" spans="1:16" ht="14.25" customHeight="1" thickTop="1">
      <c r="A64" s="225"/>
      <c r="B64" s="107"/>
      <c r="C64" s="356"/>
      <c r="D64" s="356"/>
      <c r="E64" s="357"/>
      <c r="F64" s="357"/>
      <c r="G64" s="357"/>
      <c r="H64" s="357"/>
      <c r="I64" s="358"/>
      <c r="J64" s="359"/>
      <c r="K64" s="360"/>
      <c r="L64" s="361"/>
      <c r="M64" s="362"/>
      <c r="N64" s="362"/>
      <c r="O64" s="362"/>
      <c r="P64" s="361"/>
    </row>
    <row r="65" spans="1:16" ht="14.25" customHeight="1">
      <c r="A65" s="91"/>
      <c r="B65" s="107"/>
      <c r="C65" s="107"/>
      <c r="D65" s="107"/>
      <c r="E65" s="108"/>
      <c r="F65" s="108"/>
      <c r="G65" s="108"/>
      <c r="H65" s="108"/>
      <c r="I65" s="110"/>
      <c r="J65" s="109"/>
      <c r="K65" s="111"/>
      <c r="L65" s="112"/>
      <c r="M65" s="90"/>
      <c r="N65" s="90"/>
      <c r="O65" s="90"/>
      <c r="P65" s="112"/>
    </row>
    <row r="66" spans="1:16" ht="14.25" customHeight="1">
      <c r="A66" s="91"/>
      <c r="B66" s="107"/>
      <c r="C66" s="107"/>
      <c r="D66" s="107"/>
      <c r="E66" s="108"/>
      <c r="F66" s="108"/>
      <c r="G66" s="108"/>
      <c r="H66" s="108"/>
      <c r="I66" s="110"/>
      <c r="J66" s="109"/>
      <c r="K66" s="111"/>
      <c r="L66" s="112"/>
      <c r="M66" s="90"/>
      <c r="N66" s="90"/>
      <c r="O66" s="90"/>
      <c r="P66" s="112"/>
    </row>
    <row r="67" spans="1:16" ht="14.25" customHeight="1">
      <c r="A67" s="91"/>
      <c r="B67" s="107"/>
      <c r="C67" s="107"/>
      <c r="D67" s="107"/>
      <c r="E67" s="108"/>
      <c r="F67" s="108"/>
      <c r="G67" s="108"/>
      <c r="H67" s="108"/>
      <c r="I67" s="110"/>
      <c r="J67" s="109"/>
      <c r="K67" s="111"/>
      <c r="L67" s="112"/>
      <c r="M67" s="90"/>
      <c r="N67" s="90"/>
      <c r="O67" s="90"/>
      <c r="P67" s="112"/>
    </row>
    <row r="68" spans="1:16" ht="14.25" customHeight="1">
      <c r="A68" s="91"/>
      <c r="B68" s="107"/>
      <c r="C68" s="107"/>
      <c r="D68" s="107"/>
      <c r="E68" s="108"/>
      <c r="F68" s="108"/>
      <c r="G68" s="108"/>
      <c r="H68" s="108"/>
      <c r="I68" s="110"/>
      <c r="J68" s="109"/>
      <c r="K68" s="111"/>
      <c r="L68" s="112"/>
      <c r="M68" s="90"/>
      <c r="N68" s="90"/>
      <c r="O68" s="90"/>
      <c r="P68" s="112"/>
    </row>
    <row r="69" spans="1:16" ht="14.25" customHeight="1">
      <c r="A69" s="91"/>
      <c r="B69" s="107"/>
      <c r="C69" s="107"/>
      <c r="D69" s="107"/>
      <c r="E69" s="108"/>
      <c r="F69" s="108"/>
      <c r="G69" s="108"/>
      <c r="H69" s="108"/>
      <c r="I69" s="110"/>
      <c r="J69" s="109"/>
      <c r="K69" s="111"/>
      <c r="L69" s="112"/>
      <c r="M69" s="90"/>
      <c r="N69" s="90"/>
      <c r="O69" s="90"/>
      <c r="P69" s="112"/>
    </row>
    <row r="70" spans="1:16" ht="14.25" customHeight="1">
      <c r="A70" s="91"/>
      <c r="B70" s="107"/>
      <c r="C70" s="107"/>
      <c r="D70" s="107"/>
      <c r="E70" s="108"/>
      <c r="F70" s="108"/>
      <c r="G70" s="108"/>
      <c r="H70" s="108"/>
      <c r="I70" s="110"/>
      <c r="J70" s="109"/>
      <c r="K70" s="111"/>
      <c r="L70" s="112"/>
      <c r="M70" s="90"/>
      <c r="N70" s="90"/>
      <c r="O70" s="90"/>
      <c r="P70" s="112"/>
    </row>
    <row r="71" spans="1:16" ht="14.25" customHeight="1">
      <c r="A71" s="91"/>
      <c r="B71" s="107"/>
      <c r="C71" s="107"/>
      <c r="D71" s="107"/>
      <c r="E71" s="108"/>
      <c r="F71" s="108"/>
      <c r="G71" s="108"/>
      <c r="H71" s="108"/>
      <c r="I71" s="110"/>
      <c r="J71" s="109"/>
      <c r="K71" s="111"/>
      <c r="L71" s="112"/>
      <c r="M71" s="90"/>
      <c r="N71" s="90"/>
      <c r="O71" s="90"/>
      <c r="P71" s="112"/>
    </row>
    <row r="72" spans="1:16" ht="14.25" customHeight="1">
      <c r="A72" s="91"/>
      <c r="B72" s="107"/>
      <c r="C72" s="107"/>
      <c r="D72" s="107"/>
      <c r="E72" s="108"/>
      <c r="F72" s="108"/>
      <c r="G72" s="108"/>
      <c r="H72" s="108"/>
      <c r="I72" s="110"/>
      <c r="J72" s="109"/>
      <c r="K72" s="111"/>
      <c r="L72" s="112"/>
      <c r="M72" s="90"/>
      <c r="N72" s="90"/>
      <c r="O72" s="90"/>
      <c r="P72" s="112"/>
    </row>
    <row r="73" spans="1:16" ht="14.25" customHeight="1">
      <c r="A73" s="91"/>
      <c r="B73" s="107"/>
      <c r="C73" s="107"/>
      <c r="D73" s="107"/>
      <c r="E73" s="108"/>
      <c r="F73" s="108"/>
      <c r="G73" s="108"/>
      <c r="H73" s="108"/>
      <c r="I73" s="110"/>
      <c r="J73" s="109"/>
      <c r="K73" s="111"/>
      <c r="L73" s="112"/>
      <c r="M73" s="90"/>
      <c r="N73" s="90"/>
      <c r="O73" s="90"/>
      <c r="P73" s="112"/>
    </row>
    <row r="74" spans="1:16" ht="14.25" customHeight="1">
      <c r="A74" s="91"/>
      <c r="B74" s="107"/>
      <c r="C74" s="107"/>
      <c r="D74" s="107"/>
      <c r="E74" s="108"/>
      <c r="F74" s="108"/>
      <c r="G74" s="108"/>
      <c r="H74" s="108"/>
      <c r="I74" s="110"/>
      <c r="J74" s="109"/>
      <c r="K74" s="111"/>
      <c r="L74" s="112"/>
      <c r="M74" s="90"/>
      <c r="N74" s="90"/>
      <c r="O74" s="90"/>
      <c r="P74" s="112"/>
    </row>
    <row r="75" spans="1:16" ht="14.25" customHeight="1">
      <c r="A75" s="91"/>
      <c r="B75" s="107"/>
      <c r="C75" s="107"/>
      <c r="D75" s="107"/>
      <c r="E75" s="108"/>
      <c r="F75" s="108"/>
      <c r="G75" s="108"/>
      <c r="H75" s="108"/>
      <c r="I75" s="110"/>
      <c r="J75" s="109"/>
      <c r="K75" s="111"/>
      <c r="L75" s="112"/>
      <c r="M75" s="90"/>
      <c r="N75" s="90"/>
      <c r="O75" s="90"/>
      <c r="P75" s="112"/>
    </row>
    <row r="76" spans="1:16" ht="14.25" customHeight="1">
      <c r="A76" s="91"/>
      <c r="B76" s="107"/>
      <c r="C76" s="107"/>
      <c r="D76" s="107"/>
      <c r="E76" s="108"/>
      <c r="F76" s="108"/>
      <c r="G76" s="108"/>
      <c r="H76" s="108"/>
      <c r="I76" s="110"/>
      <c r="J76" s="109"/>
      <c r="K76" s="111"/>
      <c r="L76" s="112"/>
      <c r="M76" s="90"/>
      <c r="N76" s="90"/>
      <c r="O76" s="90"/>
      <c r="P76" s="112"/>
    </row>
    <row r="77" spans="1:16" ht="14.25" customHeight="1">
      <c r="A77" s="91"/>
      <c r="B77" s="107"/>
      <c r="C77" s="107"/>
      <c r="D77" s="107"/>
      <c r="E77" s="108"/>
      <c r="F77" s="108"/>
      <c r="G77" s="108"/>
      <c r="H77" s="108"/>
      <c r="I77" s="110"/>
      <c r="J77" s="109"/>
      <c r="K77" s="111"/>
      <c r="L77" s="112"/>
      <c r="M77" s="90"/>
      <c r="N77" s="90"/>
      <c r="O77" s="90"/>
      <c r="P77" s="112"/>
    </row>
    <row r="78" spans="1:16" ht="14.25" customHeight="1">
      <c r="A78" s="91"/>
      <c r="B78" s="107"/>
      <c r="C78" s="107"/>
      <c r="D78" s="107"/>
      <c r="E78" s="108"/>
      <c r="F78" s="108"/>
      <c r="G78" s="108"/>
      <c r="H78" s="108"/>
      <c r="I78" s="110"/>
      <c r="J78" s="109"/>
      <c r="K78" s="111"/>
      <c r="L78" s="112"/>
      <c r="M78" s="90"/>
      <c r="N78" s="90"/>
      <c r="O78" s="90"/>
      <c r="P78" s="112"/>
    </row>
    <row r="79" spans="1:16" ht="14.25" customHeight="1">
      <c r="A79" s="91"/>
      <c r="B79" s="107"/>
      <c r="C79" s="107"/>
      <c r="D79" s="107"/>
      <c r="E79" s="108"/>
      <c r="F79" s="108"/>
      <c r="G79" s="108"/>
      <c r="H79" s="108"/>
      <c r="I79" s="110"/>
      <c r="J79" s="109"/>
      <c r="K79" s="111"/>
      <c r="L79" s="112"/>
      <c r="M79" s="90"/>
      <c r="N79" s="90"/>
      <c r="O79" s="90"/>
      <c r="P79" s="112"/>
    </row>
    <row r="80" spans="1:16" ht="14.25" customHeight="1">
      <c r="A80" s="91"/>
      <c r="B80" s="107"/>
      <c r="C80" s="107"/>
      <c r="D80" s="107"/>
      <c r="E80" s="108"/>
      <c r="F80" s="108"/>
      <c r="G80" s="108"/>
      <c r="H80" s="108"/>
      <c r="I80" s="110"/>
      <c r="J80" s="109"/>
      <c r="K80" s="111"/>
      <c r="L80" s="112"/>
      <c r="M80" s="90"/>
      <c r="N80" s="90"/>
      <c r="O80" s="90"/>
      <c r="P80" s="112"/>
    </row>
    <row r="81" spans="1:16" ht="14.25" customHeight="1">
      <c r="A81" s="91"/>
      <c r="B81" s="107"/>
      <c r="C81" s="107"/>
      <c r="D81" s="107"/>
      <c r="E81" s="108"/>
      <c r="F81" s="108"/>
      <c r="G81" s="108"/>
      <c r="H81" s="108"/>
      <c r="I81" s="110"/>
      <c r="J81" s="109"/>
      <c r="K81" s="111"/>
      <c r="L81" s="112"/>
      <c r="M81" s="90"/>
      <c r="N81" s="90"/>
      <c r="O81" s="90"/>
      <c r="P81" s="112"/>
    </row>
    <row r="82" spans="1:16" ht="14.25" customHeight="1">
      <c r="A82" s="91"/>
      <c r="B82" s="107"/>
      <c r="C82" s="107"/>
      <c r="D82" s="107"/>
      <c r="E82" s="108"/>
      <c r="F82" s="108"/>
      <c r="G82" s="108"/>
      <c r="H82" s="108"/>
      <c r="I82" s="110"/>
      <c r="J82" s="109"/>
      <c r="K82" s="111"/>
      <c r="L82" s="112"/>
      <c r="M82" s="90"/>
      <c r="N82" s="90"/>
      <c r="O82" s="90"/>
      <c r="P82" s="112"/>
    </row>
    <row r="83" spans="1:16" ht="14.25" customHeight="1">
      <c r="A83" s="91"/>
      <c r="B83" s="107"/>
      <c r="C83" s="107"/>
      <c r="D83" s="107"/>
      <c r="E83" s="108"/>
      <c r="F83" s="108"/>
      <c r="G83" s="108"/>
      <c r="H83" s="108"/>
      <c r="I83" s="110"/>
      <c r="J83" s="109"/>
      <c r="K83" s="111"/>
      <c r="L83" s="112"/>
      <c r="M83" s="90"/>
      <c r="N83" s="90"/>
      <c r="O83" s="90"/>
      <c r="P83" s="112"/>
    </row>
    <row r="84" spans="1:16" ht="14.25" customHeight="1">
      <c r="A84" s="91"/>
      <c r="B84" s="107"/>
      <c r="C84" s="107"/>
      <c r="D84" s="107"/>
      <c r="E84" s="108"/>
      <c r="F84" s="108"/>
      <c r="G84" s="108"/>
      <c r="H84" s="108"/>
      <c r="I84" s="110"/>
      <c r="J84" s="109"/>
      <c r="K84" s="111"/>
      <c r="L84" s="112"/>
      <c r="M84" s="90"/>
      <c r="N84" s="90"/>
      <c r="O84" s="90"/>
      <c r="P84" s="112"/>
    </row>
    <row r="85" spans="1:16" ht="14.25" customHeight="1">
      <c r="A85" s="91"/>
      <c r="B85" s="107"/>
      <c r="C85" s="107"/>
      <c r="D85" s="107"/>
      <c r="E85" s="108"/>
      <c r="F85" s="108"/>
      <c r="G85" s="108"/>
      <c r="H85" s="108"/>
      <c r="I85" s="110"/>
      <c r="J85" s="109"/>
      <c r="K85" s="111"/>
      <c r="L85" s="112"/>
      <c r="M85" s="90"/>
      <c r="N85" s="90"/>
      <c r="O85" s="90"/>
      <c r="P85" s="112"/>
    </row>
    <row r="86" spans="1:16" ht="14.25" customHeight="1">
      <c r="A86" s="91"/>
      <c r="B86" s="107"/>
      <c r="C86" s="107"/>
      <c r="D86" s="107"/>
      <c r="E86" s="108"/>
      <c r="F86" s="108"/>
      <c r="G86" s="108"/>
      <c r="H86" s="108"/>
      <c r="I86" s="110"/>
      <c r="J86" s="109"/>
      <c r="K86" s="111"/>
      <c r="L86" s="112"/>
      <c r="M86" s="90"/>
      <c r="N86" s="90"/>
      <c r="O86" s="90"/>
      <c r="P86" s="112"/>
    </row>
    <row r="87" spans="1:16" ht="14.25" customHeight="1">
      <c r="A87" s="91"/>
      <c r="B87" s="107"/>
      <c r="C87" s="107"/>
      <c r="D87" s="107"/>
      <c r="E87" s="108"/>
      <c r="F87" s="108"/>
      <c r="G87" s="108"/>
      <c r="H87" s="108"/>
      <c r="I87" s="110"/>
      <c r="J87" s="109"/>
      <c r="K87" s="111"/>
      <c r="L87" s="112"/>
      <c r="M87" s="90"/>
      <c r="N87" s="90"/>
      <c r="O87" s="90"/>
      <c r="P87" s="112"/>
    </row>
    <row r="88" spans="1:16" ht="14.25" customHeight="1">
      <c r="A88" s="91"/>
      <c r="B88" s="107"/>
      <c r="C88" s="107"/>
      <c r="D88" s="107"/>
      <c r="E88" s="108"/>
      <c r="F88" s="108"/>
      <c r="G88" s="108"/>
      <c r="H88" s="108"/>
      <c r="I88" s="110"/>
      <c r="J88" s="109"/>
      <c r="K88" s="111"/>
      <c r="L88" s="112"/>
      <c r="M88" s="90"/>
      <c r="N88" s="90"/>
      <c r="O88" s="90"/>
      <c r="P88" s="112"/>
    </row>
    <row r="89" spans="1:16" ht="14.25" customHeight="1" thickBot="1">
      <c r="A89" s="205"/>
      <c r="B89" s="349"/>
      <c r="C89" s="349"/>
      <c r="D89" s="349"/>
      <c r="E89" s="350"/>
      <c r="F89" s="350"/>
      <c r="G89" s="350"/>
      <c r="H89" s="350"/>
      <c r="I89" s="351"/>
      <c r="J89" s="352"/>
      <c r="K89" s="353"/>
      <c r="L89" s="354"/>
      <c r="M89" s="355"/>
      <c r="N89" s="355"/>
      <c r="O89" s="355"/>
      <c r="P89" s="354"/>
    </row>
    <row r="90" spans="1:16" ht="14.25" customHeight="1">
      <c r="A90" s="238"/>
      <c r="B90" s="243"/>
      <c r="C90" s="243"/>
      <c r="D90" s="243"/>
      <c r="E90" s="244"/>
      <c r="F90" s="244"/>
      <c r="G90" s="244"/>
      <c r="H90" s="244"/>
      <c r="I90" s="201"/>
      <c r="J90" s="245"/>
      <c r="K90" s="246"/>
      <c r="L90" s="247"/>
      <c r="M90" s="214"/>
      <c r="N90" s="214"/>
      <c r="O90" s="214"/>
      <c r="P90" s="247"/>
    </row>
    <row r="91" spans="1:16" ht="14.25" customHeight="1">
      <c r="A91" s="100"/>
      <c r="B91" s="243"/>
      <c r="C91" s="113"/>
      <c r="D91" s="113"/>
      <c r="E91" s="114"/>
      <c r="F91" s="114"/>
      <c r="G91" s="114"/>
      <c r="H91" s="114"/>
      <c r="I91" s="116"/>
      <c r="J91" s="115"/>
      <c r="K91" s="170"/>
      <c r="L91" s="117"/>
      <c r="M91" s="99"/>
      <c r="N91" s="99"/>
      <c r="O91" s="99"/>
      <c r="P91" s="117"/>
    </row>
    <row r="92" spans="1:16" ht="14.25" customHeight="1">
      <c r="A92" s="100"/>
      <c r="B92" s="243"/>
      <c r="C92" s="113"/>
      <c r="D92" s="113"/>
      <c r="E92" s="114"/>
      <c r="F92" s="114"/>
      <c r="G92" s="114"/>
      <c r="H92" s="114"/>
      <c r="I92" s="116"/>
      <c r="J92" s="115"/>
      <c r="K92" s="170"/>
      <c r="L92" s="117"/>
      <c r="M92" s="99"/>
      <c r="N92" s="99"/>
      <c r="O92" s="99"/>
      <c r="P92" s="117"/>
    </row>
    <row r="93" spans="1:16" ht="14.25" customHeight="1">
      <c r="A93" s="100"/>
      <c r="B93" s="243"/>
      <c r="C93" s="113"/>
      <c r="D93" s="113"/>
      <c r="E93" s="114"/>
      <c r="F93" s="114"/>
      <c r="G93" s="114"/>
      <c r="H93" s="114"/>
      <c r="I93" s="116"/>
      <c r="J93" s="115"/>
      <c r="K93" s="170"/>
      <c r="L93" s="117"/>
      <c r="M93" s="99"/>
      <c r="N93" s="99"/>
      <c r="O93" s="99"/>
      <c r="P93" s="117"/>
    </row>
    <row r="94" spans="1:16" ht="14.25" customHeight="1">
      <c r="A94" s="100"/>
      <c r="B94" s="243"/>
      <c r="C94" s="113"/>
      <c r="D94" s="113"/>
      <c r="E94" s="114"/>
      <c r="F94" s="114"/>
      <c r="G94" s="114"/>
      <c r="H94" s="114"/>
      <c r="I94" s="116"/>
      <c r="J94" s="115"/>
      <c r="K94" s="170"/>
      <c r="L94" s="117"/>
      <c r="M94" s="99"/>
      <c r="N94" s="99"/>
      <c r="O94" s="99"/>
      <c r="P94" s="117"/>
    </row>
    <row r="95" spans="1:16" ht="14.25" customHeight="1">
      <c r="A95" s="100"/>
      <c r="B95" s="243"/>
      <c r="C95" s="113"/>
      <c r="D95" s="113"/>
      <c r="E95" s="114"/>
      <c r="F95" s="114"/>
      <c r="G95" s="114"/>
      <c r="H95" s="114"/>
      <c r="I95" s="116"/>
      <c r="J95" s="115"/>
      <c r="K95" s="170"/>
      <c r="L95" s="117"/>
      <c r="M95" s="99"/>
      <c r="N95" s="99"/>
      <c r="O95" s="99"/>
      <c r="P95" s="117"/>
    </row>
    <row r="96" spans="1:16" ht="14.25" customHeight="1">
      <c r="A96" s="100"/>
      <c r="B96" s="243"/>
      <c r="C96" s="113"/>
      <c r="D96" s="113"/>
      <c r="E96" s="114"/>
      <c r="F96" s="114"/>
      <c r="G96" s="114"/>
      <c r="H96" s="114"/>
      <c r="I96" s="116"/>
      <c r="J96" s="115"/>
      <c r="K96" s="170"/>
      <c r="L96" s="117"/>
      <c r="M96" s="99"/>
      <c r="N96" s="99"/>
      <c r="O96" s="99"/>
      <c r="P96" s="117"/>
    </row>
    <row r="97" spans="1:16" ht="14.25" customHeight="1">
      <c r="A97" s="100"/>
      <c r="B97" s="243"/>
      <c r="C97" s="113"/>
      <c r="D97" s="113"/>
      <c r="E97" s="114"/>
      <c r="F97" s="114"/>
      <c r="G97" s="114"/>
      <c r="H97" s="114"/>
      <c r="I97" s="116"/>
      <c r="J97" s="115"/>
      <c r="K97" s="170"/>
      <c r="L97" s="117"/>
      <c r="M97" s="99"/>
      <c r="N97" s="99"/>
      <c r="O97" s="99"/>
      <c r="P97" s="117"/>
    </row>
    <row r="98" spans="1:16" ht="14.25" customHeight="1">
      <c r="A98" s="100"/>
      <c r="B98" s="243"/>
      <c r="C98" s="113"/>
      <c r="D98" s="113"/>
      <c r="E98" s="114"/>
      <c r="F98" s="114"/>
      <c r="G98" s="114"/>
      <c r="H98" s="114"/>
      <c r="I98" s="116"/>
      <c r="J98" s="115"/>
      <c r="K98" s="170"/>
      <c r="L98" s="117"/>
      <c r="M98" s="99"/>
      <c r="N98" s="99"/>
      <c r="O98" s="99"/>
      <c r="P98" s="117"/>
    </row>
    <row r="99" spans="1:16" ht="14.25" customHeight="1">
      <c r="A99" s="100"/>
      <c r="B99" s="243"/>
      <c r="C99" s="113"/>
      <c r="D99" s="113"/>
      <c r="E99" s="114"/>
      <c r="F99" s="114"/>
      <c r="G99" s="114"/>
      <c r="H99" s="114"/>
      <c r="I99" s="116"/>
      <c r="J99" s="115"/>
      <c r="K99" s="170"/>
      <c r="L99" s="117"/>
      <c r="M99" s="99"/>
      <c r="N99" s="99"/>
      <c r="O99" s="99"/>
      <c r="P99" s="117"/>
    </row>
    <row r="100" spans="1:16" ht="14.25" customHeight="1">
      <c r="A100" s="100"/>
      <c r="B100" s="243"/>
      <c r="C100" s="113"/>
      <c r="D100" s="113"/>
      <c r="E100" s="114"/>
      <c r="F100" s="114"/>
      <c r="G100" s="114"/>
      <c r="H100" s="114"/>
      <c r="I100" s="116"/>
      <c r="J100" s="115"/>
      <c r="K100" s="170"/>
      <c r="L100" s="117"/>
      <c r="M100" s="99"/>
      <c r="N100" s="99"/>
      <c r="O100" s="99"/>
      <c r="P100" s="117"/>
    </row>
    <row r="101" spans="1:16" ht="14.25" customHeight="1">
      <c r="A101" s="100"/>
      <c r="B101" s="243"/>
      <c r="C101" s="113"/>
      <c r="D101" s="113"/>
      <c r="E101" s="114"/>
      <c r="F101" s="114"/>
      <c r="G101" s="114"/>
      <c r="H101" s="114"/>
      <c r="I101" s="116"/>
      <c r="J101" s="115"/>
      <c r="K101" s="170"/>
      <c r="L101" s="117"/>
      <c r="M101" s="99"/>
      <c r="N101" s="99"/>
      <c r="O101" s="99"/>
      <c r="P101" s="117"/>
    </row>
    <row r="102" spans="1:16" ht="14.25" customHeight="1">
      <c r="A102" s="100"/>
      <c r="B102" s="243"/>
      <c r="C102" s="113"/>
      <c r="D102" s="113"/>
      <c r="E102" s="114"/>
      <c r="F102" s="114"/>
      <c r="G102" s="114"/>
      <c r="H102" s="114"/>
      <c r="I102" s="116"/>
      <c r="J102" s="115"/>
      <c r="K102" s="170"/>
      <c r="L102" s="117"/>
      <c r="M102" s="99"/>
      <c r="N102" s="99"/>
      <c r="O102" s="99"/>
      <c r="P102" s="117"/>
    </row>
    <row r="103" spans="1:16" ht="14.25" customHeight="1">
      <c r="A103" s="100"/>
      <c r="B103" s="243"/>
      <c r="C103" s="113"/>
      <c r="D103" s="113"/>
      <c r="E103" s="114"/>
      <c r="F103" s="114"/>
      <c r="G103" s="114"/>
      <c r="H103" s="114"/>
      <c r="I103" s="116"/>
      <c r="J103" s="115"/>
      <c r="K103" s="170"/>
      <c r="L103" s="117"/>
      <c r="M103" s="99"/>
      <c r="N103" s="99"/>
      <c r="O103" s="99"/>
      <c r="P103" s="117"/>
    </row>
    <row r="104" spans="1:16" ht="14.25" customHeight="1">
      <c r="A104" s="100"/>
      <c r="B104" s="243"/>
      <c r="C104" s="113"/>
      <c r="D104" s="113"/>
      <c r="E104" s="114"/>
      <c r="F104" s="114"/>
      <c r="G104" s="114"/>
      <c r="H104" s="114"/>
      <c r="I104" s="116"/>
      <c r="J104" s="115"/>
      <c r="K104" s="170"/>
      <c r="L104" s="117"/>
      <c r="M104" s="99"/>
      <c r="N104" s="99"/>
      <c r="O104" s="99"/>
      <c r="P104" s="117"/>
    </row>
    <row r="105" spans="1:16" ht="14.25" customHeight="1">
      <c r="A105" s="100"/>
      <c r="B105" s="243"/>
      <c r="C105" s="113"/>
      <c r="D105" s="113"/>
      <c r="E105" s="114"/>
      <c r="F105" s="114"/>
      <c r="G105" s="114"/>
      <c r="H105" s="114"/>
      <c r="I105" s="116"/>
      <c r="J105" s="115"/>
      <c r="K105" s="170"/>
      <c r="L105" s="117"/>
      <c r="M105" s="99"/>
      <c r="N105" s="99"/>
      <c r="O105" s="99"/>
      <c r="P105" s="117"/>
    </row>
    <row r="106" spans="1:16" ht="14.25" customHeight="1">
      <c r="A106" s="100"/>
      <c r="B106" s="243"/>
      <c r="C106" s="113"/>
      <c r="D106" s="113"/>
      <c r="E106" s="114"/>
      <c r="F106" s="114"/>
      <c r="G106" s="114"/>
      <c r="H106" s="114"/>
      <c r="I106" s="116"/>
      <c r="J106" s="115"/>
      <c r="K106" s="170"/>
      <c r="L106" s="117"/>
      <c r="M106" s="99"/>
      <c r="N106" s="99"/>
      <c r="O106" s="99"/>
      <c r="P106" s="117"/>
    </row>
    <row r="107" spans="1:16" ht="14.25" customHeight="1">
      <c r="A107" s="100"/>
      <c r="B107" s="243"/>
      <c r="C107" s="113"/>
      <c r="D107" s="113"/>
      <c r="E107" s="114"/>
      <c r="F107" s="114"/>
      <c r="G107" s="114"/>
      <c r="H107" s="114"/>
      <c r="I107" s="116"/>
      <c r="J107" s="115"/>
      <c r="K107" s="170"/>
      <c r="L107" s="117"/>
      <c r="M107" s="99"/>
      <c r="N107" s="99"/>
      <c r="O107" s="99"/>
      <c r="P107" s="117"/>
    </row>
    <row r="108" spans="1:16" ht="14.25" customHeight="1">
      <c r="A108" s="100"/>
      <c r="B108" s="243"/>
      <c r="C108" s="113"/>
      <c r="D108" s="113"/>
      <c r="E108" s="114"/>
      <c r="F108" s="114"/>
      <c r="G108" s="114"/>
      <c r="H108" s="114"/>
      <c r="I108" s="116"/>
      <c r="J108" s="115"/>
      <c r="K108" s="170"/>
      <c r="L108" s="117"/>
      <c r="M108" s="99"/>
      <c r="N108" s="99"/>
      <c r="O108" s="99"/>
      <c r="P108" s="117"/>
    </row>
    <row r="109" spans="1:16" ht="14.25" customHeight="1">
      <c r="A109" s="100"/>
      <c r="B109" s="243"/>
      <c r="C109" s="113"/>
      <c r="D109" s="113"/>
      <c r="E109" s="114"/>
      <c r="F109" s="114"/>
      <c r="G109" s="114"/>
      <c r="H109" s="114"/>
      <c r="I109" s="201"/>
      <c r="J109" s="115"/>
      <c r="K109" s="170"/>
      <c r="L109" s="117"/>
      <c r="M109" s="99"/>
      <c r="N109" s="99"/>
      <c r="O109" s="99"/>
      <c r="P109" s="117"/>
    </row>
    <row r="110" spans="1:16" ht="14.25" customHeight="1">
      <c r="A110" s="100"/>
      <c r="B110" s="243"/>
      <c r="C110" s="113"/>
      <c r="D110" s="113"/>
      <c r="E110" s="114"/>
      <c r="F110" s="114"/>
      <c r="G110" s="114"/>
      <c r="H110" s="114"/>
      <c r="I110" s="201"/>
      <c r="J110" s="115"/>
      <c r="K110" s="170"/>
      <c r="L110" s="117"/>
      <c r="M110" s="99"/>
      <c r="N110" s="99"/>
      <c r="O110" s="99"/>
      <c r="P110" s="117"/>
    </row>
    <row r="111" spans="1:16" ht="14.25" customHeight="1">
      <c r="A111" s="100"/>
      <c r="B111" s="243"/>
      <c r="C111" s="113"/>
      <c r="D111" s="113"/>
      <c r="E111" s="114"/>
      <c r="F111" s="114"/>
      <c r="G111" s="114"/>
      <c r="H111" s="114"/>
      <c r="I111" s="201"/>
      <c r="J111" s="115"/>
      <c r="K111" s="170"/>
      <c r="L111" s="117"/>
      <c r="M111" s="99"/>
      <c r="N111" s="99"/>
      <c r="O111" s="99"/>
      <c r="P111" s="117"/>
    </row>
    <row r="112" spans="1:16" ht="14.25" customHeight="1">
      <c r="A112" s="100"/>
      <c r="B112" s="243"/>
      <c r="C112" s="113"/>
      <c r="D112" s="113"/>
      <c r="E112" s="114"/>
      <c r="F112" s="114"/>
      <c r="G112" s="114"/>
      <c r="H112" s="114"/>
      <c r="I112" s="201"/>
      <c r="J112" s="115"/>
      <c r="K112" s="170"/>
      <c r="L112" s="117"/>
      <c r="M112" s="99"/>
      <c r="N112" s="99"/>
      <c r="O112" s="99"/>
      <c r="P112" s="117"/>
    </row>
    <row r="113" spans="1:16" ht="14.25" customHeight="1">
      <c r="A113" s="100"/>
      <c r="B113" s="243"/>
      <c r="C113" s="113"/>
      <c r="D113" s="113"/>
      <c r="E113" s="114"/>
      <c r="F113" s="114"/>
      <c r="G113" s="114"/>
      <c r="H113" s="114"/>
      <c r="I113" s="201"/>
      <c r="J113" s="115"/>
      <c r="K113" s="170"/>
      <c r="L113" s="117"/>
      <c r="M113" s="99"/>
      <c r="N113" s="99"/>
      <c r="O113" s="99"/>
      <c r="P113" s="117"/>
    </row>
    <row r="114" spans="1:16" ht="14.25" customHeight="1">
      <c r="A114" s="100"/>
      <c r="B114" s="243"/>
      <c r="C114" s="113"/>
      <c r="D114" s="113"/>
      <c r="E114" s="114"/>
      <c r="F114" s="114"/>
      <c r="G114" s="114"/>
      <c r="H114" s="114"/>
      <c r="I114" s="201"/>
      <c r="J114" s="115"/>
      <c r="K114" s="170"/>
      <c r="L114" s="117"/>
      <c r="M114" s="99"/>
      <c r="N114" s="99"/>
      <c r="O114" s="99"/>
      <c r="P114" s="117"/>
    </row>
    <row r="115" spans="1:16" ht="14.25" customHeight="1">
      <c r="A115" s="100"/>
      <c r="B115" s="243"/>
      <c r="C115" s="113"/>
      <c r="D115" s="113"/>
      <c r="E115" s="114"/>
      <c r="F115" s="114"/>
      <c r="G115" s="114"/>
      <c r="H115" s="114"/>
      <c r="I115" s="201"/>
      <c r="J115" s="115"/>
      <c r="K115" s="170"/>
      <c r="L115" s="117"/>
      <c r="M115" s="99"/>
      <c r="N115" s="99"/>
      <c r="O115" s="99"/>
      <c r="P115" s="117"/>
    </row>
    <row r="116" spans="1:16" ht="14.25" customHeight="1">
      <c r="A116" s="100"/>
      <c r="B116" s="243"/>
      <c r="C116" s="113"/>
      <c r="D116" s="113"/>
      <c r="E116" s="114"/>
      <c r="F116" s="114"/>
      <c r="G116" s="114"/>
      <c r="H116" s="114"/>
      <c r="I116" s="201"/>
      <c r="J116" s="115"/>
      <c r="K116" s="170"/>
      <c r="L116" s="117"/>
      <c r="M116" s="99"/>
      <c r="N116" s="99"/>
      <c r="O116" s="99"/>
      <c r="P116" s="117"/>
    </row>
    <row r="117" spans="1:16" ht="14.25" customHeight="1">
      <c r="A117" s="100"/>
      <c r="B117" s="243"/>
      <c r="C117" s="113"/>
      <c r="D117" s="113"/>
      <c r="E117" s="114"/>
      <c r="F117" s="114"/>
      <c r="G117" s="114"/>
      <c r="H117" s="114"/>
      <c r="I117" s="201"/>
      <c r="J117" s="115"/>
      <c r="K117" s="170"/>
      <c r="L117" s="117"/>
      <c r="M117" s="99"/>
      <c r="N117" s="99"/>
      <c r="O117" s="99"/>
      <c r="P117" s="117"/>
    </row>
    <row r="118" spans="1:16" ht="14.25" customHeight="1">
      <c r="A118" s="100"/>
      <c r="B118" s="243"/>
      <c r="C118" s="113"/>
      <c r="D118" s="113"/>
      <c r="E118" s="114"/>
      <c r="F118" s="114"/>
      <c r="G118" s="114"/>
      <c r="H118" s="114"/>
      <c r="I118" s="201"/>
      <c r="J118" s="115"/>
      <c r="K118" s="170"/>
      <c r="L118" s="117"/>
      <c r="M118" s="99"/>
      <c r="N118" s="99"/>
      <c r="O118" s="99"/>
      <c r="P118" s="117"/>
    </row>
    <row r="119" spans="1:16" ht="14.25" customHeight="1">
      <c r="A119" s="100"/>
      <c r="B119" s="243"/>
      <c r="C119" s="113"/>
      <c r="D119" s="113"/>
      <c r="E119" s="114"/>
      <c r="F119" s="114"/>
      <c r="G119" s="114"/>
      <c r="H119" s="114"/>
      <c r="I119" s="201"/>
      <c r="J119" s="115"/>
      <c r="K119" s="170"/>
      <c r="L119" s="117"/>
      <c r="M119" s="99"/>
      <c r="N119" s="99"/>
      <c r="O119" s="99"/>
      <c r="P119" s="117"/>
    </row>
    <row r="120" spans="1:16" ht="14.25" customHeight="1">
      <c r="A120" s="100"/>
      <c r="B120" s="243"/>
      <c r="C120" s="113"/>
      <c r="D120" s="113"/>
      <c r="E120" s="114"/>
      <c r="F120" s="114"/>
      <c r="G120" s="114"/>
      <c r="H120" s="114"/>
      <c r="I120" s="201"/>
      <c r="J120" s="115"/>
      <c r="K120" s="170"/>
      <c r="L120" s="117"/>
      <c r="M120" s="99"/>
      <c r="N120" s="99"/>
      <c r="O120" s="99"/>
      <c r="P120" s="117"/>
    </row>
    <row r="121" spans="1:16" ht="14.25" customHeight="1">
      <c r="A121" s="100"/>
      <c r="B121" s="243"/>
      <c r="C121" s="113"/>
      <c r="D121" s="113"/>
      <c r="E121" s="114"/>
      <c r="F121" s="114"/>
      <c r="G121" s="114"/>
      <c r="H121" s="114"/>
      <c r="I121" s="201"/>
      <c r="J121" s="115"/>
      <c r="K121" s="170"/>
      <c r="L121" s="117"/>
      <c r="M121" s="99"/>
      <c r="N121" s="99"/>
      <c r="O121" s="99"/>
      <c r="P121" s="117"/>
    </row>
    <row r="122" spans="1:16" ht="14.25" customHeight="1">
      <c r="A122" s="100"/>
      <c r="B122" s="243"/>
      <c r="C122" s="113"/>
      <c r="D122" s="113"/>
      <c r="E122" s="114"/>
      <c r="F122" s="114"/>
      <c r="G122" s="114"/>
      <c r="H122" s="114"/>
      <c r="I122" s="201"/>
      <c r="J122" s="115"/>
      <c r="K122" s="170"/>
      <c r="L122" s="117"/>
      <c r="M122" s="99"/>
      <c r="N122" s="99"/>
      <c r="O122" s="99"/>
      <c r="P122" s="117"/>
    </row>
    <row r="123" spans="1:16" ht="14.25" customHeight="1">
      <c r="A123" s="100"/>
      <c r="B123" s="243"/>
      <c r="C123" s="113"/>
      <c r="D123" s="113"/>
      <c r="E123" s="114"/>
      <c r="F123" s="114"/>
      <c r="G123" s="114"/>
      <c r="H123" s="114"/>
      <c r="I123" s="201"/>
      <c r="J123" s="115"/>
      <c r="K123" s="170"/>
      <c r="L123" s="117"/>
      <c r="M123" s="99"/>
      <c r="N123" s="99"/>
      <c r="O123" s="99"/>
      <c r="P123" s="117"/>
    </row>
    <row r="124" spans="1:16" ht="14.25" customHeight="1">
      <c r="A124" s="100"/>
      <c r="B124" s="243"/>
      <c r="C124" s="113"/>
      <c r="D124" s="113"/>
      <c r="E124" s="114"/>
      <c r="F124" s="114"/>
      <c r="G124" s="114"/>
      <c r="H124" s="114"/>
      <c r="I124" s="201"/>
      <c r="J124" s="115"/>
      <c r="K124" s="170"/>
      <c r="L124" s="117"/>
      <c r="M124" s="99"/>
      <c r="N124" s="99"/>
      <c r="O124" s="99"/>
      <c r="P124" s="117"/>
    </row>
    <row r="125" spans="1:16" ht="14.25" customHeight="1">
      <c r="A125" s="100"/>
      <c r="B125" s="243"/>
      <c r="C125" s="113"/>
      <c r="D125" s="113"/>
      <c r="E125" s="114"/>
      <c r="F125" s="114"/>
      <c r="G125" s="114"/>
      <c r="H125" s="114"/>
      <c r="I125" s="201"/>
      <c r="J125" s="115"/>
      <c r="K125" s="170"/>
      <c r="L125" s="117"/>
      <c r="M125" s="99"/>
      <c r="N125" s="99"/>
      <c r="O125" s="99"/>
      <c r="P125" s="117"/>
    </row>
    <row r="126" spans="1:16" ht="14.25" customHeight="1">
      <c r="A126" s="100"/>
      <c r="B126" s="243"/>
      <c r="C126" s="113"/>
      <c r="D126" s="113"/>
      <c r="E126" s="114"/>
      <c r="F126" s="114"/>
      <c r="G126" s="114"/>
      <c r="H126" s="114"/>
      <c r="I126" s="201"/>
      <c r="J126" s="115"/>
      <c r="K126" s="170"/>
      <c r="L126" s="117"/>
      <c r="M126" s="99"/>
      <c r="N126" s="99"/>
      <c r="O126" s="99"/>
      <c r="P126" s="117"/>
    </row>
    <row r="127" spans="1:16" ht="14.25" customHeight="1">
      <c r="A127" s="100"/>
      <c r="B127" s="243"/>
      <c r="C127" s="113"/>
      <c r="D127" s="113"/>
      <c r="E127" s="114"/>
      <c r="F127" s="114"/>
      <c r="G127" s="114"/>
      <c r="H127" s="114"/>
      <c r="I127" s="201"/>
      <c r="J127" s="115"/>
      <c r="K127" s="170"/>
      <c r="L127" s="117"/>
      <c r="M127" s="99"/>
      <c r="N127" s="99"/>
      <c r="O127" s="99"/>
      <c r="P127" s="117"/>
    </row>
    <row r="128" spans="1:16" ht="13.95" customHeight="1" thickBot="1">
      <c r="A128" s="242"/>
      <c r="B128" s="255"/>
      <c r="C128" s="255"/>
      <c r="D128" s="255"/>
      <c r="E128" s="256"/>
      <c r="F128" s="256"/>
      <c r="G128" s="256"/>
      <c r="H128" s="256"/>
      <c r="I128" s="257"/>
      <c r="J128" s="258"/>
      <c r="K128" s="259"/>
      <c r="L128" s="260"/>
      <c r="M128" s="239"/>
      <c r="N128" s="239"/>
      <c r="O128" s="239"/>
      <c r="P128" s="260"/>
    </row>
    <row r="129" spans="1:16" ht="14.25" customHeight="1" thickTop="1">
      <c r="A129" s="238"/>
      <c r="B129" s="243"/>
      <c r="C129" s="243"/>
      <c r="D129" s="243"/>
      <c r="E129" s="244"/>
      <c r="F129" s="244"/>
      <c r="G129" s="244"/>
      <c r="H129" s="244"/>
      <c r="I129" s="201"/>
      <c r="J129" s="245"/>
      <c r="K129" s="246"/>
      <c r="L129" s="247"/>
      <c r="M129" s="214"/>
      <c r="N129" s="214"/>
      <c r="O129" s="214"/>
      <c r="P129" s="247"/>
    </row>
    <row r="130" spans="1:16" ht="14.25" customHeight="1">
      <c r="A130" s="100"/>
      <c r="B130" s="243"/>
      <c r="C130" s="113"/>
      <c r="D130" s="113"/>
      <c r="E130" s="114"/>
      <c r="F130" s="114"/>
      <c r="G130" s="114"/>
      <c r="H130" s="114"/>
      <c r="I130" s="201"/>
      <c r="J130" s="115"/>
      <c r="K130" s="170"/>
      <c r="L130" s="117"/>
      <c r="M130" s="99"/>
      <c r="N130" s="99"/>
      <c r="O130" s="99"/>
      <c r="P130" s="117"/>
    </row>
    <row r="131" spans="1:16" ht="14.25" customHeight="1">
      <c r="A131" s="100"/>
      <c r="B131" s="243"/>
      <c r="C131" s="113"/>
      <c r="D131" s="113"/>
      <c r="E131" s="114"/>
      <c r="F131" s="114"/>
      <c r="G131" s="114"/>
      <c r="H131" s="114"/>
      <c r="I131" s="201"/>
      <c r="J131" s="115"/>
      <c r="K131" s="170"/>
      <c r="L131" s="117"/>
      <c r="M131" s="99"/>
      <c r="N131" s="99"/>
      <c r="O131" s="99"/>
      <c r="P131" s="117"/>
    </row>
    <row r="132" spans="1:16" ht="14.25" customHeight="1">
      <c r="A132" s="100"/>
      <c r="B132" s="243"/>
      <c r="C132" s="113"/>
      <c r="D132" s="113"/>
      <c r="E132" s="114"/>
      <c r="F132" s="114"/>
      <c r="G132" s="114"/>
      <c r="H132" s="114"/>
      <c r="I132" s="201"/>
      <c r="J132" s="115"/>
      <c r="K132" s="170"/>
      <c r="L132" s="117"/>
      <c r="M132" s="99"/>
      <c r="N132" s="99"/>
      <c r="O132" s="99"/>
      <c r="P132" s="117"/>
    </row>
    <row r="133" spans="1:16" ht="14.25" customHeight="1">
      <c r="A133" s="100"/>
      <c r="B133" s="243"/>
      <c r="C133" s="113"/>
      <c r="D133" s="113"/>
      <c r="E133" s="114"/>
      <c r="F133" s="114"/>
      <c r="G133" s="114"/>
      <c r="H133" s="114"/>
      <c r="I133" s="201"/>
      <c r="J133" s="115"/>
      <c r="K133" s="170"/>
      <c r="L133" s="117"/>
      <c r="M133" s="99"/>
      <c r="N133" s="99"/>
      <c r="O133" s="99"/>
      <c r="P133" s="117"/>
    </row>
    <row r="134" spans="1:16" ht="14.25" customHeight="1">
      <c r="A134" s="100"/>
      <c r="B134" s="243"/>
      <c r="C134" s="113"/>
      <c r="D134" s="113"/>
      <c r="E134" s="114"/>
      <c r="F134" s="114"/>
      <c r="G134" s="114"/>
      <c r="H134" s="114"/>
      <c r="I134" s="201"/>
      <c r="J134" s="115"/>
      <c r="K134" s="170"/>
      <c r="L134" s="117"/>
      <c r="M134" s="99"/>
      <c r="N134" s="99"/>
      <c r="O134" s="99"/>
      <c r="P134" s="117"/>
    </row>
    <row r="135" spans="1:16" ht="14.25" customHeight="1">
      <c r="A135" s="100"/>
      <c r="B135" s="243"/>
      <c r="C135" s="113"/>
      <c r="D135" s="113"/>
      <c r="E135" s="114"/>
      <c r="F135" s="114"/>
      <c r="G135" s="114"/>
      <c r="H135" s="114"/>
      <c r="I135" s="201"/>
      <c r="J135" s="115"/>
      <c r="K135" s="170"/>
      <c r="L135" s="117"/>
      <c r="M135" s="99"/>
      <c r="N135" s="99"/>
      <c r="O135" s="99"/>
      <c r="P135" s="117"/>
    </row>
    <row r="136" spans="1:16" ht="14.25" customHeight="1">
      <c r="A136" s="100"/>
      <c r="B136" s="243"/>
      <c r="C136" s="113"/>
      <c r="D136" s="113"/>
      <c r="E136" s="114"/>
      <c r="F136" s="114"/>
      <c r="G136" s="114"/>
      <c r="H136" s="114"/>
      <c r="I136" s="201"/>
      <c r="J136" s="115"/>
      <c r="K136" s="170"/>
      <c r="L136" s="117"/>
      <c r="M136" s="99"/>
      <c r="N136" s="99"/>
      <c r="O136" s="99"/>
      <c r="P136" s="117"/>
    </row>
    <row r="137" spans="1:16" ht="14.25" customHeight="1">
      <c r="A137" s="100"/>
      <c r="B137" s="243"/>
      <c r="C137" s="113"/>
      <c r="D137" s="113"/>
      <c r="E137" s="114"/>
      <c r="F137" s="114"/>
      <c r="G137" s="114"/>
      <c r="H137" s="114"/>
      <c r="I137" s="201"/>
      <c r="J137" s="115"/>
      <c r="K137" s="170"/>
      <c r="L137" s="117"/>
      <c r="M137" s="99"/>
      <c r="N137" s="99"/>
      <c r="O137" s="99"/>
      <c r="P137" s="117"/>
    </row>
    <row r="138" spans="1:16" ht="14.25" customHeight="1">
      <c r="A138" s="100"/>
      <c r="B138" s="243"/>
      <c r="C138" s="113"/>
      <c r="D138" s="113"/>
      <c r="E138" s="114"/>
      <c r="F138" s="114"/>
      <c r="G138" s="114"/>
      <c r="H138" s="114"/>
      <c r="I138" s="201"/>
      <c r="J138" s="115"/>
      <c r="K138" s="170"/>
      <c r="L138" s="117"/>
      <c r="M138" s="99"/>
      <c r="N138" s="99"/>
      <c r="O138" s="99"/>
      <c r="P138" s="117"/>
    </row>
    <row r="139" spans="1:16" ht="14.25" customHeight="1">
      <c r="A139" s="100"/>
      <c r="B139" s="243"/>
      <c r="C139" s="113"/>
      <c r="D139" s="113"/>
      <c r="E139" s="114"/>
      <c r="F139" s="114"/>
      <c r="G139" s="114"/>
      <c r="H139" s="114"/>
      <c r="I139" s="201"/>
      <c r="J139" s="115"/>
      <c r="K139" s="170"/>
      <c r="L139" s="117"/>
      <c r="M139" s="99"/>
      <c r="N139" s="99"/>
      <c r="O139" s="99"/>
      <c r="P139" s="117"/>
    </row>
    <row r="140" spans="1:16" ht="14.25" customHeight="1">
      <c r="A140" s="100"/>
      <c r="B140" s="243"/>
      <c r="C140" s="113"/>
      <c r="D140" s="113"/>
      <c r="E140" s="114"/>
      <c r="F140" s="114"/>
      <c r="G140" s="114"/>
      <c r="H140" s="114"/>
      <c r="I140" s="201"/>
      <c r="J140" s="115"/>
      <c r="K140" s="170"/>
      <c r="L140" s="117"/>
      <c r="M140" s="99"/>
      <c r="N140" s="99"/>
      <c r="O140" s="99"/>
      <c r="P140" s="117"/>
    </row>
    <row r="141" spans="1:16" ht="14.25" customHeight="1">
      <c r="A141" s="100"/>
      <c r="B141" s="243"/>
      <c r="C141" s="113"/>
      <c r="D141" s="113"/>
      <c r="E141" s="114"/>
      <c r="F141" s="114"/>
      <c r="G141" s="114"/>
      <c r="H141" s="114"/>
      <c r="I141" s="201"/>
      <c r="J141" s="115"/>
      <c r="K141" s="170"/>
      <c r="L141" s="117"/>
      <c r="M141" s="99"/>
      <c r="N141" s="99"/>
      <c r="O141" s="99"/>
      <c r="P141" s="117"/>
    </row>
    <row r="142" spans="1:16" ht="14.25" customHeight="1">
      <c r="A142" s="100"/>
      <c r="B142" s="243"/>
      <c r="C142" s="113"/>
      <c r="D142" s="113"/>
      <c r="E142" s="114"/>
      <c r="F142" s="114"/>
      <c r="G142" s="114"/>
      <c r="H142" s="114"/>
      <c r="I142" s="201"/>
      <c r="J142" s="115"/>
      <c r="K142" s="170"/>
      <c r="L142" s="117"/>
      <c r="M142" s="99"/>
      <c r="N142" s="99"/>
      <c r="O142" s="99"/>
      <c r="P142" s="117"/>
    </row>
    <row r="143" spans="1:16" ht="14.25" customHeight="1">
      <c r="A143" s="100"/>
      <c r="B143" s="243"/>
      <c r="C143" s="113"/>
      <c r="D143" s="113"/>
      <c r="E143" s="114"/>
      <c r="F143" s="114"/>
      <c r="G143" s="114"/>
      <c r="H143" s="114"/>
      <c r="I143" s="201"/>
      <c r="J143" s="115"/>
      <c r="K143" s="170"/>
      <c r="L143" s="117"/>
      <c r="M143" s="99"/>
      <c r="N143" s="99"/>
      <c r="O143" s="99"/>
      <c r="P143" s="117"/>
    </row>
    <row r="144" spans="1:16" ht="14.25" customHeight="1">
      <c r="A144" s="100"/>
      <c r="B144" s="243"/>
      <c r="C144" s="113"/>
      <c r="D144" s="113"/>
      <c r="E144" s="114"/>
      <c r="F144" s="114"/>
      <c r="G144" s="114"/>
      <c r="H144" s="114"/>
      <c r="I144" s="201"/>
      <c r="J144" s="115"/>
      <c r="K144" s="170"/>
      <c r="L144" s="117"/>
      <c r="M144" s="99"/>
      <c r="N144" s="99"/>
      <c r="O144" s="99"/>
      <c r="P144" s="117"/>
    </row>
    <row r="145" spans="1:16" ht="14.25" customHeight="1">
      <c r="A145" s="100"/>
      <c r="B145" s="243"/>
      <c r="C145" s="113"/>
      <c r="D145" s="113"/>
      <c r="E145" s="114"/>
      <c r="F145" s="114"/>
      <c r="G145" s="114"/>
      <c r="H145" s="114"/>
      <c r="I145" s="201"/>
      <c r="J145" s="115"/>
      <c r="K145" s="170"/>
      <c r="L145" s="117"/>
      <c r="M145" s="99"/>
      <c r="N145" s="99"/>
      <c r="O145" s="99"/>
      <c r="P145" s="117"/>
    </row>
    <row r="146" spans="1:16" ht="14.25" customHeight="1">
      <c r="A146" s="100"/>
      <c r="B146" s="243"/>
      <c r="C146" s="113"/>
      <c r="D146" s="113"/>
      <c r="E146" s="114"/>
      <c r="F146" s="114"/>
      <c r="G146" s="114"/>
      <c r="H146" s="114"/>
      <c r="I146" s="201"/>
      <c r="J146" s="115"/>
      <c r="K146" s="170"/>
      <c r="L146" s="117"/>
      <c r="M146" s="99"/>
      <c r="N146" s="99"/>
      <c r="O146" s="99"/>
      <c r="P146" s="117"/>
    </row>
    <row r="147" spans="1:16" ht="14.25" customHeight="1">
      <c r="A147" s="100"/>
      <c r="B147" s="243"/>
      <c r="C147" s="113"/>
      <c r="D147" s="113"/>
      <c r="E147" s="114"/>
      <c r="F147" s="114"/>
      <c r="G147" s="114"/>
      <c r="H147" s="114"/>
      <c r="I147" s="201"/>
      <c r="J147" s="115"/>
      <c r="K147" s="170"/>
      <c r="L147" s="117"/>
      <c r="M147" s="99"/>
      <c r="N147" s="99"/>
      <c r="O147" s="99"/>
      <c r="P147" s="117"/>
    </row>
    <row r="148" spans="1:16" ht="14.25" customHeight="1">
      <c r="A148" s="100"/>
      <c r="B148" s="243"/>
      <c r="C148" s="113"/>
      <c r="D148" s="113"/>
      <c r="E148" s="114"/>
      <c r="F148" s="114"/>
      <c r="G148" s="114"/>
      <c r="H148" s="114"/>
      <c r="I148" s="201"/>
      <c r="J148" s="115"/>
      <c r="K148" s="170"/>
      <c r="L148" s="117"/>
      <c r="M148" s="99"/>
      <c r="N148" s="99"/>
      <c r="O148" s="99"/>
      <c r="P148" s="117"/>
    </row>
    <row r="149" spans="1:16" ht="14.25" customHeight="1">
      <c r="A149" s="100"/>
      <c r="B149" s="243"/>
      <c r="C149" s="113"/>
      <c r="D149" s="113"/>
      <c r="E149" s="114"/>
      <c r="F149" s="114"/>
      <c r="G149" s="114"/>
      <c r="H149" s="114"/>
      <c r="I149" s="201"/>
      <c r="J149" s="115"/>
      <c r="K149" s="170"/>
      <c r="L149" s="117"/>
      <c r="M149" s="99"/>
      <c r="N149" s="99"/>
      <c r="O149" s="99"/>
      <c r="P149" s="117"/>
    </row>
    <row r="150" spans="1:16" ht="14.25" customHeight="1">
      <c r="M150"/>
      <c r="N150"/>
    </row>
    <row r="151" spans="1:16" ht="14.25" customHeight="1">
      <c r="M151"/>
      <c r="N151"/>
    </row>
    <row r="152" spans="1:16" ht="14.25" customHeight="1">
      <c r="M152"/>
      <c r="N152"/>
    </row>
    <row r="153" spans="1:16" ht="14.25" customHeight="1">
      <c r="M153"/>
      <c r="N153"/>
    </row>
    <row r="154" spans="1:16" ht="14.25" customHeight="1">
      <c r="M154"/>
      <c r="N154"/>
    </row>
    <row r="155" spans="1:16" ht="14.25" customHeight="1">
      <c r="M155"/>
      <c r="N155"/>
    </row>
    <row r="156" spans="1:16" ht="14.25" customHeight="1">
      <c r="M156"/>
      <c r="N156"/>
    </row>
    <row r="157" spans="1:16" ht="14.25" customHeight="1">
      <c r="M157"/>
      <c r="N157"/>
    </row>
    <row r="158" spans="1:16" ht="14.25" customHeight="1">
      <c r="M158"/>
      <c r="N158"/>
    </row>
    <row r="159" spans="1:16" ht="14.25" customHeight="1">
      <c r="M159"/>
      <c r="N159"/>
    </row>
    <row r="160" spans="1:16" ht="14.25" customHeight="1">
      <c r="M160"/>
      <c r="N160"/>
    </row>
    <row r="161" spans="13:14" ht="14.25" customHeight="1">
      <c r="M161"/>
      <c r="N161"/>
    </row>
    <row r="162" spans="13:14" ht="14.25" customHeight="1">
      <c r="M162"/>
      <c r="N162"/>
    </row>
    <row r="163" spans="13:14" ht="14.25" customHeight="1">
      <c r="M163"/>
      <c r="N163"/>
    </row>
    <row r="164" spans="13:14" ht="14.25" customHeight="1">
      <c r="M164"/>
      <c r="N164"/>
    </row>
    <row r="165" spans="13:14" ht="14.25" customHeight="1">
      <c r="M165"/>
      <c r="N165"/>
    </row>
    <row r="166" spans="13:14" ht="14.25" customHeight="1">
      <c r="M166"/>
      <c r="N166"/>
    </row>
    <row r="167" spans="13:14" ht="14.25" customHeight="1">
      <c r="M167"/>
      <c r="N167"/>
    </row>
    <row r="168" spans="13:14" ht="14.25" customHeight="1">
      <c r="M168"/>
      <c r="N168"/>
    </row>
    <row r="169" spans="13:14" ht="14.25" customHeight="1">
      <c r="M169"/>
      <c r="N169"/>
    </row>
    <row r="170" spans="13:14" ht="14.25" customHeight="1">
      <c r="M170"/>
      <c r="N170"/>
    </row>
    <row r="171" spans="13:14" ht="14.25" customHeight="1">
      <c r="M171"/>
      <c r="N171"/>
    </row>
    <row r="172" spans="13:14" ht="14.25" customHeight="1">
      <c r="M172"/>
      <c r="N172"/>
    </row>
    <row r="173" spans="13:14" ht="14.25" customHeight="1">
      <c r="M173"/>
      <c r="N173"/>
    </row>
    <row r="174" spans="13:14" ht="14.25" customHeight="1">
      <c r="M174"/>
      <c r="N174"/>
    </row>
    <row r="175" spans="13:14" ht="14.25" customHeight="1">
      <c r="M175"/>
      <c r="N175"/>
    </row>
    <row r="176" spans="13:14" ht="14.25" customHeight="1">
      <c r="M176"/>
      <c r="N176"/>
    </row>
    <row r="177" spans="13:14" ht="14.25" customHeight="1">
      <c r="M177"/>
      <c r="N177"/>
    </row>
    <row r="178" spans="13:14" ht="14.25" customHeight="1">
      <c r="M178"/>
      <c r="N178"/>
    </row>
    <row r="179" spans="13:14" ht="14.25" customHeight="1">
      <c r="M179"/>
      <c r="N179"/>
    </row>
    <row r="180" spans="13:14" ht="14.25" customHeight="1">
      <c r="M180"/>
      <c r="N180"/>
    </row>
    <row r="181" spans="13:14" ht="14.25" customHeight="1">
      <c r="M181"/>
      <c r="N181"/>
    </row>
    <row r="182" spans="13:14" ht="14.25" customHeight="1">
      <c r="M182"/>
      <c r="N182"/>
    </row>
    <row r="183" spans="13:14" ht="14.25" customHeight="1">
      <c r="M183"/>
      <c r="N183"/>
    </row>
    <row r="184" spans="13:14" ht="14.25" customHeight="1">
      <c r="M184"/>
      <c r="N184"/>
    </row>
    <row r="185" spans="13:14" ht="14.25" customHeight="1">
      <c r="M185"/>
      <c r="N185"/>
    </row>
    <row r="186" spans="13:14" ht="14.25" customHeight="1">
      <c r="M186"/>
      <c r="N186"/>
    </row>
    <row r="187" spans="13:14" ht="14.25" customHeight="1">
      <c r="M187"/>
      <c r="N187"/>
    </row>
    <row r="188" spans="13:14" ht="14.25" customHeight="1">
      <c r="M188"/>
      <c r="N188"/>
    </row>
    <row r="189" spans="13:14" ht="14.25" customHeight="1">
      <c r="M189"/>
      <c r="N189"/>
    </row>
    <row r="190" spans="13:14" ht="14.25" customHeight="1">
      <c r="M190"/>
      <c r="N190"/>
    </row>
    <row r="191" spans="13:14" ht="14.25" customHeight="1">
      <c r="M191"/>
      <c r="N191"/>
    </row>
    <row r="192" spans="13:14" ht="14.25" customHeight="1">
      <c r="M192"/>
      <c r="N192"/>
    </row>
    <row r="193" spans="13:14" ht="14.25" customHeight="1">
      <c r="M193"/>
      <c r="N193"/>
    </row>
    <row r="194" spans="13:14" ht="14.25" customHeight="1">
      <c r="M194"/>
      <c r="N194"/>
    </row>
    <row r="195" spans="13:14" ht="14.25" customHeight="1">
      <c r="M195"/>
      <c r="N195"/>
    </row>
    <row r="196" spans="13:14" ht="14.25" customHeight="1">
      <c r="M196"/>
      <c r="N196"/>
    </row>
    <row r="197" spans="13:14" ht="14.25" customHeight="1">
      <c r="M197"/>
      <c r="N197"/>
    </row>
    <row r="198" spans="13:14" ht="14.25" customHeight="1">
      <c r="M198"/>
      <c r="N198"/>
    </row>
    <row r="199" spans="13:14" ht="14.25" customHeight="1">
      <c r="M199"/>
      <c r="N199"/>
    </row>
    <row r="200" spans="13:14" ht="14.25" customHeight="1">
      <c r="M200"/>
      <c r="N200"/>
    </row>
    <row r="201" spans="13:14" ht="14.25" customHeight="1">
      <c r="M201"/>
      <c r="N201"/>
    </row>
    <row r="202" spans="13:14" ht="14.25" customHeight="1">
      <c r="M202"/>
      <c r="N202"/>
    </row>
    <row r="203" spans="13:14" ht="14.25" customHeight="1">
      <c r="M203"/>
      <c r="N203"/>
    </row>
    <row r="204" spans="13:14" ht="14.25" customHeight="1">
      <c r="M204"/>
      <c r="N204"/>
    </row>
    <row r="205" spans="13:14" ht="14.25" customHeight="1">
      <c r="M205"/>
      <c r="N205"/>
    </row>
    <row r="206" spans="13:14" ht="14.25" customHeight="1">
      <c r="M206"/>
      <c r="N206"/>
    </row>
    <row r="207" spans="13:14" ht="14.25" customHeight="1">
      <c r="M207"/>
      <c r="N207"/>
    </row>
    <row r="208" spans="13:14" ht="14.25" customHeight="1">
      <c r="M208"/>
      <c r="N208"/>
    </row>
    <row r="209" spans="13:14" ht="14.25" customHeight="1">
      <c r="M209"/>
      <c r="N209"/>
    </row>
    <row r="210" spans="13:14" ht="14.25" customHeight="1">
      <c r="M210"/>
      <c r="N210"/>
    </row>
    <row r="211" spans="13:14" ht="14.25" customHeight="1">
      <c r="M211"/>
      <c r="N211"/>
    </row>
    <row r="212" spans="13:14" ht="14.25" customHeight="1">
      <c r="M212"/>
      <c r="N212"/>
    </row>
    <row r="213" spans="13:14" ht="14.25" customHeight="1">
      <c r="M213"/>
      <c r="N213"/>
    </row>
    <row r="214" spans="13:14" ht="14.25" customHeight="1">
      <c r="M214"/>
      <c r="N214"/>
    </row>
    <row r="215" spans="13:14" ht="14.25" customHeight="1">
      <c r="M215"/>
      <c r="N215"/>
    </row>
    <row r="216" spans="13:14" ht="14.25" customHeight="1">
      <c r="M216"/>
      <c r="N216"/>
    </row>
    <row r="217" spans="13:14" ht="14.25" customHeight="1">
      <c r="M217"/>
      <c r="N217"/>
    </row>
    <row r="218" spans="13:14" ht="14.25" customHeight="1">
      <c r="M218"/>
      <c r="N218"/>
    </row>
    <row r="219" spans="13:14" ht="14.25" customHeight="1">
      <c r="M219"/>
      <c r="N219"/>
    </row>
    <row r="220" spans="13:14" ht="14.25" customHeight="1">
      <c r="M220"/>
      <c r="N220"/>
    </row>
    <row r="221" spans="13:14" ht="14.25" customHeight="1">
      <c r="M221"/>
      <c r="N221"/>
    </row>
    <row r="222" spans="13:14" ht="14.25" customHeight="1">
      <c r="M222"/>
      <c r="N222"/>
    </row>
    <row r="223" spans="13:14" ht="14.25" customHeight="1">
      <c r="M223"/>
      <c r="N223"/>
    </row>
    <row r="224" spans="13:14" ht="14.25" customHeight="1">
      <c r="M224"/>
      <c r="N224"/>
    </row>
    <row r="225" spans="13:14" ht="14.25" customHeight="1">
      <c r="M225"/>
      <c r="N225"/>
    </row>
    <row r="226" spans="13:14" ht="14.25" customHeight="1">
      <c r="M226"/>
      <c r="N226"/>
    </row>
    <row r="227" spans="13:14" ht="14.25" customHeight="1">
      <c r="M227"/>
      <c r="N227"/>
    </row>
    <row r="228" spans="13:14" ht="14.25" customHeight="1">
      <c r="M228"/>
      <c r="N228"/>
    </row>
    <row r="229" spans="13:14" ht="14.25" customHeight="1">
      <c r="M229"/>
      <c r="N229"/>
    </row>
    <row r="230" spans="13:14" ht="14.25" customHeight="1">
      <c r="M230"/>
      <c r="N230"/>
    </row>
    <row r="231" spans="13:14" ht="14.25" customHeight="1">
      <c r="M231"/>
      <c r="N231"/>
    </row>
    <row r="232" spans="13:14" ht="14.25" customHeight="1">
      <c r="M232"/>
      <c r="N232"/>
    </row>
    <row r="233" spans="13:14" ht="14.25" customHeight="1">
      <c r="M233"/>
      <c r="N233"/>
    </row>
    <row r="234" spans="13:14" ht="14.25" customHeight="1">
      <c r="M234"/>
      <c r="N234"/>
    </row>
    <row r="235" spans="13:14" ht="14.25" customHeight="1">
      <c r="M235"/>
      <c r="N235"/>
    </row>
    <row r="236" spans="13:14" ht="14.25" customHeight="1">
      <c r="M236"/>
      <c r="N236"/>
    </row>
    <row r="237" spans="13:14" ht="14.25" customHeight="1">
      <c r="M237"/>
      <c r="N237"/>
    </row>
    <row r="238" spans="13:14" ht="14.25" customHeight="1">
      <c r="M238"/>
      <c r="N238"/>
    </row>
    <row r="239" spans="13:14" ht="14.25" customHeight="1">
      <c r="M239"/>
      <c r="N239"/>
    </row>
    <row r="240" spans="13:14" ht="14.25" customHeight="1">
      <c r="M240"/>
      <c r="N240"/>
    </row>
    <row r="241" spans="13:14" ht="14.25" customHeight="1">
      <c r="M241"/>
      <c r="N241"/>
    </row>
    <row r="242" spans="13:14" ht="14.25" customHeight="1">
      <c r="M242"/>
      <c r="N242"/>
    </row>
    <row r="243" spans="13:14" ht="14.25" customHeight="1">
      <c r="M243"/>
      <c r="N243"/>
    </row>
    <row r="244" spans="13:14" ht="14.25" customHeight="1">
      <c r="M244"/>
      <c r="N244"/>
    </row>
    <row r="245" spans="13:14" ht="14.25" customHeight="1">
      <c r="M245"/>
      <c r="N245"/>
    </row>
    <row r="246" spans="13:14" ht="14.25" customHeight="1">
      <c r="M246"/>
      <c r="N246"/>
    </row>
    <row r="247" spans="13:14" ht="14.25" customHeight="1">
      <c r="M247"/>
      <c r="N247"/>
    </row>
    <row r="248" spans="13:14" ht="14.25" customHeight="1">
      <c r="M248"/>
      <c r="N248"/>
    </row>
    <row r="249" spans="13:14" ht="14.25" customHeight="1">
      <c r="M249"/>
      <c r="N249"/>
    </row>
    <row r="250" spans="13:14" ht="14.25" customHeight="1">
      <c r="M250"/>
      <c r="N250"/>
    </row>
    <row r="251" spans="13:14" ht="14.25" customHeight="1">
      <c r="M251"/>
      <c r="N251"/>
    </row>
    <row r="252" spans="13:14" ht="14.25" customHeight="1">
      <c r="M252"/>
      <c r="N252"/>
    </row>
    <row r="253" spans="13:14" ht="14.25" customHeight="1">
      <c r="M253"/>
      <c r="N253"/>
    </row>
    <row r="254" spans="13:14" ht="14.25" customHeight="1">
      <c r="M254"/>
      <c r="N254"/>
    </row>
    <row r="255" spans="13:14" ht="14.25" customHeight="1">
      <c r="M255"/>
      <c r="N255"/>
    </row>
    <row r="256" spans="13:14" ht="14.25" customHeight="1">
      <c r="M256"/>
      <c r="N256"/>
    </row>
    <row r="257" spans="13:14" ht="14.25" customHeight="1">
      <c r="M257"/>
      <c r="N257"/>
    </row>
    <row r="258" spans="13:14" ht="14.25" customHeight="1">
      <c r="M258"/>
      <c r="N258"/>
    </row>
    <row r="259" spans="13:14" ht="14.25" customHeight="1">
      <c r="M259"/>
      <c r="N259"/>
    </row>
    <row r="260" spans="13:14" ht="14.25" customHeight="1">
      <c r="M260"/>
      <c r="N260"/>
    </row>
    <row r="261" spans="13:14" ht="14.25" customHeight="1">
      <c r="M261"/>
      <c r="N261"/>
    </row>
    <row r="262" spans="13:14" ht="14.25" customHeight="1">
      <c r="M262"/>
      <c r="N262"/>
    </row>
    <row r="263" spans="13:14" ht="14.25" customHeight="1">
      <c r="M263"/>
      <c r="N263"/>
    </row>
    <row r="264" spans="13:14" ht="14.25" customHeight="1">
      <c r="M264"/>
      <c r="N264"/>
    </row>
    <row r="265" spans="13:14" ht="14.25" customHeight="1">
      <c r="M265"/>
      <c r="N265"/>
    </row>
    <row r="266" spans="13:14" ht="14.25" customHeight="1">
      <c r="M266"/>
      <c r="N266"/>
    </row>
    <row r="267" spans="13:14" ht="14.25" customHeight="1">
      <c r="M267"/>
      <c r="N267"/>
    </row>
    <row r="268" spans="13:14" ht="14.25" customHeight="1">
      <c r="M268"/>
      <c r="N268"/>
    </row>
    <row r="269" spans="13:14" ht="14.25" customHeight="1">
      <c r="M269"/>
      <c r="N269"/>
    </row>
    <row r="270" spans="13:14" ht="14.25" customHeight="1">
      <c r="M270"/>
      <c r="N270"/>
    </row>
    <row r="271" spans="13:14" ht="14.25" customHeight="1">
      <c r="M271"/>
      <c r="N271"/>
    </row>
    <row r="272" spans="13:14" ht="14.25" customHeight="1">
      <c r="M272"/>
      <c r="N272"/>
    </row>
    <row r="273" spans="13:14" ht="14.25" customHeight="1">
      <c r="M273"/>
      <c r="N273"/>
    </row>
    <row r="274" spans="13:14" ht="14.25" customHeight="1">
      <c r="M274"/>
      <c r="N274"/>
    </row>
    <row r="275" spans="13:14" ht="14.25" customHeight="1">
      <c r="M275"/>
      <c r="N275"/>
    </row>
    <row r="276" spans="13:14" ht="14.25" customHeight="1">
      <c r="M276"/>
      <c r="N276"/>
    </row>
    <row r="277" spans="13:14" ht="14.25" customHeight="1">
      <c r="M277"/>
      <c r="N277"/>
    </row>
    <row r="278" spans="13:14" ht="14.25" customHeight="1">
      <c r="M278"/>
      <c r="N278"/>
    </row>
    <row r="279" spans="13:14" ht="14.25" customHeight="1">
      <c r="M279"/>
      <c r="N279"/>
    </row>
    <row r="280" spans="13:14" ht="14.25" customHeight="1">
      <c r="M280"/>
      <c r="N280"/>
    </row>
    <row r="281" spans="13:14" ht="14.25" customHeight="1">
      <c r="M281"/>
      <c r="N281"/>
    </row>
    <row r="282" spans="13:14" ht="14.25" customHeight="1">
      <c r="M282"/>
      <c r="N282"/>
    </row>
    <row r="283" spans="13:14" ht="14.25" customHeight="1">
      <c r="M283"/>
      <c r="N283"/>
    </row>
    <row r="284" spans="13:14" ht="14.25" customHeight="1">
      <c r="M284"/>
      <c r="N284"/>
    </row>
    <row r="285" spans="13:14" ht="14.25" customHeight="1">
      <c r="M285"/>
      <c r="N285"/>
    </row>
    <row r="286" spans="13:14" ht="14.25" customHeight="1">
      <c r="M286"/>
      <c r="N286"/>
    </row>
    <row r="287" spans="13:14" ht="14.25" customHeight="1">
      <c r="M287"/>
      <c r="N287"/>
    </row>
    <row r="288" spans="13:14" ht="14.25" customHeight="1">
      <c r="M288"/>
      <c r="N288"/>
    </row>
    <row r="289" spans="13:14" ht="14.25" customHeight="1">
      <c r="M289"/>
      <c r="N289"/>
    </row>
    <row r="290" spans="13:14" ht="14.25" customHeight="1">
      <c r="M290"/>
      <c r="N290"/>
    </row>
    <row r="291" spans="13:14" ht="14.25" customHeight="1">
      <c r="M291"/>
      <c r="N291"/>
    </row>
    <row r="292" spans="13:14" ht="14.25" customHeight="1">
      <c r="M292"/>
      <c r="N292"/>
    </row>
    <row r="293" spans="13:14" ht="14.25" customHeight="1">
      <c r="M293"/>
      <c r="N293"/>
    </row>
    <row r="294" spans="13:14" ht="14.25" customHeight="1">
      <c r="M294"/>
      <c r="N294"/>
    </row>
    <row r="295" spans="13:14" ht="14.25" customHeight="1">
      <c r="M295"/>
      <c r="N295"/>
    </row>
    <row r="296" spans="13:14" ht="14.25" customHeight="1">
      <c r="M296"/>
      <c r="N296"/>
    </row>
    <row r="297" spans="13:14" ht="14.25" customHeight="1">
      <c r="M297"/>
      <c r="N297"/>
    </row>
    <row r="298" spans="13:14" ht="14.25" customHeight="1">
      <c r="M298"/>
      <c r="N298"/>
    </row>
    <row r="299" spans="13:14" ht="14.25" customHeight="1">
      <c r="M299"/>
      <c r="N299"/>
    </row>
    <row r="300" spans="13:14" ht="14.25" customHeight="1">
      <c r="M300"/>
      <c r="N300"/>
    </row>
    <row r="301" spans="13:14" ht="14.25" customHeight="1">
      <c r="M301"/>
      <c r="N301"/>
    </row>
    <row r="302" spans="13:14" ht="14.25" customHeight="1">
      <c r="M302"/>
      <c r="N302"/>
    </row>
    <row r="303" spans="13:14" ht="14.25" customHeight="1">
      <c r="M303"/>
      <c r="N303"/>
    </row>
    <row r="304" spans="13:14" ht="14.25" customHeight="1">
      <c r="M304"/>
      <c r="N304"/>
    </row>
    <row r="305" spans="13:14" ht="14.25" customHeight="1">
      <c r="M305"/>
      <c r="N305"/>
    </row>
    <row r="306" spans="13:14" ht="14.25" customHeight="1">
      <c r="M306"/>
      <c r="N306"/>
    </row>
    <row r="307" spans="13:14" ht="14.25" customHeight="1">
      <c r="M307"/>
      <c r="N307"/>
    </row>
    <row r="308" spans="13:14" ht="14.25" customHeight="1">
      <c r="M308"/>
      <c r="N308"/>
    </row>
    <row r="309" spans="13:14" ht="14.25" customHeight="1">
      <c r="M309"/>
      <c r="N309"/>
    </row>
    <row r="310" spans="13:14" ht="14.25" customHeight="1">
      <c r="M310"/>
      <c r="N310"/>
    </row>
    <row r="311" spans="13:14" ht="14.25" customHeight="1">
      <c r="M311"/>
      <c r="N311"/>
    </row>
    <row r="312" spans="13:14" ht="14.25" customHeight="1">
      <c r="M312"/>
      <c r="N312"/>
    </row>
    <row r="313" spans="13:14" ht="14.25" customHeight="1">
      <c r="M313"/>
      <c r="N313"/>
    </row>
    <row r="314" spans="13:14" ht="14.25" customHeight="1">
      <c r="M314"/>
      <c r="N314"/>
    </row>
    <row r="315" spans="13:14" ht="14.25" customHeight="1">
      <c r="M315"/>
      <c r="N315"/>
    </row>
    <row r="316" spans="13:14" ht="14.25" customHeight="1">
      <c r="M316"/>
      <c r="N316"/>
    </row>
    <row r="317" spans="13:14" ht="14.25" customHeight="1">
      <c r="M317"/>
      <c r="N317"/>
    </row>
    <row r="318" spans="13:14" ht="14.25" customHeight="1">
      <c r="M318"/>
      <c r="N318"/>
    </row>
    <row r="319" spans="13:14" ht="14.25" customHeight="1">
      <c r="M319"/>
      <c r="N319"/>
    </row>
    <row r="320" spans="13:14" ht="14.25" customHeight="1">
      <c r="M320"/>
      <c r="N320"/>
    </row>
    <row r="321" spans="13:14" ht="14.25" customHeight="1">
      <c r="M321"/>
      <c r="N321"/>
    </row>
    <row r="322" spans="13:14" ht="14.25" customHeight="1">
      <c r="M322"/>
      <c r="N322"/>
    </row>
    <row r="323" spans="13:14" ht="14.25" customHeight="1">
      <c r="M323"/>
      <c r="N323"/>
    </row>
    <row r="324" spans="13:14" ht="14.25" customHeight="1">
      <c r="M324"/>
      <c r="N324"/>
    </row>
    <row r="325" spans="13:14" ht="14.25" customHeight="1">
      <c r="M325"/>
      <c r="N325"/>
    </row>
    <row r="326" spans="13:14" ht="14.25" customHeight="1">
      <c r="M326"/>
      <c r="N326"/>
    </row>
    <row r="327" spans="13:14" ht="14.25" customHeight="1">
      <c r="M327"/>
      <c r="N327"/>
    </row>
    <row r="328" spans="13:14" ht="14.25" customHeight="1">
      <c r="M328"/>
      <c r="N328"/>
    </row>
    <row r="329" spans="13:14" ht="14.25" customHeight="1">
      <c r="M329"/>
      <c r="N329"/>
    </row>
    <row r="330" spans="13:14" ht="14.25" customHeight="1">
      <c r="M330"/>
      <c r="N330"/>
    </row>
    <row r="331" spans="13:14" ht="14.25" customHeight="1">
      <c r="M331"/>
      <c r="N331"/>
    </row>
    <row r="332" spans="13:14" ht="14.25" customHeight="1">
      <c r="M332"/>
      <c r="N332"/>
    </row>
    <row r="333" spans="13:14" ht="14.25" customHeight="1">
      <c r="M333"/>
      <c r="N333"/>
    </row>
    <row r="334" spans="13:14" ht="14.25" customHeight="1">
      <c r="M334"/>
      <c r="N334"/>
    </row>
    <row r="335" spans="13:14" ht="14.25" customHeight="1">
      <c r="M335"/>
      <c r="N335"/>
    </row>
    <row r="336" spans="13:14" ht="14.25" customHeight="1">
      <c r="M336"/>
      <c r="N336"/>
    </row>
    <row r="337" spans="13:14" ht="14.25" customHeight="1">
      <c r="M337"/>
      <c r="N337"/>
    </row>
    <row r="338" spans="13:14" ht="14.25" customHeight="1">
      <c r="M338"/>
      <c r="N338"/>
    </row>
    <row r="339" spans="13:14" ht="14.25" customHeight="1">
      <c r="M339"/>
      <c r="N339"/>
    </row>
    <row r="340" spans="13:14" ht="14.25" customHeight="1">
      <c r="M340"/>
      <c r="N340"/>
    </row>
    <row r="341" spans="13:14" ht="14.25" customHeight="1">
      <c r="M341"/>
      <c r="N341"/>
    </row>
    <row r="342" spans="13:14" ht="14.25" customHeight="1">
      <c r="M342"/>
      <c r="N342"/>
    </row>
    <row r="343" spans="13:14" ht="14.25" customHeight="1">
      <c r="M343"/>
      <c r="N343"/>
    </row>
    <row r="344" spans="13:14" ht="14.25" customHeight="1">
      <c r="M344"/>
      <c r="N344"/>
    </row>
    <row r="345" spans="13:14" ht="14.25" customHeight="1">
      <c r="M345"/>
      <c r="N345"/>
    </row>
    <row r="346" spans="13:14" ht="14.25" customHeight="1">
      <c r="M346"/>
      <c r="N346"/>
    </row>
    <row r="347" spans="13:14" ht="14.25" customHeight="1">
      <c r="M347"/>
      <c r="N347"/>
    </row>
    <row r="348" spans="13:14" ht="14.25" customHeight="1">
      <c r="M348"/>
      <c r="N348"/>
    </row>
    <row r="349" spans="13:14" ht="14.25" customHeight="1">
      <c r="M349"/>
      <c r="N349"/>
    </row>
    <row r="350" spans="13:14" ht="14.25" customHeight="1">
      <c r="M350"/>
      <c r="N350"/>
    </row>
    <row r="351" spans="13:14" ht="14.25" customHeight="1">
      <c r="M351"/>
      <c r="N351"/>
    </row>
    <row r="352" spans="13:14" ht="14.25" customHeight="1">
      <c r="M352"/>
      <c r="N352"/>
    </row>
    <row r="353" spans="13:14" ht="14.25" customHeight="1">
      <c r="M353"/>
      <c r="N353"/>
    </row>
    <row r="354" spans="13:14" ht="14.25" customHeight="1">
      <c r="M354"/>
      <c r="N354"/>
    </row>
    <row r="355" spans="13:14" ht="14.25" customHeight="1">
      <c r="M355"/>
      <c r="N355"/>
    </row>
    <row r="356" spans="13:14" ht="14.25" customHeight="1">
      <c r="M356"/>
      <c r="N356"/>
    </row>
    <row r="357" spans="13:14" ht="14.25" customHeight="1">
      <c r="M357"/>
      <c r="N357"/>
    </row>
    <row r="358" spans="13:14" ht="14.25" customHeight="1">
      <c r="M358"/>
      <c r="N358"/>
    </row>
    <row r="359" spans="13:14" ht="14.25" customHeight="1">
      <c r="M359"/>
      <c r="N359"/>
    </row>
    <row r="360" spans="13:14" ht="14.25" customHeight="1">
      <c r="M360"/>
      <c r="N360"/>
    </row>
    <row r="361" spans="13:14" ht="14.25" customHeight="1">
      <c r="M361"/>
      <c r="N361"/>
    </row>
    <row r="362" spans="13:14" ht="14.25" customHeight="1">
      <c r="M362"/>
      <c r="N362"/>
    </row>
    <row r="363" spans="13:14" ht="14.25" customHeight="1">
      <c r="M363"/>
      <c r="N363"/>
    </row>
    <row r="364" spans="13:14" ht="14.25" customHeight="1">
      <c r="M364"/>
      <c r="N364"/>
    </row>
    <row r="365" spans="13:14" ht="14.25" customHeight="1">
      <c r="M365"/>
      <c r="N365"/>
    </row>
    <row r="366" spans="13:14" ht="14.25" customHeight="1">
      <c r="M366"/>
      <c r="N366"/>
    </row>
    <row r="367" spans="13:14" ht="14.25" customHeight="1">
      <c r="M367"/>
      <c r="N367"/>
    </row>
    <row r="368" spans="13:14" ht="14.25" customHeight="1">
      <c r="M368"/>
      <c r="N368"/>
    </row>
    <row r="369" spans="13:14" ht="14.25" customHeight="1">
      <c r="M369"/>
      <c r="N369"/>
    </row>
    <row r="370" spans="13:14" ht="14.25" customHeight="1">
      <c r="M370"/>
      <c r="N370"/>
    </row>
    <row r="371" spans="13:14" ht="14.25" customHeight="1">
      <c r="M371"/>
      <c r="N371"/>
    </row>
    <row r="372" spans="13:14" ht="14.25" customHeight="1">
      <c r="M372"/>
      <c r="N372"/>
    </row>
    <row r="373" spans="13:14" ht="14.25" customHeight="1">
      <c r="M373"/>
      <c r="N373"/>
    </row>
    <row r="374" spans="13:14" ht="14.25" customHeight="1">
      <c r="M374"/>
      <c r="N374"/>
    </row>
    <row r="375" spans="13:14" ht="14.25" customHeight="1">
      <c r="M375"/>
      <c r="N375"/>
    </row>
    <row r="376" spans="13:14" ht="14.25" customHeight="1">
      <c r="M376"/>
      <c r="N376"/>
    </row>
    <row r="377" spans="13:14" ht="14.25" customHeight="1">
      <c r="M377"/>
      <c r="N377"/>
    </row>
    <row r="378" spans="13:14" ht="14.25" customHeight="1">
      <c r="M378"/>
      <c r="N378"/>
    </row>
    <row r="379" spans="13:14" ht="14.25" customHeight="1">
      <c r="M379"/>
      <c r="N379"/>
    </row>
    <row r="380" spans="13:14" ht="14.25" customHeight="1">
      <c r="M380"/>
      <c r="N380"/>
    </row>
    <row r="381" spans="13:14" ht="14.25" customHeight="1">
      <c r="M381"/>
      <c r="N381"/>
    </row>
    <row r="382" spans="13:14" ht="14.25" customHeight="1">
      <c r="M382"/>
      <c r="N382"/>
    </row>
    <row r="383" spans="13:14" ht="14.25" customHeight="1">
      <c r="M383"/>
      <c r="N383"/>
    </row>
    <row r="384" spans="13:14" ht="14.25" customHeight="1">
      <c r="M384"/>
      <c r="N384"/>
    </row>
    <row r="385" spans="13:14" ht="14.25" customHeight="1">
      <c r="M385"/>
      <c r="N385"/>
    </row>
    <row r="386" spans="13:14" ht="14.25" customHeight="1">
      <c r="M386"/>
      <c r="N386"/>
    </row>
    <row r="387" spans="13:14" ht="14.25" customHeight="1">
      <c r="M387"/>
      <c r="N387"/>
    </row>
    <row r="388" spans="13:14" ht="14.25" customHeight="1">
      <c r="M388"/>
      <c r="N388"/>
    </row>
    <row r="389" spans="13:14" ht="14.25" customHeight="1">
      <c r="M389"/>
      <c r="N389"/>
    </row>
    <row r="390" spans="13:14" ht="14.25" customHeight="1">
      <c r="M390"/>
      <c r="N390"/>
    </row>
    <row r="391" spans="13:14" ht="14.25" customHeight="1">
      <c r="M391"/>
      <c r="N391"/>
    </row>
    <row r="392" spans="13:14" ht="14.25" customHeight="1">
      <c r="M392"/>
      <c r="N392"/>
    </row>
    <row r="393" spans="13:14" ht="14.25" customHeight="1">
      <c r="M393"/>
      <c r="N393"/>
    </row>
    <row r="394" spans="13:14" ht="14.25" customHeight="1">
      <c r="M394"/>
      <c r="N394"/>
    </row>
    <row r="395" spans="13:14" ht="14.25" customHeight="1">
      <c r="M395"/>
      <c r="N395"/>
    </row>
    <row r="396" spans="13:14" ht="14.25" customHeight="1">
      <c r="M396"/>
      <c r="N396"/>
    </row>
    <row r="397" spans="13:14" ht="14.25" customHeight="1">
      <c r="M397"/>
      <c r="N397"/>
    </row>
    <row r="398" spans="13:14" ht="14.25" customHeight="1">
      <c r="M398"/>
      <c r="N398"/>
    </row>
    <row r="399" spans="13:14" ht="14.25" customHeight="1">
      <c r="M399"/>
      <c r="N399"/>
    </row>
    <row r="400" spans="13:14" ht="14.25" customHeight="1">
      <c r="M400"/>
      <c r="N400"/>
    </row>
    <row r="401" spans="13:14" ht="14.25" customHeight="1">
      <c r="M401"/>
      <c r="N401"/>
    </row>
    <row r="402" spans="13:14" ht="14.25" customHeight="1">
      <c r="M402"/>
      <c r="N402"/>
    </row>
    <row r="403" spans="13:14" ht="14.25" customHeight="1">
      <c r="M403"/>
      <c r="N403"/>
    </row>
    <row r="404" spans="13:14" ht="14.25" customHeight="1">
      <c r="M404"/>
      <c r="N404"/>
    </row>
    <row r="405" spans="13:14" ht="14.25" customHeight="1">
      <c r="M405"/>
      <c r="N405"/>
    </row>
    <row r="406" spans="13:14" ht="14.25" customHeight="1">
      <c r="M406"/>
      <c r="N406"/>
    </row>
    <row r="407" spans="13:14" ht="14.25" customHeight="1">
      <c r="M407"/>
      <c r="N407"/>
    </row>
    <row r="408" spans="13:14" ht="14.25" customHeight="1">
      <c r="M408"/>
      <c r="N408"/>
    </row>
    <row r="409" spans="13:14" ht="14.25" customHeight="1">
      <c r="M409"/>
      <c r="N409"/>
    </row>
    <row r="410" spans="13:14" ht="14.25" customHeight="1">
      <c r="M410"/>
      <c r="N410"/>
    </row>
    <row r="411" spans="13:14" ht="14.25" customHeight="1">
      <c r="M411"/>
      <c r="N411"/>
    </row>
    <row r="412" spans="13:14" ht="14.25" customHeight="1">
      <c r="M412"/>
      <c r="N412"/>
    </row>
    <row r="413" spans="13:14" ht="14.25" customHeight="1">
      <c r="M413"/>
      <c r="N413"/>
    </row>
    <row r="414" spans="13:14" ht="14.25" customHeight="1">
      <c r="M414"/>
      <c r="N414"/>
    </row>
    <row r="415" spans="13:14" ht="14.25" customHeight="1">
      <c r="M415"/>
      <c r="N415"/>
    </row>
    <row r="416" spans="13:14" ht="14.25" customHeight="1">
      <c r="M416"/>
      <c r="N416"/>
    </row>
    <row r="417" spans="13:14" ht="14.25" customHeight="1">
      <c r="M417"/>
      <c r="N417"/>
    </row>
    <row r="418" spans="13:14" ht="14.25" customHeight="1">
      <c r="M418"/>
      <c r="N418"/>
    </row>
    <row r="419" spans="13:14" ht="14.25" customHeight="1">
      <c r="M419"/>
      <c r="N419"/>
    </row>
    <row r="420" spans="13:14" ht="14.25" customHeight="1">
      <c r="M420"/>
      <c r="N420"/>
    </row>
    <row r="421" spans="13:14" ht="14.25" customHeight="1">
      <c r="M421"/>
      <c r="N421"/>
    </row>
    <row r="422" spans="13:14" ht="14.25" customHeight="1">
      <c r="M422"/>
      <c r="N422"/>
    </row>
    <row r="423" spans="13:14" ht="14.25" customHeight="1">
      <c r="M423"/>
      <c r="N423"/>
    </row>
    <row r="424" spans="13:14" ht="14.25" customHeight="1">
      <c r="M424"/>
      <c r="N424"/>
    </row>
    <row r="425" spans="13:14" ht="14.25" customHeight="1">
      <c r="M425"/>
      <c r="N425"/>
    </row>
    <row r="426" spans="13:14" ht="14.25" customHeight="1">
      <c r="M426"/>
      <c r="N426"/>
    </row>
    <row r="427" spans="13:14" ht="14.25" customHeight="1">
      <c r="M427"/>
      <c r="N427"/>
    </row>
    <row r="428" spans="13:14" ht="14.25" customHeight="1">
      <c r="M428"/>
      <c r="N428"/>
    </row>
    <row r="429" spans="13:14" ht="14.25" customHeight="1">
      <c r="M429"/>
      <c r="N429"/>
    </row>
    <row r="430" spans="13:14" ht="14.25" customHeight="1">
      <c r="M430"/>
      <c r="N430"/>
    </row>
    <row r="431" spans="13:14" ht="14.25" customHeight="1">
      <c r="M431"/>
      <c r="N431"/>
    </row>
    <row r="432" spans="13:14" ht="14.25" customHeight="1">
      <c r="M432"/>
      <c r="N432"/>
    </row>
    <row r="433" spans="13:14" ht="14.25" customHeight="1">
      <c r="M433"/>
      <c r="N433"/>
    </row>
    <row r="434" spans="13:14" ht="14.25" customHeight="1">
      <c r="M434"/>
      <c r="N434"/>
    </row>
    <row r="435" spans="13:14" ht="14.25" customHeight="1">
      <c r="M435"/>
      <c r="N435"/>
    </row>
    <row r="436" spans="13:14" ht="14.25" customHeight="1">
      <c r="M436"/>
      <c r="N436"/>
    </row>
    <row r="437" spans="13:14" ht="14.25" customHeight="1">
      <c r="M437"/>
      <c r="N437"/>
    </row>
    <row r="438" spans="13:14" ht="14.25" customHeight="1">
      <c r="M438"/>
      <c r="N438"/>
    </row>
    <row r="439" spans="13:14" ht="14.25" customHeight="1">
      <c r="M439"/>
      <c r="N439"/>
    </row>
    <row r="440" spans="13:14" ht="14.25" customHeight="1">
      <c r="M440"/>
      <c r="N440"/>
    </row>
    <row r="441" spans="13:14" ht="14.25" customHeight="1">
      <c r="M441"/>
      <c r="N441"/>
    </row>
    <row r="442" spans="13:14" ht="14.25" customHeight="1">
      <c r="M442"/>
      <c r="N442"/>
    </row>
    <row r="443" spans="13:14" ht="14.25" customHeight="1">
      <c r="M443"/>
      <c r="N443"/>
    </row>
    <row r="444" spans="13:14" ht="14.25" customHeight="1">
      <c r="M444"/>
      <c r="N444"/>
    </row>
    <row r="445" spans="13:14" ht="14.25" customHeight="1">
      <c r="M445"/>
      <c r="N445"/>
    </row>
    <row r="446" spans="13:14" ht="14.25" customHeight="1">
      <c r="M446"/>
      <c r="N446"/>
    </row>
    <row r="447" spans="13:14" ht="14.25" customHeight="1">
      <c r="M447"/>
      <c r="N447"/>
    </row>
    <row r="448" spans="13:14" ht="14.25" customHeight="1">
      <c r="M448"/>
      <c r="N448"/>
    </row>
    <row r="449" spans="13:14" ht="14.25" customHeight="1">
      <c r="M449"/>
      <c r="N449"/>
    </row>
    <row r="450" spans="13:14" ht="14.25" customHeight="1">
      <c r="M450"/>
      <c r="N450"/>
    </row>
    <row r="451" spans="13:14" ht="14.25" customHeight="1">
      <c r="M451"/>
      <c r="N451"/>
    </row>
    <row r="452" spans="13:14" ht="14.25" customHeight="1">
      <c r="M452"/>
      <c r="N452"/>
    </row>
    <row r="453" spans="13:14" ht="14.25" customHeight="1">
      <c r="M453"/>
      <c r="N453"/>
    </row>
    <row r="454" spans="13:14" ht="14.25" customHeight="1">
      <c r="M454"/>
      <c r="N454"/>
    </row>
    <row r="455" spans="13:14" ht="14.25" customHeight="1">
      <c r="M455"/>
      <c r="N455"/>
    </row>
    <row r="456" spans="13:14" ht="14.25" customHeight="1">
      <c r="M456"/>
      <c r="N456"/>
    </row>
    <row r="457" spans="13:14" ht="14.25" customHeight="1">
      <c r="M457"/>
      <c r="N457"/>
    </row>
    <row r="458" spans="13:14" ht="14.25" customHeight="1">
      <c r="M458"/>
      <c r="N458"/>
    </row>
    <row r="459" spans="13:14" ht="14.25" customHeight="1">
      <c r="M459"/>
      <c r="N459"/>
    </row>
    <row r="460" spans="13:14" ht="14.25" customHeight="1">
      <c r="M460"/>
      <c r="N460"/>
    </row>
    <row r="461" spans="13:14" ht="14.25" customHeight="1">
      <c r="M461"/>
      <c r="N461"/>
    </row>
    <row r="462" spans="13:14" ht="14.25" customHeight="1">
      <c r="M462"/>
      <c r="N462"/>
    </row>
    <row r="463" spans="13:14" ht="14.25" customHeight="1">
      <c r="M463"/>
      <c r="N463"/>
    </row>
    <row r="464" spans="13:14" ht="14.25" customHeight="1">
      <c r="M464"/>
      <c r="N464"/>
    </row>
    <row r="465" spans="13:14" ht="14.25" customHeight="1">
      <c r="M465"/>
      <c r="N465"/>
    </row>
    <row r="466" spans="13:14" ht="14.25" customHeight="1">
      <c r="M466"/>
      <c r="N466"/>
    </row>
    <row r="467" spans="13:14" ht="14.25" customHeight="1">
      <c r="M467"/>
      <c r="N467"/>
    </row>
    <row r="468" spans="13:14" ht="14.25" customHeight="1">
      <c r="M468"/>
      <c r="N468"/>
    </row>
    <row r="469" spans="13:14" ht="14.25" customHeight="1">
      <c r="M469"/>
      <c r="N469"/>
    </row>
    <row r="470" spans="13:14" ht="14.25" customHeight="1">
      <c r="M470"/>
      <c r="N470"/>
    </row>
    <row r="471" spans="13:14" ht="14.25" customHeight="1">
      <c r="M471"/>
      <c r="N471"/>
    </row>
    <row r="472" spans="13:14" ht="14.25" customHeight="1">
      <c r="M472"/>
      <c r="N472"/>
    </row>
    <row r="473" spans="13:14" ht="14.25" customHeight="1">
      <c r="M473"/>
      <c r="N473"/>
    </row>
    <row r="474" spans="13:14" ht="14.25" customHeight="1">
      <c r="M474"/>
      <c r="N474"/>
    </row>
    <row r="475" spans="13:14" ht="14.25" customHeight="1">
      <c r="M475"/>
      <c r="N475"/>
    </row>
    <row r="476" spans="13:14" ht="14.25" customHeight="1">
      <c r="M476"/>
      <c r="N476"/>
    </row>
    <row r="477" spans="13:14" ht="14.25" customHeight="1">
      <c r="M477"/>
      <c r="N477"/>
    </row>
    <row r="478" spans="13:14" ht="14.25" customHeight="1">
      <c r="M478"/>
      <c r="N478"/>
    </row>
    <row r="479" spans="13:14" ht="14.25" customHeight="1">
      <c r="M479"/>
      <c r="N479"/>
    </row>
    <row r="480" spans="13:14" ht="14.25" customHeight="1">
      <c r="M480"/>
      <c r="N480"/>
    </row>
    <row r="481" spans="13:14" ht="14.25" customHeight="1">
      <c r="M481"/>
      <c r="N481"/>
    </row>
    <row r="482" spans="13:14" ht="14.25" customHeight="1">
      <c r="M482"/>
      <c r="N482"/>
    </row>
    <row r="483" spans="13:14" ht="14.25" customHeight="1">
      <c r="M483"/>
      <c r="N483"/>
    </row>
    <row r="484" spans="13:14" ht="14.25" customHeight="1">
      <c r="M484"/>
      <c r="N484"/>
    </row>
    <row r="485" spans="13:14" ht="14.25" customHeight="1">
      <c r="M485"/>
      <c r="N485"/>
    </row>
    <row r="486" spans="13:14" ht="14.25" customHeight="1">
      <c r="M486"/>
      <c r="N486"/>
    </row>
    <row r="487" spans="13:14" ht="14.25" customHeight="1">
      <c r="M487"/>
      <c r="N487"/>
    </row>
    <row r="488" spans="13:14" ht="14.25" customHeight="1">
      <c r="M488"/>
      <c r="N488"/>
    </row>
    <row r="489" spans="13:14" ht="14.25" customHeight="1">
      <c r="M489"/>
      <c r="N489"/>
    </row>
    <row r="490" spans="13:14" ht="14.25" customHeight="1">
      <c r="M490"/>
      <c r="N490"/>
    </row>
    <row r="491" spans="13:14" ht="14.25" customHeight="1">
      <c r="M491"/>
      <c r="N491"/>
    </row>
    <row r="492" spans="13:14" ht="14.25" customHeight="1">
      <c r="M492"/>
      <c r="N492"/>
    </row>
    <row r="493" spans="13:14" ht="14.25" customHeight="1">
      <c r="M493"/>
      <c r="N493"/>
    </row>
    <row r="494" spans="13:14" ht="14.25" customHeight="1">
      <c r="M494"/>
      <c r="N494"/>
    </row>
    <row r="495" spans="13:14" ht="14.25" customHeight="1">
      <c r="M495"/>
      <c r="N495"/>
    </row>
    <row r="496" spans="13:14" ht="14.25" customHeight="1">
      <c r="M496"/>
      <c r="N496"/>
    </row>
    <row r="497" spans="13:14" ht="14.25" customHeight="1">
      <c r="M497"/>
      <c r="N497"/>
    </row>
    <row r="498" spans="13:14" ht="14.25" customHeight="1">
      <c r="M498"/>
      <c r="N498"/>
    </row>
    <row r="499" spans="13:14" ht="14.25" customHeight="1">
      <c r="M499"/>
      <c r="N499"/>
    </row>
    <row r="500" spans="13:14" ht="14.25" customHeight="1">
      <c r="M500"/>
      <c r="N500"/>
    </row>
    <row r="501" spans="13:14" ht="14.25" customHeight="1">
      <c r="M501"/>
      <c r="N501"/>
    </row>
    <row r="502" spans="13:14" ht="14.25" customHeight="1">
      <c r="M502"/>
      <c r="N502"/>
    </row>
    <row r="503" spans="13:14" ht="14.25" customHeight="1">
      <c r="M503"/>
      <c r="N503"/>
    </row>
    <row r="504" spans="13:14" ht="14.25" customHeight="1">
      <c r="M504"/>
      <c r="N504"/>
    </row>
    <row r="505" spans="13:14" ht="14.25" customHeight="1">
      <c r="M505"/>
      <c r="N505"/>
    </row>
    <row r="506" spans="13:14" ht="14.25" customHeight="1">
      <c r="M506"/>
      <c r="N506"/>
    </row>
    <row r="507" spans="13:14" ht="14.25" customHeight="1">
      <c r="M507"/>
      <c r="N507"/>
    </row>
    <row r="508" spans="13:14" ht="14.25" customHeight="1">
      <c r="M508"/>
      <c r="N508"/>
    </row>
    <row r="509" spans="13:14" ht="14.25" customHeight="1">
      <c r="M509"/>
      <c r="N509"/>
    </row>
    <row r="510" spans="13:14" ht="14.25" customHeight="1">
      <c r="M510"/>
      <c r="N510"/>
    </row>
    <row r="511" spans="13:14" ht="14.25" customHeight="1">
      <c r="M511"/>
      <c r="N511"/>
    </row>
    <row r="512" spans="13:14" ht="14.25" customHeight="1">
      <c r="M512"/>
      <c r="N512"/>
    </row>
    <row r="513" spans="13:14" ht="14.25" customHeight="1">
      <c r="M513"/>
      <c r="N513"/>
    </row>
    <row r="514" spans="13:14" ht="14.25" customHeight="1">
      <c r="M514"/>
      <c r="N514"/>
    </row>
    <row r="515" spans="13:14" ht="14.25" customHeight="1">
      <c r="M515"/>
      <c r="N515"/>
    </row>
    <row r="516" spans="13:14" ht="14.25" customHeight="1">
      <c r="M516"/>
      <c r="N516"/>
    </row>
    <row r="517" spans="13:14" ht="14.25" customHeight="1">
      <c r="M517"/>
      <c r="N517"/>
    </row>
    <row r="518" spans="13:14" ht="14.25" customHeight="1">
      <c r="M518"/>
      <c r="N518"/>
    </row>
    <row r="519" spans="13:14" ht="14.25" customHeight="1">
      <c r="M519"/>
      <c r="N519"/>
    </row>
    <row r="520" spans="13:14" ht="14.25" customHeight="1">
      <c r="M520"/>
      <c r="N520"/>
    </row>
    <row r="521" spans="13:14" ht="14.25" customHeight="1">
      <c r="M521"/>
      <c r="N521"/>
    </row>
    <row r="522" spans="13:14" ht="14.25" customHeight="1">
      <c r="M522"/>
      <c r="N522"/>
    </row>
    <row r="523" spans="13:14" ht="14.25" customHeight="1">
      <c r="M523"/>
      <c r="N523"/>
    </row>
    <row r="524" spans="13:14" ht="14.25" customHeight="1">
      <c r="M524"/>
      <c r="N524"/>
    </row>
    <row r="525" spans="13:14" ht="14.25" customHeight="1">
      <c r="M525"/>
      <c r="N525"/>
    </row>
    <row r="526" spans="13:14" ht="14.25" customHeight="1">
      <c r="M526"/>
      <c r="N526"/>
    </row>
    <row r="527" spans="13:14" ht="14.25" customHeight="1">
      <c r="M527"/>
      <c r="N527"/>
    </row>
    <row r="528" spans="13:14" ht="14.25" customHeight="1">
      <c r="M528"/>
      <c r="N528"/>
    </row>
    <row r="529" spans="13:14" ht="14.25" customHeight="1">
      <c r="M529"/>
      <c r="N529"/>
    </row>
    <row r="530" spans="13:14" ht="14.25" customHeight="1">
      <c r="M530"/>
      <c r="N530"/>
    </row>
    <row r="531" spans="13:14" ht="14.25" customHeight="1">
      <c r="M531"/>
      <c r="N531"/>
    </row>
    <row r="532" spans="13:14" ht="14.25" customHeight="1">
      <c r="M532"/>
      <c r="N532"/>
    </row>
    <row r="533" spans="13:14" ht="14.25" customHeight="1">
      <c r="M533"/>
      <c r="N533"/>
    </row>
    <row r="534" spans="13:14" ht="14.25" customHeight="1">
      <c r="M534"/>
      <c r="N534"/>
    </row>
    <row r="535" spans="13:14" ht="14.25" customHeight="1">
      <c r="M535"/>
      <c r="N535"/>
    </row>
    <row r="536" spans="13:14" ht="14.25" customHeight="1">
      <c r="M536"/>
      <c r="N536"/>
    </row>
    <row r="537" spans="13:14" ht="14.25" customHeight="1">
      <c r="M537"/>
      <c r="N537"/>
    </row>
    <row r="538" spans="13:14" ht="14.25" customHeight="1">
      <c r="M538"/>
      <c r="N538"/>
    </row>
    <row r="539" spans="13:14" ht="14.25" customHeight="1">
      <c r="M539"/>
      <c r="N539"/>
    </row>
    <row r="540" spans="13:14" ht="14.25" customHeight="1">
      <c r="M540"/>
      <c r="N540"/>
    </row>
    <row r="541" spans="13:14" ht="14.25" customHeight="1">
      <c r="M541"/>
      <c r="N541"/>
    </row>
    <row r="542" spans="13:14" ht="14.25" customHeight="1">
      <c r="M542"/>
      <c r="N542"/>
    </row>
    <row r="543" spans="13:14" ht="14.25" customHeight="1">
      <c r="M543"/>
      <c r="N543"/>
    </row>
    <row r="544" spans="13:14" ht="14.25" customHeight="1">
      <c r="M544"/>
      <c r="N544"/>
    </row>
    <row r="545" spans="13:14" ht="14.25" customHeight="1">
      <c r="M545"/>
      <c r="N545"/>
    </row>
    <row r="546" spans="13:14" ht="14.25" customHeight="1">
      <c r="M546"/>
      <c r="N546"/>
    </row>
    <row r="547" spans="13:14" ht="14.25" customHeight="1">
      <c r="M547"/>
      <c r="N547"/>
    </row>
    <row r="548" spans="13:14" ht="14.25" customHeight="1">
      <c r="M548"/>
      <c r="N548"/>
    </row>
    <row r="549" spans="13:14" ht="14.25" customHeight="1">
      <c r="M549"/>
      <c r="N549"/>
    </row>
    <row r="550" spans="13:14" ht="14.25" customHeight="1">
      <c r="M550"/>
      <c r="N550"/>
    </row>
    <row r="551" spans="13:14" ht="14.25" customHeight="1">
      <c r="M551"/>
      <c r="N551"/>
    </row>
    <row r="552" spans="13:14" ht="14.25" customHeight="1">
      <c r="M552"/>
      <c r="N552"/>
    </row>
    <row r="553" spans="13:14" ht="14.25" customHeight="1">
      <c r="M553"/>
      <c r="N553"/>
    </row>
    <row r="554" spans="13:14" ht="14.25" customHeight="1">
      <c r="M554"/>
      <c r="N554"/>
    </row>
    <row r="555" spans="13:14" ht="14.25" customHeight="1">
      <c r="M555"/>
      <c r="N555"/>
    </row>
    <row r="556" spans="13:14" ht="14.25" customHeight="1">
      <c r="M556"/>
      <c r="N556"/>
    </row>
    <row r="557" spans="13:14" ht="14.25" customHeight="1">
      <c r="M557"/>
      <c r="N557"/>
    </row>
    <row r="558" spans="13:14" ht="14.25" customHeight="1">
      <c r="M558"/>
      <c r="N558"/>
    </row>
    <row r="559" spans="13:14" ht="14.25" customHeight="1">
      <c r="M559"/>
      <c r="N559"/>
    </row>
    <row r="560" spans="13:14" ht="14.25" customHeight="1">
      <c r="M560"/>
      <c r="N560"/>
    </row>
    <row r="561" spans="13:14" ht="14.25" customHeight="1">
      <c r="M561"/>
      <c r="N561"/>
    </row>
    <row r="562" spans="13:14" ht="14.25" customHeight="1">
      <c r="M562"/>
      <c r="N562"/>
    </row>
    <row r="563" spans="13:14" ht="14.25" customHeight="1">
      <c r="M563"/>
      <c r="N563"/>
    </row>
    <row r="564" spans="13:14" ht="14.25" customHeight="1">
      <c r="M564"/>
      <c r="N564"/>
    </row>
    <row r="565" spans="13:14" ht="14.25" customHeight="1">
      <c r="M565"/>
      <c r="N565"/>
    </row>
    <row r="566" spans="13:14" ht="14.25" customHeight="1">
      <c r="M566"/>
      <c r="N566"/>
    </row>
    <row r="567" spans="13:14" ht="14.25" customHeight="1">
      <c r="M567"/>
      <c r="N567"/>
    </row>
    <row r="568" spans="13:14" ht="14.25" customHeight="1">
      <c r="M568"/>
      <c r="N568"/>
    </row>
    <row r="569" spans="13:14" ht="14.25" customHeight="1">
      <c r="M569"/>
      <c r="N569"/>
    </row>
    <row r="570" spans="13:14" ht="14.25" customHeight="1">
      <c r="M570"/>
      <c r="N570"/>
    </row>
    <row r="571" spans="13:14" ht="14.25" customHeight="1">
      <c r="M571"/>
      <c r="N571"/>
    </row>
    <row r="572" spans="13:14" ht="14.25" customHeight="1">
      <c r="M572"/>
      <c r="N572"/>
    </row>
    <row r="573" spans="13:14" ht="14.25" customHeight="1">
      <c r="M573"/>
      <c r="N573"/>
    </row>
    <row r="574" spans="13:14" ht="14.25" customHeight="1">
      <c r="M574"/>
      <c r="N574"/>
    </row>
    <row r="575" spans="13:14" ht="14.25" customHeight="1">
      <c r="M575"/>
      <c r="N575"/>
    </row>
    <row r="576" spans="13:14" ht="14.25" customHeight="1">
      <c r="M576"/>
      <c r="N576"/>
    </row>
    <row r="577" spans="13:14" ht="14.25" customHeight="1">
      <c r="M577"/>
      <c r="N577"/>
    </row>
    <row r="578" spans="13:14" ht="14.25" customHeight="1">
      <c r="M578"/>
      <c r="N578"/>
    </row>
    <row r="579" spans="13:14" ht="14.25" customHeight="1">
      <c r="M579"/>
      <c r="N579"/>
    </row>
    <row r="580" spans="13:14" ht="14.25" customHeight="1">
      <c r="M580"/>
      <c r="N580"/>
    </row>
    <row r="581" spans="13:14" ht="14.25" customHeight="1">
      <c r="M581"/>
      <c r="N581"/>
    </row>
    <row r="582" spans="13:14" ht="14.25" customHeight="1">
      <c r="M582"/>
      <c r="N582"/>
    </row>
    <row r="583" spans="13:14" ht="14.25" customHeight="1">
      <c r="M583"/>
      <c r="N583"/>
    </row>
    <row r="584" spans="13:14" ht="14.25" customHeight="1">
      <c r="M584"/>
      <c r="N584"/>
    </row>
    <row r="585" spans="13:14" ht="14.25" customHeight="1">
      <c r="M585"/>
      <c r="N585"/>
    </row>
    <row r="586" spans="13:14" ht="14.25" customHeight="1">
      <c r="M586"/>
      <c r="N586"/>
    </row>
    <row r="587" spans="13:14" ht="14.25" customHeight="1">
      <c r="M587"/>
      <c r="N587"/>
    </row>
    <row r="588" spans="13:14" ht="14.25" customHeight="1">
      <c r="M588"/>
      <c r="N588"/>
    </row>
    <row r="589" spans="13:14" ht="14.25" customHeight="1">
      <c r="M589"/>
      <c r="N589"/>
    </row>
    <row r="590" spans="13:14" ht="14.25" customHeight="1">
      <c r="M590"/>
      <c r="N590"/>
    </row>
    <row r="591" spans="13:14" ht="14.25" customHeight="1">
      <c r="M591"/>
      <c r="N591"/>
    </row>
    <row r="592" spans="13:14" ht="14.25" customHeight="1">
      <c r="M592"/>
      <c r="N592"/>
    </row>
    <row r="593" spans="13:14" ht="14.25" customHeight="1">
      <c r="M593"/>
      <c r="N593"/>
    </row>
    <row r="594" spans="13:14" ht="14.25" customHeight="1">
      <c r="M594"/>
      <c r="N594"/>
    </row>
    <row r="595" spans="13:14" ht="14.25" customHeight="1">
      <c r="M595"/>
      <c r="N595"/>
    </row>
    <row r="596" spans="13:14" ht="14.25" customHeight="1">
      <c r="M596"/>
      <c r="N596"/>
    </row>
    <row r="597" spans="13:14" ht="14.25" customHeight="1">
      <c r="M597"/>
      <c r="N597"/>
    </row>
    <row r="598" spans="13:14" ht="14.25" customHeight="1">
      <c r="M598"/>
      <c r="N598"/>
    </row>
    <row r="599" spans="13:14" ht="14.25" customHeight="1">
      <c r="M599"/>
      <c r="N599"/>
    </row>
    <row r="600" spans="13:14" ht="14.25" customHeight="1">
      <c r="M600"/>
      <c r="N600"/>
    </row>
    <row r="601" spans="13:14" ht="14.25" customHeight="1">
      <c r="M601"/>
      <c r="N601"/>
    </row>
    <row r="602" spans="13:14" ht="14.25" customHeight="1">
      <c r="M602"/>
      <c r="N602"/>
    </row>
    <row r="603" spans="13:14" ht="14.25" customHeight="1">
      <c r="M603"/>
      <c r="N603"/>
    </row>
    <row r="604" spans="13:14" ht="14.25" customHeight="1">
      <c r="M604"/>
      <c r="N604"/>
    </row>
    <row r="605" spans="13:14" ht="14.25" customHeight="1">
      <c r="M605"/>
      <c r="N605"/>
    </row>
    <row r="606" spans="13:14" ht="14.25" customHeight="1">
      <c r="M606"/>
      <c r="N606"/>
    </row>
    <row r="607" spans="13:14" ht="14.25" customHeight="1">
      <c r="M607"/>
      <c r="N607"/>
    </row>
    <row r="608" spans="13:14" ht="14.25" customHeight="1">
      <c r="M608"/>
      <c r="N608"/>
    </row>
    <row r="609" spans="13:14" ht="14.25" customHeight="1">
      <c r="M609"/>
      <c r="N609"/>
    </row>
    <row r="610" spans="13:14" ht="14.25" customHeight="1">
      <c r="M610"/>
      <c r="N610"/>
    </row>
    <row r="611" spans="13:14" ht="14.25" customHeight="1">
      <c r="M611"/>
      <c r="N611"/>
    </row>
    <row r="612" spans="13:14" ht="14.25" customHeight="1">
      <c r="M612"/>
      <c r="N612"/>
    </row>
    <row r="613" spans="13:14" ht="14.25" customHeight="1">
      <c r="M613"/>
      <c r="N613"/>
    </row>
    <row r="614" spans="13:14" ht="14.25" customHeight="1">
      <c r="M614"/>
      <c r="N614"/>
    </row>
    <row r="615" spans="13:14" ht="14.25" customHeight="1">
      <c r="M615"/>
      <c r="N615"/>
    </row>
    <row r="616" spans="13:14" ht="14.25" customHeight="1">
      <c r="M616"/>
      <c r="N616"/>
    </row>
    <row r="617" spans="13:14" ht="14.25" customHeight="1">
      <c r="M617"/>
      <c r="N617"/>
    </row>
    <row r="618" spans="13:14" ht="14.25" customHeight="1">
      <c r="M618"/>
      <c r="N618"/>
    </row>
    <row r="619" spans="13:14" ht="14.25" customHeight="1">
      <c r="M619"/>
      <c r="N619"/>
    </row>
    <row r="620" spans="13:14" ht="14.25" customHeight="1">
      <c r="M620"/>
      <c r="N620"/>
    </row>
    <row r="621" spans="13:14" ht="14.25" customHeight="1">
      <c r="M621"/>
      <c r="N621"/>
    </row>
    <row r="622" spans="13:14" ht="14.25" customHeight="1">
      <c r="M622"/>
      <c r="N622"/>
    </row>
    <row r="623" spans="13:14" ht="14.25" customHeight="1">
      <c r="M623"/>
      <c r="N623"/>
    </row>
    <row r="624" spans="13:14" ht="14.25" customHeight="1">
      <c r="M624"/>
      <c r="N624"/>
    </row>
    <row r="625" spans="13:14" ht="14.25" customHeight="1">
      <c r="M625"/>
      <c r="N625"/>
    </row>
    <row r="626" spans="13:14" ht="14.25" customHeight="1">
      <c r="M626"/>
      <c r="N626"/>
    </row>
    <row r="627" spans="13:14" ht="14.25" customHeight="1">
      <c r="M627"/>
      <c r="N627"/>
    </row>
    <row r="628" spans="13:14" ht="14.25" customHeight="1">
      <c r="M628"/>
      <c r="N628"/>
    </row>
    <row r="629" spans="13:14" ht="14.25" customHeight="1">
      <c r="M629"/>
      <c r="N629"/>
    </row>
    <row r="630" spans="13:14" ht="14.25" customHeight="1">
      <c r="M630"/>
      <c r="N630"/>
    </row>
    <row r="631" spans="13:14" ht="14.25" customHeight="1">
      <c r="M631"/>
      <c r="N631"/>
    </row>
    <row r="632" spans="13:14" ht="14.25" customHeight="1">
      <c r="M632"/>
      <c r="N632"/>
    </row>
    <row r="633" spans="13:14" ht="14.25" customHeight="1">
      <c r="M633"/>
      <c r="N633"/>
    </row>
    <row r="634" spans="13:14" ht="14.25" customHeight="1">
      <c r="M634"/>
      <c r="N634"/>
    </row>
    <row r="635" spans="13:14" ht="14.25" customHeight="1">
      <c r="M635"/>
      <c r="N635"/>
    </row>
    <row r="636" spans="13:14" ht="14.25" customHeight="1">
      <c r="M636"/>
      <c r="N636"/>
    </row>
    <row r="637" spans="13:14" ht="14.25" customHeight="1">
      <c r="M637"/>
      <c r="N637"/>
    </row>
    <row r="638" spans="13:14" ht="14.25" customHeight="1">
      <c r="M638"/>
      <c r="N638"/>
    </row>
    <row r="639" spans="13:14" ht="14.25" customHeight="1">
      <c r="M639"/>
      <c r="N639"/>
    </row>
    <row r="640" spans="13:14" ht="14.25" customHeight="1">
      <c r="M640"/>
      <c r="N640"/>
    </row>
    <row r="641" spans="13:14" ht="14.25" customHeight="1">
      <c r="M641"/>
      <c r="N641"/>
    </row>
    <row r="642" spans="13:14" ht="14.25" customHeight="1">
      <c r="M642"/>
      <c r="N642"/>
    </row>
    <row r="643" spans="13:14" ht="14.25" customHeight="1">
      <c r="M643"/>
      <c r="N643"/>
    </row>
    <row r="644" spans="13:14" ht="14.25" customHeight="1">
      <c r="M644"/>
      <c r="N644"/>
    </row>
    <row r="645" spans="13:14" ht="14.25" customHeight="1">
      <c r="M645"/>
      <c r="N645"/>
    </row>
    <row r="646" spans="13:14" ht="14.25" customHeight="1">
      <c r="M646"/>
      <c r="N646"/>
    </row>
    <row r="647" spans="13:14" ht="14.25" customHeight="1">
      <c r="M647"/>
      <c r="N647"/>
    </row>
    <row r="648" spans="13:14" ht="14.25" customHeight="1">
      <c r="M648"/>
      <c r="N648"/>
    </row>
    <row r="649" spans="13:14" ht="14.25" customHeight="1">
      <c r="M649"/>
      <c r="N649"/>
    </row>
    <row r="650" spans="13:14" ht="14.25" customHeight="1">
      <c r="M650"/>
      <c r="N650"/>
    </row>
    <row r="651" spans="13:14" ht="14.25" customHeight="1">
      <c r="M651"/>
      <c r="N651"/>
    </row>
    <row r="652" spans="13:14" ht="14.25" customHeight="1">
      <c r="M652"/>
      <c r="N652"/>
    </row>
    <row r="653" spans="13:14" ht="14.25" customHeight="1">
      <c r="M653"/>
      <c r="N653"/>
    </row>
    <row r="654" spans="13:14" ht="14.25" customHeight="1">
      <c r="M654"/>
      <c r="N654"/>
    </row>
    <row r="655" spans="13:14" ht="14.25" customHeight="1">
      <c r="M655"/>
      <c r="N655"/>
    </row>
    <row r="656" spans="13:14" ht="14.25" customHeight="1">
      <c r="M656"/>
      <c r="N656"/>
    </row>
    <row r="657" spans="13:14" ht="14.25" customHeight="1">
      <c r="M657"/>
      <c r="N657"/>
    </row>
    <row r="658" spans="13:14" ht="14.25" customHeight="1">
      <c r="M658"/>
      <c r="N658"/>
    </row>
    <row r="659" spans="13:14" ht="14.25" customHeight="1">
      <c r="M659"/>
      <c r="N659"/>
    </row>
    <row r="660" spans="13:14" ht="14.25" customHeight="1">
      <c r="M660"/>
      <c r="N660"/>
    </row>
    <row r="661" spans="13:14" ht="14.25" customHeight="1">
      <c r="M661"/>
      <c r="N661"/>
    </row>
    <row r="662" spans="13:14" ht="14.25" customHeight="1">
      <c r="M662"/>
      <c r="N662"/>
    </row>
    <row r="663" spans="13:14" ht="14.25" customHeight="1">
      <c r="M663"/>
      <c r="N663"/>
    </row>
    <row r="664" spans="13:14" ht="14.25" customHeight="1">
      <c r="M664"/>
      <c r="N664"/>
    </row>
    <row r="665" spans="13:14" ht="14.25" customHeight="1">
      <c r="M665"/>
      <c r="N665"/>
    </row>
    <row r="666" spans="13:14" ht="14.25" customHeight="1">
      <c r="M666"/>
      <c r="N666"/>
    </row>
    <row r="667" spans="13:14" ht="14.25" customHeight="1">
      <c r="M667"/>
      <c r="N667"/>
    </row>
    <row r="668" spans="13:14" ht="14.25" customHeight="1">
      <c r="M668"/>
      <c r="N668"/>
    </row>
    <row r="669" spans="13:14" ht="14.25" customHeight="1">
      <c r="M669"/>
      <c r="N669"/>
    </row>
    <row r="670" spans="13:14" ht="14.25" customHeight="1">
      <c r="M670"/>
      <c r="N670"/>
    </row>
    <row r="671" spans="13:14" ht="14.25" customHeight="1">
      <c r="M671"/>
      <c r="N671"/>
    </row>
    <row r="672" spans="13:14" ht="14.25" customHeight="1">
      <c r="M672"/>
      <c r="N672"/>
    </row>
    <row r="673" spans="13:14" ht="14.25" customHeight="1">
      <c r="M673"/>
      <c r="N673"/>
    </row>
    <row r="674" spans="13:14" ht="14.25" customHeight="1">
      <c r="M674"/>
      <c r="N674"/>
    </row>
    <row r="675" spans="13:14" ht="14.25" customHeight="1">
      <c r="M675"/>
      <c r="N675"/>
    </row>
    <row r="676" spans="13:14" ht="14.25" customHeight="1">
      <c r="M676"/>
      <c r="N676"/>
    </row>
    <row r="677" spans="13:14" ht="14.25" customHeight="1">
      <c r="M677"/>
      <c r="N677"/>
    </row>
    <row r="678" spans="13:14" ht="14.25" customHeight="1">
      <c r="M678"/>
      <c r="N678"/>
    </row>
    <row r="679" spans="13:14" ht="14.25" customHeight="1">
      <c r="M679"/>
      <c r="N679"/>
    </row>
    <row r="680" spans="13:14" ht="14.25" customHeight="1">
      <c r="M680"/>
      <c r="N680"/>
    </row>
    <row r="681" spans="13:14" ht="14.25" customHeight="1">
      <c r="M681"/>
      <c r="N681"/>
    </row>
    <row r="682" spans="13:14" ht="14.25" customHeight="1">
      <c r="M682"/>
      <c r="N682"/>
    </row>
    <row r="683" spans="13:14" ht="14.25" customHeight="1">
      <c r="M683"/>
      <c r="N683"/>
    </row>
    <row r="684" spans="13:14" ht="14.25" customHeight="1">
      <c r="M684"/>
      <c r="N684"/>
    </row>
    <row r="685" spans="13:14" ht="14.25" customHeight="1">
      <c r="M685"/>
      <c r="N685"/>
    </row>
    <row r="686" spans="13:14" ht="14.25" customHeight="1">
      <c r="M686"/>
      <c r="N686"/>
    </row>
    <row r="687" spans="13:14" ht="14.25" customHeight="1">
      <c r="M687"/>
      <c r="N687"/>
    </row>
    <row r="688" spans="13:14" ht="14.25" customHeight="1">
      <c r="M688"/>
      <c r="N688"/>
    </row>
    <row r="689" spans="13:14" ht="14.25" customHeight="1">
      <c r="M689"/>
      <c r="N689"/>
    </row>
    <row r="690" spans="13:14" ht="14.25" customHeight="1">
      <c r="M690"/>
      <c r="N690"/>
    </row>
    <row r="691" spans="13:14" ht="14.25" customHeight="1">
      <c r="M691"/>
      <c r="N691"/>
    </row>
    <row r="692" spans="13:14" ht="14.25" customHeight="1">
      <c r="M692"/>
      <c r="N692"/>
    </row>
    <row r="693" spans="13:14" ht="14.25" customHeight="1">
      <c r="M693"/>
      <c r="N693"/>
    </row>
    <row r="694" spans="13:14" ht="14.25" customHeight="1">
      <c r="M694"/>
      <c r="N694"/>
    </row>
    <row r="695" spans="13:14" ht="14.25" customHeight="1">
      <c r="M695"/>
      <c r="N695"/>
    </row>
    <row r="696" spans="13:14" ht="14.25" customHeight="1">
      <c r="M696"/>
      <c r="N696"/>
    </row>
    <row r="697" spans="13:14" ht="14.25" customHeight="1">
      <c r="M697"/>
      <c r="N697"/>
    </row>
    <row r="698" spans="13:14" ht="14.25" customHeight="1">
      <c r="M698"/>
      <c r="N698"/>
    </row>
    <row r="699" spans="13:14" ht="14.25" customHeight="1">
      <c r="M699"/>
      <c r="N699"/>
    </row>
    <row r="700" spans="13:14" ht="14.25" customHeight="1">
      <c r="M700"/>
      <c r="N700"/>
    </row>
    <row r="701" spans="13:14" ht="14.25" customHeight="1">
      <c r="M701"/>
      <c r="N701"/>
    </row>
    <row r="702" spans="13:14" ht="14.25" customHeight="1">
      <c r="M702"/>
      <c r="N702"/>
    </row>
    <row r="703" spans="13:14" ht="14.25" customHeight="1">
      <c r="M703"/>
      <c r="N703"/>
    </row>
    <row r="704" spans="13:14" ht="14.25" customHeight="1">
      <c r="M704"/>
      <c r="N704"/>
    </row>
    <row r="705" spans="13:14" ht="14.25" customHeight="1">
      <c r="M705"/>
      <c r="N705"/>
    </row>
    <row r="706" spans="13:14" ht="14.25" customHeight="1">
      <c r="M706"/>
      <c r="N706"/>
    </row>
    <row r="707" spans="13:14" ht="14.25" customHeight="1">
      <c r="M707"/>
      <c r="N707"/>
    </row>
    <row r="708" spans="13:14" ht="14.25" customHeight="1">
      <c r="M708"/>
      <c r="N708"/>
    </row>
    <row r="709" spans="13:14" ht="14.25" customHeight="1">
      <c r="M709"/>
      <c r="N709"/>
    </row>
    <row r="710" spans="13:14" ht="14.25" customHeight="1">
      <c r="M710"/>
      <c r="N710"/>
    </row>
    <row r="711" spans="13:14" ht="14.25" customHeight="1">
      <c r="M711"/>
      <c r="N711"/>
    </row>
    <row r="712" spans="13:14" ht="14.25" customHeight="1">
      <c r="M712"/>
      <c r="N712"/>
    </row>
    <row r="713" spans="13:14" ht="14.25" customHeight="1">
      <c r="M713"/>
      <c r="N713"/>
    </row>
    <row r="714" spans="13:14" ht="14.25" customHeight="1">
      <c r="M714"/>
      <c r="N714"/>
    </row>
    <row r="715" spans="13:14" ht="14.25" customHeight="1">
      <c r="M715"/>
      <c r="N715"/>
    </row>
    <row r="716" spans="13:14" ht="14.25" customHeight="1">
      <c r="M716"/>
      <c r="N716"/>
    </row>
    <row r="717" spans="13:14" ht="14.25" customHeight="1">
      <c r="M717"/>
      <c r="N717"/>
    </row>
    <row r="718" spans="13:14" ht="14.25" customHeight="1">
      <c r="M718"/>
      <c r="N718"/>
    </row>
    <row r="719" spans="13:14" ht="14.25" customHeight="1">
      <c r="M719"/>
      <c r="N719"/>
    </row>
    <row r="720" spans="13:14" ht="14.25" customHeight="1">
      <c r="M720"/>
      <c r="N720"/>
    </row>
    <row r="721" spans="13:14" ht="14.25" customHeight="1">
      <c r="M721"/>
      <c r="N721"/>
    </row>
    <row r="722" spans="13:14" ht="14.25" customHeight="1">
      <c r="M722"/>
      <c r="N722"/>
    </row>
    <row r="723" spans="13:14" ht="14.25" customHeight="1">
      <c r="M723"/>
      <c r="N723"/>
    </row>
    <row r="724" spans="13:14" ht="14.25" customHeight="1">
      <c r="M724"/>
      <c r="N724"/>
    </row>
    <row r="725" spans="13:14" ht="14.25" customHeight="1">
      <c r="M725"/>
      <c r="N725"/>
    </row>
    <row r="726" spans="13:14" ht="14.25" customHeight="1">
      <c r="M726"/>
      <c r="N726"/>
    </row>
    <row r="727" spans="13:14" ht="14.25" customHeight="1">
      <c r="M727"/>
      <c r="N727"/>
    </row>
    <row r="728" spans="13:14" ht="14.25" customHeight="1">
      <c r="M728"/>
      <c r="N728"/>
    </row>
    <row r="729" spans="13:14" ht="14.25" customHeight="1">
      <c r="M729"/>
      <c r="N729"/>
    </row>
    <row r="730" spans="13:14" ht="14.25" customHeight="1">
      <c r="M730"/>
      <c r="N730"/>
    </row>
    <row r="731" spans="13:14" ht="14.25" customHeight="1">
      <c r="M731"/>
      <c r="N731"/>
    </row>
    <row r="732" spans="13:14" ht="14.25" customHeight="1">
      <c r="M732"/>
      <c r="N732"/>
    </row>
    <row r="733" spans="13:14" ht="14.25" customHeight="1">
      <c r="M733"/>
      <c r="N733"/>
    </row>
    <row r="734" spans="13:14" ht="14.25" customHeight="1">
      <c r="M734"/>
      <c r="N734"/>
    </row>
    <row r="735" spans="13:14" ht="14.25" customHeight="1">
      <c r="M735"/>
      <c r="N735"/>
    </row>
    <row r="736" spans="13:14" ht="14.25" customHeight="1">
      <c r="M736"/>
      <c r="N736"/>
    </row>
    <row r="737" spans="13:14" ht="14.25" customHeight="1">
      <c r="M737"/>
      <c r="N737"/>
    </row>
    <row r="738" spans="13:14" ht="14.25" customHeight="1">
      <c r="M738"/>
      <c r="N738"/>
    </row>
    <row r="739" spans="13:14" ht="14.25" customHeight="1">
      <c r="M739"/>
      <c r="N739"/>
    </row>
    <row r="740" spans="13:14" ht="14.25" customHeight="1">
      <c r="M740"/>
      <c r="N740"/>
    </row>
    <row r="741" spans="13:14" ht="14.25" customHeight="1">
      <c r="M741"/>
      <c r="N741"/>
    </row>
    <row r="742" spans="13:14" ht="14.25" customHeight="1">
      <c r="M742"/>
      <c r="N742"/>
    </row>
    <row r="743" spans="13:14" ht="14.25" customHeight="1">
      <c r="M743"/>
      <c r="N743"/>
    </row>
    <row r="744" spans="13:14" ht="14.25" customHeight="1">
      <c r="M744"/>
      <c r="N744"/>
    </row>
    <row r="745" spans="13:14" ht="14.25" customHeight="1">
      <c r="M745"/>
      <c r="N745"/>
    </row>
    <row r="746" spans="13:14" ht="14.25" customHeight="1">
      <c r="M746"/>
      <c r="N746"/>
    </row>
    <row r="747" spans="13:14" ht="14.25" customHeight="1">
      <c r="M747"/>
      <c r="N747"/>
    </row>
    <row r="748" spans="13:14" ht="14.25" customHeight="1">
      <c r="M748"/>
      <c r="N748"/>
    </row>
    <row r="749" spans="13:14" ht="14.25" customHeight="1">
      <c r="M749"/>
      <c r="N749"/>
    </row>
    <row r="750" spans="13:14" ht="14.25" customHeight="1">
      <c r="M750"/>
      <c r="N750"/>
    </row>
    <row r="751" spans="13:14" ht="14.25" customHeight="1">
      <c r="M751"/>
      <c r="N751"/>
    </row>
    <row r="752" spans="13:14" ht="14.25" customHeight="1">
      <c r="M752"/>
      <c r="N752"/>
    </row>
    <row r="753" spans="13:14" ht="14.25" customHeight="1">
      <c r="M753"/>
      <c r="N753"/>
    </row>
    <row r="754" spans="13:14" ht="14.25" customHeight="1">
      <c r="M754"/>
      <c r="N754"/>
    </row>
    <row r="755" spans="13:14" ht="14.25" customHeight="1">
      <c r="M755"/>
      <c r="N755"/>
    </row>
    <row r="756" spans="13:14" ht="14.25" customHeight="1">
      <c r="M756"/>
      <c r="N756"/>
    </row>
    <row r="757" spans="13:14" ht="14.25" customHeight="1">
      <c r="M757"/>
      <c r="N757"/>
    </row>
    <row r="758" spans="13:14" ht="14.25" customHeight="1">
      <c r="M758"/>
      <c r="N758"/>
    </row>
    <row r="759" spans="13:14" ht="14.25" customHeight="1">
      <c r="M759"/>
      <c r="N759"/>
    </row>
    <row r="760" spans="13:14" ht="14.25" customHeight="1">
      <c r="M760"/>
      <c r="N760"/>
    </row>
    <row r="761" spans="13:14" ht="14.25" customHeight="1">
      <c r="M761"/>
      <c r="N761"/>
    </row>
    <row r="762" spans="13:14" ht="14.25" customHeight="1">
      <c r="M762"/>
      <c r="N762"/>
    </row>
    <row r="763" spans="13:14" ht="14.25" customHeight="1">
      <c r="M763"/>
      <c r="N763"/>
    </row>
    <row r="764" spans="13:14" ht="14.25" customHeight="1">
      <c r="M764"/>
      <c r="N764"/>
    </row>
    <row r="765" spans="13:14" ht="14.25" customHeight="1">
      <c r="M765"/>
      <c r="N765"/>
    </row>
    <row r="766" spans="13:14" ht="14.25" customHeight="1">
      <c r="M766"/>
      <c r="N766"/>
    </row>
    <row r="767" spans="13:14" ht="14.25" customHeight="1">
      <c r="M767"/>
      <c r="N767"/>
    </row>
    <row r="768" spans="13:14" ht="14.25" customHeight="1">
      <c r="M768"/>
      <c r="N768"/>
    </row>
    <row r="769" spans="13:14" ht="14.25" customHeight="1">
      <c r="M769"/>
      <c r="N769"/>
    </row>
    <row r="770" spans="13:14" ht="14.25" customHeight="1">
      <c r="M770"/>
      <c r="N770"/>
    </row>
    <row r="771" spans="13:14" ht="14.25" customHeight="1">
      <c r="M771"/>
      <c r="N771"/>
    </row>
    <row r="772" spans="13:14" ht="14.25" customHeight="1">
      <c r="M772"/>
      <c r="N772"/>
    </row>
    <row r="773" spans="13:14" ht="14.25" customHeight="1">
      <c r="M773"/>
      <c r="N773"/>
    </row>
    <row r="774" spans="13:14" ht="14.25" customHeight="1">
      <c r="M774"/>
      <c r="N774"/>
    </row>
    <row r="775" spans="13:14" ht="14.25" customHeight="1">
      <c r="M775"/>
      <c r="N775"/>
    </row>
    <row r="776" spans="13:14" ht="14.25" customHeight="1">
      <c r="M776"/>
      <c r="N776"/>
    </row>
    <row r="777" spans="13:14" ht="14.25" customHeight="1">
      <c r="M777"/>
      <c r="N777"/>
    </row>
    <row r="778" spans="13:14" ht="14.25" customHeight="1">
      <c r="M778"/>
      <c r="N778"/>
    </row>
    <row r="779" spans="13:14" ht="14.25" customHeight="1">
      <c r="M779"/>
      <c r="N779"/>
    </row>
    <row r="780" spans="13:14" ht="14.25" customHeight="1">
      <c r="M780"/>
      <c r="N780"/>
    </row>
    <row r="781" spans="13:14" ht="14.25" customHeight="1">
      <c r="M781"/>
      <c r="N781"/>
    </row>
    <row r="782" spans="13:14" ht="14.25" customHeight="1">
      <c r="M782"/>
      <c r="N782"/>
    </row>
    <row r="783" spans="13:14" ht="14.25" customHeight="1">
      <c r="M783"/>
      <c r="N783"/>
    </row>
    <row r="784" spans="13:14" ht="14.25" customHeight="1">
      <c r="M784"/>
      <c r="N784"/>
    </row>
    <row r="785" spans="13:14" ht="14.25" customHeight="1">
      <c r="M785"/>
      <c r="N785"/>
    </row>
    <row r="786" spans="13:14" ht="14.25" customHeight="1">
      <c r="M786"/>
      <c r="N786"/>
    </row>
    <row r="787" spans="13:14" ht="14.25" customHeight="1">
      <c r="M787"/>
      <c r="N787"/>
    </row>
    <row r="788" spans="13:14" ht="14.25" customHeight="1">
      <c r="M788"/>
      <c r="N788"/>
    </row>
    <row r="789" spans="13:14" ht="14.25" customHeight="1">
      <c r="M789"/>
      <c r="N789"/>
    </row>
    <row r="790" spans="13:14" ht="14.25" customHeight="1">
      <c r="M790"/>
      <c r="N790"/>
    </row>
    <row r="791" spans="13:14" ht="14.25" customHeight="1">
      <c r="M791"/>
      <c r="N791"/>
    </row>
    <row r="792" spans="13:14" ht="14.25" customHeight="1">
      <c r="M792"/>
      <c r="N792"/>
    </row>
    <row r="793" spans="13:14" ht="14.25" customHeight="1">
      <c r="M793"/>
      <c r="N793"/>
    </row>
    <row r="794" spans="13:14" ht="14.25" customHeight="1">
      <c r="M794"/>
      <c r="N794"/>
    </row>
    <row r="795" spans="13:14" ht="14.25" customHeight="1">
      <c r="M795"/>
      <c r="N795"/>
    </row>
    <row r="796" spans="13:14" ht="14.25" customHeight="1">
      <c r="M796"/>
      <c r="N796"/>
    </row>
    <row r="797" spans="13:14" ht="14.25" customHeight="1">
      <c r="M797"/>
      <c r="N797"/>
    </row>
    <row r="798" spans="13:14" ht="14.25" customHeight="1">
      <c r="M798"/>
      <c r="N798"/>
    </row>
    <row r="799" spans="13:14" ht="14.25" customHeight="1">
      <c r="M799"/>
      <c r="N799"/>
    </row>
    <row r="800" spans="13:14" ht="14.25" customHeight="1">
      <c r="M800"/>
      <c r="N800"/>
    </row>
    <row r="801" spans="13:14" ht="14.25" customHeight="1">
      <c r="M801"/>
      <c r="N801"/>
    </row>
    <row r="802" spans="13:14" ht="14.25" customHeight="1">
      <c r="M802"/>
      <c r="N802"/>
    </row>
    <row r="803" spans="13:14" ht="14.25" customHeight="1">
      <c r="M803"/>
      <c r="N803"/>
    </row>
    <row r="804" spans="13:14" ht="14.25" customHeight="1">
      <c r="M804"/>
      <c r="N804"/>
    </row>
    <row r="805" spans="13:14" ht="14.25" customHeight="1">
      <c r="M805"/>
      <c r="N805"/>
    </row>
    <row r="806" spans="13:14" ht="14.25" customHeight="1">
      <c r="M806"/>
      <c r="N806"/>
    </row>
    <row r="807" spans="13:14" ht="14.25" customHeight="1">
      <c r="M807"/>
      <c r="N807"/>
    </row>
    <row r="808" spans="13:14" ht="14.25" customHeight="1">
      <c r="M808"/>
      <c r="N808"/>
    </row>
    <row r="809" spans="13:14" ht="14.25" customHeight="1">
      <c r="M809"/>
      <c r="N809"/>
    </row>
    <row r="810" spans="13:14" ht="14.25" customHeight="1">
      <c r="M810"/>
      <c r="N810"/>
    </row>
    <row r="811" spans="13:14" ht="14.25" customHeight="1">
      <c r="M811"/>
      <c r="N811"/>
    </row>
    <row r="812" spans="13:14" ht="14.25" customHeight="1">
      <c r="M812"/>
      <c r="N812"/>
    </row>
    <row r="813" spans="13:14" ht="14.25" customHeight="1">
      <c r="M813"/>
      <c r="N813"/>
    </row>
    <row r="814" spans="13:14" ht="14.25" customHeight="1">
      <c r="M814"/>
      <c r="N814"/>
    </row>
    <row r="815" spans="13:14" ht="14.25" customHeight="1">
      <c r="M815"/>
      <c r="N815"/>
    </row>
    <row r="816" spans="13:14" ht="14.25" customHeight="1">
      <c r="M816"/>
      <c r="N816"/>
    </row>
    <row r="817" spans="13:14" ht="14.25" customHeight="1">
      <c r="M817"/>
      <c r="N817"/>
    </row>
    <row r="818" spans="13:14" ht="14.25" customHeight="1">
      <c r="M818"/>
      <c r="N818"/>
    </row>
    <row r="819" spans="13:14" ht="14.25" customHeight="1">
      <c r="M819"/>
      <c r="N819"/>
    </row>
    <row r="820" spans="13:14" ht="14.25" customHeight="1">
      <c r="M820"/>
      <c r="N820"/>
    </row>
    <row r="821" spans="13:14" ht="14.25" customHeight="1">
      <c r="M821"/>
      <c r="N821"/>
    </row>
    <row r="822" spans="13:14" ht="14.25" customHeight="1">
      <c r="M822"/>
      <c r="N822"/>
    </row>
    <row r="823" spans="13:14" ht="14.25" customHeight="1">
      <c r="M823"/>
      <c r="N823"/>
    </row>
    <row r="824" spans="13:14" ht="14.25" customHeight="1">
      <c r="M824"/>
      <c r="N824"/>
    </row>
    <row r="825" spans="13:14" ht="14.25" customHeight="1">
      <c r="M825"/>
      <c r="N825"/>
    </row>
    <row r="826" spans="13:14" ht="14.25" customHeight="1">
      <c r="M826"/>
      <c r="N826"/>
    </row>
    <row r="827" spans="13:14" ht="14.25" customHeight="1">
      <c r="M827"/>
      <c r="N827"/>
    </row>
    <row r="828" spans="13:14" ht="14.25" customHeight="1">
      <c r="M828"/>
      <c r="N828"/>
    </row>
    <row r="829" spans="13:14" ht="14.25" customHeight="1">
      <c r="M829"/>
      <c r="N829"/>
    </row>
    <row r="830" spans="13:14" ht="14.25" customHeight="1">
      <c r="M830"/>
      <c r="N830"/>
    </row>
    <row r="831" spans="13:14" ht="14.25" customHeight="1">
      <c r="M831"/>
      <c r="N831"/>
    </row>
    <row r="832" spans="13:14" ht="14.25" customHeight="1">
      <c r="M832"/>
      <c r="N832"/>
    </row>
    <row r="833" spans="13:14" ht="14.25" customHeight="1">
      <c r="M833"/>
      <c r="N833"/>
    </row>
    <row r="834" spans="13:14" ht="14.25" customHeight="1">
      <c r="M834"/>
      <c r="N834"/>
    </row>
    <row r="835" spans="13:14" ht="14.25" customHeight="1">
      <c r="M835"/>
      <c r="N835"/>
    </row>
    <row r="836" spans="13:14" ht="14.25" customHeight="1">
      <c r="M836"/>
      <c r="N836"/>
    </row>
    <row r="837" spans="13:14" ht="14.25" customHeight="1">
      <c r="M837"/>
      <c r="N837"/>
    </row>
    <row r="838" spans="13:14" ht="14.25" customHeight="1">
      <c r="M838"/>
      <c r="N838"/>
    </row>
    <row r="839" spans="13:14" ht="14.25" customHeight="1">
      <c r="M839"/>
      <c r="N839"/>
    </row>
    <row r="840" spans="13:14" ht="14.25" customHeight="1">
      <c r="M840"/>
      <c r="N840"/>
    </row>
    <row r="841" spans="13:14" ht="14.25" customHeight="1">
      <c r="M841"/>
      <c r="N841"/>
    </row>
    <row r="842" spans="13:14" ht="14.25" customHeight="1">
      <c r="M842"/>
      <c r="N842"/>
    </row>
    <row r="843" spans="13:14" ht="14.25" customHeight="1">
      <c r="M843"/>
      <c r="N843"/>
    </row>
    <row r="844" spans="13:14" ht="14.25" customHeight="1">
      <c r="M844"/>
      <c r="N844"/>
    </row>
    <row r="845" spans="13:14" ht="14.25" customHeight="1">
      <c r="M845"/>
      <c r="N845"/>
    </row>
    <row r="846" spans="13:14" ht="14.25" customHeight="1">
      <c r="M846"/>
      <c r="N846"/>
    </row>
    <row r="847" spans="13:14" ht="14.25" customHeight="1">
      <c r="M847"/>
      <c r="N847"/>
    </row>
    <row r="848" spans="13:14" ht="14.25" customHeight="1">
      <c r="M848"/>
      <c r="N848"/>
    </row>
    <row r="849" spans="13:14" ht="14.25" customHeight="1">
      <c r="M849"/>
      <c r="N849"/>
    </row>
    <row r="850" spans="13:14" ht="14.25" customHeight="1">
      <c r="M850"/>
      <c r="N850"/>
    </row>
    <row r="851" spans="13:14" ht="14.25" customHeight="1">
      <c r="M851"/>
      <c r="N851"/>
    </row>
    <row r="852" spans="13:14" ht="14.25" customHeight="1">
      <c r="M852"/>
      <c r="N852"/>
    </row>
    <row r="853" spans="13:14" ht="14.25" customHeight="1">
      <c r="M853"/>
      <c r="N853"/>
    </row>
    <row r="854" spans="13:14" ht="14.25" customHeight="1">
      <c r="M854"/>
      <c r="N854"/>
    </row>
    <row r="855" spans="13:14" ht="14.25" customHeight="1">
      <c r="M855"/>
      <c r="N855"/>
    </row>
    <row r="856" spans="13:14" ht="14.25" customHeight="1">
      <c r="M856"/>
      <c r="N856"/>
    </row>
    <row r="857" spans="13:14" ht="14.25" customHeight="1">
      <c r="M857"/>
      <c r="N857"/>
    </row>
    <row r="858" spans="13:14" ht="14.25" customHeight="1">
      <c r="M858"/>
      <c r="N858"/>
    </row>
    <row r="859" spans="13:14" ht="14.25" customHeight="1">
      <c r="M859"/>
      <c r="N859"/>
    </row>
    <row r="860" spans="13:14" ht="14.25" customHeight="1">
      <c r="M860"/>
      <c r="N860"/>
    </row>
    <row r="861" spans="13:14" ht="14.25" customHeight="1">
      <c r="M861"/>
      <c r="N861"/>
    </row>
    <row r="862" spans="13:14" ht="14.25" customHeight="1">
      <c r="M862"/>
      <c r="N862"/>
    </row>
    <row r="863" spans="13:14" ht="14.25" customHeight="1">
      <c r="M863"/>
      <c r="N863"/>
    </row>
    <row r="864" spans="13:14" ht="14.25" customHeight="1">
      <c r="M864"/>
      <c r="N864"/>
    </row>
    <row r="865" spans="13:14" ht="14.25" customHeight="1">
      <c r="M865"/>
      <c r="N865"/>
    </row>
    <row r="866" spans="13:14" ht="14.25" customHeight="1">
      <c r="M866"/>
      <c r="N866"/>
    </row>
    <row r="867" spans="13:14" ht="14.25" customHeight="1">
      <c r="M867"/>
      <c r="N867"/>
    </row>
    <row r="868" spans="13:14" ht="14.25" customHeight="1">
      <c r="M868"/>
      <c r="N868"/>
    </row>
    <row r="869" spans="13:14" ht="14.25" customHeight="1">
      <c r="M869"/>
      <c r="N869"/>
    </row>
    <row r="870" spans="13:14" ht="14.25" customHeight="1">
      <c r="M870"/>
      <c r="N870"/>
    </row>
    <row r="871" spans="13:14" ht="14.25" customHeight="1">
      <c r="M871"/>
      <c r="N871"/>
    </row>
    <row r="872" spans="13:14" ht="14.25" customHeight="1">
      <c r="M872"/>
      <c r="N872"/>
    </row>
    <row r="873" spans="13:14" ht="14.25" customHeight="1">
      <c r="M873"/>
      <c r="N873"/>
    </row>
    <row r="874" spans="13:14" ht="14.25" customHeight="1">
      <c r="M874"/>
      <c r="N874"/>
    </row>
    <row r="875" spans="13:14" ht="14.25" customHeight="1">
      <c r="M875"/>
      <c r="N875"/>
    </row>
    <row r="876" spans="13:14" ht="14.25" customHeight="1">
      <c r="M876"/>
      <c r="N876"/>
    </row>
    <row r="877" spans="13:14" ht="14.25" customHeight="1">
      <c r="M877"/>
      <c r="N877"/>
    </row>
    <row r="878" spans="13:14" ht="14.25" customHeight="1">
      <c r="M878"/>
      <c r="N878"/>
    </row>
    <row r="879" spans="13:14" ht="14.25" customHeight="1">
      <c r="M879"/>
      <c r="N879"/>
    </row>
    <row r="880" spans="13:14" ht="14.25" customHeight="1">
      <c r="M880"/>
      <c r="N880"/>
    </row>
    <row r="881" spans="13:14" ht="14.25" customHeight="1">
      <c r="M881"/>
      <c r="N881"/>
    </row>
    <row r="882" spans="13:14" ht="14.25" customHeight="1">
      <c r="M882"/>
      <c r="N882"/>
    </row>
    <row r="883" spans="13:14" ht="14.25" customHeight="1">
      <c r="M883"/>
      <c r="N883"/>
    </row>
    <row r="884" spans="13:14" ht="14.25" customHeight="1">
      <c r="M884"/>
      <c r="N884"/>
    </row>
    <row r="885" spans="13:14" ht="14.25" customHeight="1">
      <c r="M885"/>
      <c r="N885"/>
    </row>
    <row r="886" spans="13:14" ht="14.25" customHeight="1">
      <c r="M886"/>
      <c r="N886"/>
    </row>
    <row r="887" spans="13:14" ht="14.25" customHeight="1">
      <c r="M887"/>
      <c r="N887"/>
    </row>
    <row r="888" spans="13:14" ht="14.25" customHeight="1">
      <c r="M888"/>
      <c r="N888"/>
    </row>
    <row r="889" spans="13:14" ht="14.25" customHeight="1">
      <c r="M889"/>
      <c r="N889"/>
    </row>
    <row r="890" spans="13:14" ht="14.25" customHeight="1">
      <c r="M890"/>
      <c r="N890"/>
    </row>
    <row r="891" spans="13:14" ht="14.25" customHeight="1">
      <c r="M891"/>
      <c r="N891"/>
    </row>
    <row r="892" spans="13:14" ht="14.25" customHeight="1">
      <c r="M892"/>
      <c r="N892"/>
    </row>
    <row r="893" spans="13:14" ht="14.25" customHeight="1">
      <c r="M893"/>
      <c r="N893"/>
    </row>
    <row r="894" spans="13:14" ht="14.25" customHeight="1">
      <c r="M894"/>
      <c r="N894"/>
    </row>
    <row r="895" spans="13:14" ht="14.25" customHeight="1">
      <c r="M895"/>
      <c r="N895"/>
    </row>
    <row r="896" spans="13:14" ht="14.25" customHeight="1">
      <c r="M896"/>
      <c r="N896"/>
    </row>
    <row r="897" spans="13:14" ht="14.25" customHeight="1">
      <c r="M897"/>
      <c r="N897"/>
    </row>
    <row r="898" spans="13:14" ht="14.25" customHeight="1">
      <c r="M898"/>
      <c r="N898"/>
    </row>
    <row r="899" spans="13:14" ht="14.25" customHeight="1">
      <c r="M899"/>
      <c r="N899"/>
    </row>
    <row r="900" spans="13:14" ht="14.25" customHeight="1">
      <c r="M900"/>
      <c r="N900"/>
    </row>
    <row r="901" spans="13:14" ht="14.25" customHeight="1">
      <c r="M901"/>
      <c r="N901"/>
    </row>
    <row r="902" spans="13:14" ht="14.25" customHeight="1">
      <c r="M902"/>
      <c r="N902"/>
    </row>
    <row r="903" spans="13:14" ht="14.25" customHeight="1">
      <c r="M903"/>
      <c r="N903"/>
    </row>
    <row r="904" spans="13:14" ht="14.25" customHeight="1">
      <c r="M904"/>
      <c r="N904"/>
    </row>
    <row r="905" spans="13:14" ht="14.25" customHeight="1">
      <c r="M905"/>
      <c r="N905"/>
    </row>
    <row r="906" spans="13:14" ht="14.25" customHeight="1">
      <c r="M906"/>
      <c r="N906"/>
    </row>
    <row r="907" spans="13:14" ht="14.25" customHeight="1">
      <c r="M907"/>
      <c r="N907"/>
    </row>
    <row r="908" spans="13:14" ht="14.25" customHeight="1">
      <c r="M908"/>
      <c r="N908"/>
    </row>
    <row r="909" spans="13:14" ht="14.25" customHeight="1">
      <c r="M909"/>
      <c r="N909"/>
    </row>
    <row r="910" spans="13:14" ht="14.25" customHeight="1">
      <c r="M910"/>
      <c r="N910"/>
    </row>
    <row r="911" spans="13:14" ht="14.25" customHeight="1">
      <c r="M911"/>
      <c r="N911"/>
    </row>
    <row r="912" spans="13:14" ht="14.25" customHeight="1">
      <c r="M912"/>
      <c r="N912"/>
    </row>
    <row r="913" spans="13:14" ht="14.25" customHeight="1">
      <c r="M913"/>
      <c r="N913"/>
    </row>
    <row r="914" spans="13:14" ht="14.25" customHeight="1">
      <c r="M914"/>
      <c r="N914"/>
    </row>
    <row r="915" spans="13:14" ht="14.25" customHeight="1">
      <c r="M915"/>
      <c r="N915"/>
    </row>
    <row r="916" spans="13:14" ht="14.25" customHeight="1">
      <c r="M916"/>
      <c r="N916"/>
    </row>
    <row r="917" spans="13:14" ht="14.25" customHeight="1">
      <c r="M917"/>
      <c r="N917"/>
    </row>
    <row r="918" spans="13:14" ht="14.25" customHeight="1">
      <c r="M918"/>
      <c r="N918"/>
    </row>
    <row r="919" spans="13:14" ht="14.25" customHeight="1">
      <c r="M919"/>
      <c r="N919"/>
    </row>
    <row r="920" spans="13:14" ht="14.25" customHeight="1">
      <c r="M920"/>
      <c r="N920"/>
    </row>
    <row r="921" spans="13:14" ht="14.25" customHeight="1">
      <c r="M921"/>
      <c r="N921"/>
    </row>
    <row r="922" spans="13:14" ht="14.25" customHeight="1">
      <c r="M922"/>
      <c r="N922"/>
    </row>
    <row r="923" spans="13:14" ht="14.25" customHeight="1">
      <c r="M923"/>
      <c r="N923"/>
    </row>
    <row r="924" spans="13:14" ht="14.25" customHeight="1">
      <c r="M924"/>
      <c r="N924"/>
    </row>
    <row r="925" spans="13:14" ht="14.25" customHeight="1">
      <c r="M925"/>
      <c r="N925"/>
    </row>
    <row r="926" spans="13:14" ht="14.25" customHeight="1">
      <c r="M926"/>
      <c r="N926"/>
    </row>
    <row r="927" spans="13:14" ht="14.25" customHeight="1">
      <c r="M927"/>
      <c r="N927"/>
    </row>
    <row r="928" spans="13:14" ht="14.25" customHeight="1">
      <c r="M928"/>
      <c r="N928"/>
    </row>
    <row r="929" spans="13:14" ht="14.25" customHeight="1">
      <c r="M929"/>
      <c r="N929"/>
    </row>
    <row r="930" spans="13:14" ht="14.25" customHeight="1">
      <c r="M930"/>
      <c r="N930"/>
    </row>
    <row r="931" spans="13:14" ht="14.25" customHeight="1">
      <c r="M931"/>
      <c r="N931"/>
    </row>
    <row r="932" spans="13:14" ht="14.25" customHeight="1">
      <c r="M932"/>
      <c r="N932"/>
    </row>
    <row r="933" spans="13:14" ht="14.25" customHeight="1">
      <c r="M933"/>
      <c r="N933"/>
    </row>
    <row r="934" spans="13:14" ht="14.25" customHeight="1">
      <c r="M934"/>
      <c r="N934"/>
    </row>
    <row r="935" spans="13:14" ht="14.25" customHeight="1">
      <c r="M935"/>
      <c r="N935"/>
    </row>
    <row r="936" spans="13:14" ht="14.25" customHeight="1">
      <c r="M936"/>
      <c r="N936"/>
    </row>
    <row r="937" spans="13:14" ht="14.25" customHeight="1">
      <c r="M937"/>
      <c r="N937"/>
    </row>
    <row r="938" spans="13:14" ht="14.25" customHeight="1">
      <c r="M938"/>
      <c r="N938"/>
    </row>
    <row r="939" spans="13:14" ht="14.25" customHeight="1">
      <c r="M939"/>
      <c r="N939"/>
    </row>
    <row r="940" spans="13:14" ht="14.25" customHeight="1">
      <c r="M940"/>
      <c r="N940"/>
    </row>
    <row r="941" spans="13:14" ht="14.25" customHeight="1">
      <c r="M941"/>
      <c r="N941"/>
    </row>
    <row r="942" spans="13:14" ht="14.25" customHeight="1">
      <c r="M942"/>
      <c r="N942"/>
    </row>
    <row r="943" spans="13:14" ht="14.25" customHeight="1">
      <c r="M943"/>
      <c r="N943"/>
    </row>
    <row r="944" spans="13:14" ht="14.25" customHeight="1">
      <c r="M944"/>
      <c r="N944"/>
    </row>
    <row r="945" spans="13:14" ht="14.25" customHeight="1">
      <c r="M945"/>
      <c r="N945"/>
    </row>
    <row r="946" spans="13:14" ht="14.25" customHeight="1">
      <c r="M946"/>
      <c r="N946"/>
    </row>
    <row r="947" spans="13:14" ht="14.25" customHeight="1">
      <c r="M947"/>
      <c r="N947"/>
    </row>
    <row r="948" spans="13:14" ht="14.25" customHeight="1">
      <c r="M948"/>
      <c r="N948"/>
    </row>
    <row r="949" spans="13:14" ht="14.25" customHeight="1">
      <c r="M949"/>
      <c r="N949"/>
    </row>
    <row r="950" spans="13:14" ht="14.25" customHeight="1">
      <c r="M950"/>
      <c r="N950"/>
    </row>
    <row r="951" spans="13:14" ht="14.25" customHeight="1">
      <c r="M951"/>
      <c r="N951"/>
    </row>
    <row r="952" spans="13:14" ht="14.25" customHeight="1">
      <c r="M952"/>
      <c r="N952"/>
    </row>
    <row r="953" spans="13:14" ht="14.25" customHeight="1">
      <c r="M953"/>
      <c r="N953"/>
    </row>
    <row r="954" spans="13:14" ht="14.25" customHeight="1">
      <c r="M954"/>
      <c r="N954"/>
    </row>
    <row r="955" spans="13:14" ht="14.25" customHeight="1">
      <c r="M955"/>
      <c r="N955"/>
    </row>
    <row r="956" spans="13:14" ht="14.25" customHeight="1">
      <c r="M956"/>
      <c r="N956"/>
    </row>
    <row r="957" spans="13:14" ht="14.25" customHeight="1">
      <c r="M957"/>
      <c r="N957"/>
    </row>
    <row r="958" spans="13:14" ht="14.25" customHeight="1">
      <c r="M958"/>
      <c r="N958"/>
    </row>
    <row r="959" spans="13:14" ht="14.25" customHeight="1">
      <c r="M959"/>
      <c r="N959"/>
    </row>
    <row r="960" spans="13:14" ht="14.25" customHeight="1">
      <c r="M960"/>
      <c r="N960"/>
    </row>
    <row r="961" spans="13:14" ht="14.25" customHeight="1">
      <c r="M961"/>
      <c r="N961"/>
    </row>
    <row r="962" spans="13:14" ht="14.25" customHeight="1">
      <c r="M962"/>
      <c r="N962"/>
    </row>
    <row r="963" spans="13:14" ht="14.25" customHeight="1">
      <c r="M963"/>
      <c r="N963"/>
    </row>
    <row r="964" spans="13:14" ht="14.25" customHeight="1">
      <c r="M964"/>
      <c r="N964"/>
    </row>
    <row r="965" spans="13:14" ht="14.25" customHeight="1">
      <c r="M965"/>
      <c r="N965"/>
    </row>
    <row r="966" spans="13:14" ht="14.25" customHeight="1">
      <c r="M966"/>
      <c r="N966"/>
    </row>
    <row r="967" spans="13:14" ht="14.25" customHeight="1">
      <c r="M967"/>
      <c r="N967"/>
    </row>
    <row r="968" spans="13:14" ht="14.25" customHeight="1">
      <c r="M968"/>
      <c r="N968"/>
    </row>
    <row r="969" spans="13:14" ht="14.25" customHeight="1">
      <c r="M969"/>
      <c r="N969"/>
    </row>
    <row r="970" spans="13:14" ht="14.25" customHeight="1">
      <c r="M970"/>
      <c r="N970"/>
    </row>
    <row r="971" spans="13:14" ht="14.25" customHeight="1">
      <c r="M971"/>
      <c r="N971"/>
    </row>
    <row r="972" spans="13:14" ht="14.25" customHeight="1">
      <c r="M972"/>
      <c r="N972"/>
    </row>
    <row r="973" spans="13:14" ht="14.25" customHeight="1">
      <c r="M973"/>
      <c r="N973"/>
    </row>
    <row r="974" spans="13:14" ht="14.25" customHeight="1">
      <c r="M974"/>
      <c r="N974"/>
    </row>
    <row r="975" spans="13:14" ht="14.25" customHeight="1">
      <c r="M975"/>
      <c r="N975"/>
    </row>
    <row r="976" spans="13:14" ht="14.25" customHeight="1">
      <c r="M976"/>
      <c r="N976"/>
    </row>
    <row r="977" spans="13:14" ht="14.25" customHeight="1">
      <c r="M977"/>
      <c r="N977"/>
    </row>
    <row r="978" spans="13:14" ht="14.25" customHeight="1">
      <c r="M978"/>
      <c r="N978"/>
    </row>
    <row r="979" spans="13:14" ht="14.25" customHeight="1">
      <c r="M979"/>
      <c r="N979"/>
    </row>
    <row r="980" spans="13:14" ht="14.25" customHeight="1">
      <c r="M980"/>
      <c r="N980"/>
    </row>
    <row r="981" spans="13:14" ht="14.25" customHeight="1">
      <c r="M981"/>
      <c r="N981"/>
    </row>
    <row r="982" spans="13:14" ht="14.25" customHeight="1">
      <c r="M982"/>
      <c r="N982"/>
    </row>
    <row r="983" spans="13:14" ht="14.25" customHeight="1">
      <c r="M983"/>
      <c r="N983"/>
    </row>
    <row r="984" spans="13:14" ht="14.25" customHeight="1">
      <c r="M984"/>
      <c r="N984"/>
    </row>
    <row r="985" spans="13:14" ht="14.25" customHeight="1">
      <c r="M985"/>
      <c r="N985"/>
    </row>
    <row r="986" spans="13:14" ht="14.25" customHeight="1">
      <c r="M986"/>
      <c r="N986"/>
    </row>
    <row r="987" spans="13:14" ht="14.25" customHeight="1">
      <c r="M987"/>
      <c r="N987"/>
    </row>
    <row r="988" spans="13:14" ht="14.25" customHeight="1">
      <c r="M988"/>
      <c r="N988"/>
    </row>
    <row r="989" spans="13:14" ht="14.25" customHeight="1">
      <c r="M989"/>
      <c r="N989"/>
    </row>
    <row r="990" spans="13:14" ht="14.25" customHeight="1">
      <c r="M990"/>
      <c r="N990"/>
    </row>
    <row r="991" spans="13:14" ht="14.25" customHeight="1">
      <c r="M991"/>
      <c r="N991"/>
    </row>
    <row r="992" spans="13:14" ht="14.25" customHeight="1">
      <c r="M992"/>
      <c r="N992"/>
    </row>
    <row r="993" spans="13:14" ht="14.25" customHeight="1">
      <c r="M993"/>
      <c r="N993"/>
    </row>
    <row r="994" spans="13:14" ht="14.25" customHeight="1">
      <c r="M994"/>
      <c r="N994"/>
    </row>
    <row r="995" spans="13:14" ht="14.25" customHeight="1">
      <c r="M995"/>
      <c r="N995"/>
    </row>
    <row r="996" spans="13:14" ht="14.25" customHeight="1">
      <c r="M996"/>
      <c r="N996"/>
    </row>
    <row r="997" spans="13:14" ht="14.25" customHeight="1">
      <c r="M997"/>
      <c r="N997"/>
    </row>
    <row r="998" spans="13:14" ht="14.25" customHeight="1">
      <c r="M998"/>
      <c r="N998"/>
    </row>
    <row r="999" spans="13:14" ht="14.25" customHeight="1">
      <c r="M999"/>
      <c r="N999"/>
    </row>
    <row r="1000" spans="13:14" ht="14.25" customHeight="1">
      <c r="M1000"/>
      <c r="N1000"/>
    </row>
    <row r="1001" spans="13:14" ht="14.25" customHeight="1">
      <c r="M1001"/>
      <c r="N1001"/>
    </row>
    <row r="1002" spans="13:14" ht="14.25" customHeight="1">
      <c r="M1002"/>
      <c r="N1002"/>
    </row>
    <row r="1003" spans="13:14" ht="14.25" customHeight="1">
      <c r="M1003"/>
      <c r="N1003"/>
    </row>
    <row r="1004" spans="13:14" ht="14.25" customHeight="1">
      <c r="M1004"/>
      <c r="N1004"/>
    </row>
    <row r="1005" spans="13:14" ht="14.25" customHeight="1">
      <c r="M1005"/>
      <c r="N1005"/>
    </row>
    <row r="1006" spans="13:14" ht="14.25" customHeight="1">
      <c r="M1006"/>
      <c r="N1006"/>
    </row>
    <row r="1007" spans="13:14" ht="14.25" customHeight="1">
      <c r="M1007"/>
      <c r="N1007"/>
    </row>
    <row r="1008" spans="13:14" ht="14.25" customHeight="1">
      <c r="M1008"/>
      <c r="N1008"/>
    </row>
    <row r="1009" spans="13:14" ht="14.25" customHeight="1">
      <c r="M1009"/>
      <c r="N1009"/>
    </row>
    <row r="1010" spans="13:14" ht="14.25" customHeight="1">
      <c r="M1010"/>
      <c r="N1010"/>
    </row>
    <row r="1011" spans="13:14" ht="14.25" customHeight="1">
      <c r="M1011"/>
      <c r="N1011"/>
    </row>
    <row r="1012" spans="13:14" ht="14.25" customHeight="1">
      <c r="M1012"/>
      <c r="N1012"/>
    </row>
    <row r="1013" spans="13:14" ht="14.25" customHeight="1">
      <c r="M1013"/>
      <c r="N1013"/>
    </row>
    <row r="1014" spans="13:14" ht="14.25" customHeight="1">
      <c r="M1014"/>
      <c r="N1014"/>
    </row>
    <row r="1015" spans="13:14" ht="14.25" customHeight="1">
      <c r="M1015"/>
      <c r="N1015"/>
    </row>
    <row r="1016" spans="13:14" ht="14.25" customHeight="1">
      <c r="M1016"/>
      <c r="N1016"/>
    </row>
    <row r="1017" spans="13:14" ht="14.25" customHeight="1">
      <c r="M1017"/>
      <c r="N1017"/>
    </row>
    <row r="1018" spans="13:14" ht="14.25" customHeight="1">
      <c r="M1018"/>
      <c r="N1018"/>
    </row>
    <row r="1019" spans="13:14" ht="14.25" customHeight="1">
      <c r="M1019"/>
      <c r="N1019"/>
    </row>
    <row r="1020" spans="13:14" ht="14.25" customHeight="1">
      <c r="M1020"/>
      <c r="N1020"/>
    </row>
    <row r="1021" spans="13:14" ht="14.25" customHeight="1">
      <c r="M1021"/>
      <c r="N1021"/>
    </row>
    <row r="1022" spans="13:14" ht="14.25" customHeight="1">
      <c r="M1022"/>
      <c r="N1022"/>
    </row>
    <row r="1023" spans="13:14" ht="14.25" customHeight="1">
      <c r="M1023"/>
      <c r="N1023"/>
    </row>
    <row r="1024" spans="13:14" ht="14.25" customHeight="1">
      <c r="M1024"/>
      <c r="N1024"/>
    </row>
    <row r="1025" spans="13:14" ht="14.25" customHeight="1">
      <c r="M1025"/>
      <c r="N1025"/>
    </row>
    <row r="1026" spans="13:14" ht="14.25" customHeight="1">
      <c r="M1026"/>
      <c r="N1026"/>
    </row>
    <row r="1027" spans="13:14" ht="14.25" customHeight="1">
      <c r="M1027"/>
      <c r="N1027"/>
    </row>
    <row r="1028" spans="13:14" ht="14.25" customHeight="1">
      <c r="M1028"/>
      <c r="N1028"/>
    </row>
    <row r="1029" spans="13:14" ht="14.25" customHeight="1">
      <c r="M1029"/>
      <c r="N1029"/>
    </row>
    <row r="1030" spans="13:14" ht="14.25" customHeight="1">
      <c r="M1030"/>
      <c r="N1030"/>
    </row>
    <row r="1031" spans="13:14" ht="14.25" customHeight="1">
      <c r="M1031"/>
      <c r="N1031"/>
    </row>
    <row r="1032" spans="13:14" ht="14.25" customHeight="1">
      <c r="M1032"/>
      <c r="N1032"/>
    </row>
    <row r="1033" spans="13:14" ht="14.25" customHeight="1">
      <c r="M1033"/>
      <c r="N1033"/>
    </row>
    <row r="1034" spans="13:14" ht="14.25" customHeight="1">
      <c r="M1034"/>
      <c r="N1034"/>
    </row>
    <row r="1035" spans="13:14" ht="14.25" customHeight="1">
      <c r="M1035"/>
      <c r="N1035"/>
    </row>
    <row r="1036" spans="13:14" ht="14.25" customHeight="1">
      <c r="M1036"/>
      <c r="N1036"/>
    </row>
    <row r="1037" spans="13:14" ht="14.25" customHeight="1">
      <c r="M1037"/>
      <c r="N1037"/>
    </row>
    <row r="1038" spans="13:14" ht="14.25" customHeight="1">
      <c r="M1038"/>
      <c r="N1038"/>
    </row>
    <row r="1039" spans="13:14" ht="14.25" customHeight="1">
      <c r="M1039"/>
      <c r="N1039"/>
    </row>
    <row r="1040" spans="13:14" ht="14.25" customHeight="1">
      <c r="M1040"/>
      <c r="N1040"/>
    </row>
    <row r="1041" spans="13:14" ht="14.25" customHeight="1">
      <c r="M1041"/>
      <c r="N1041"/>
    </row>
    <row r="1042" spans="13:14" ht="14.25" customHeight="1">
      <c r="M1042"/>
      <c r="N1042"/>
    </row>
    <row r="1043" spans="13:14" ht="14.25" customHeight="1">
      <c r="M1043"/>
      <c r="N1043"/>
    </row>
    <row r="1044" spans="13:14" ht="14.25" customHeight="1">
      <c r="M1044"/>
      <c r="N1044"/>
    </row>
    <row r="1045" spans="13:14" ht="14.25" customHeight="1">
      <c r="M1045"/>
      <c r="N1045"/>
    </row>
    <row r="1046" spans="13:14" ht="14.25" customHeight="1">
      <c r="M1046"/>
      <c r="N1046"/>
    </row>
    <row r="1047" spans="13:14" ht="14.25" customHeight="1">
      <c r="M1047"/>
      <c r="N1047"/>
    </row>
    <row r="1048" spans="13:14" ht="14.25" customHeight="1">
      <c r="M1048"/>
      <c r="N1048"/>
    </row>
    <row r="1049" spans="13:14" ht="14.25" customHeight="1">
      <c r="M1049"/>
      <c r="N1049"/>
    </row>
    <row r="1050" spans="13:14" ht="14.25" customHeight="1">
      <c r="M1050"/>
      <c r="N1050"/>
    </row>
    <row r="1051" spans="13:14" ht="14.25" customHeight="1">
      <c r="M1051"/>
      <c r="N1051"/>
    </row>
    <row r="1052" spans="13:14" ht="14.25" customHeight="1">
      <c r="M1052"/>
      <c r="N1052"/>
    </row>
    <row r="1053" spans="13:14" ht="14.25" customHeight="1">
      <c r="M1053"/>
      <c r="N1053"/>
    </row>
    <row r="1054" spans="13:14" ht="14.25" customHeight="1">
      <c r="M1054"/>
      <c r="N1054"/>
    </row>
    <row r="1055" spans="13:14" ht="14.25" customHeight="1">
      <c r="M1055"/>
      <c r="N1055"/>
    </row>
    <row r="1056" spans="13:14" ht="14.25" customHeight="1">
      <c r="M1056"/>
      <c r="N1056"/>
    </row>
    <row r="1057" spans="13:14" ht="14.25" customHeight="1">
      <c r="M1057"/>
      <c r="N1057"/>
    </row>
    <row r="1058" spans="13:14" ht="14.25" customHeight="1">
      <c r="M1058"/>
      <c r="N1058"/>
    </row>
    <row r="1059" spans="13:14" ht="14.25" customHeight="1">
      <c r="M1059"/>
      <c r="N1059"/>
    </row>
    <row r="1060" spans="13:14" ht="14.25" customHeight="1">
      <c r="M1060"/>
      <c r="N1060"/>
    </row>
    <row r="1061" spans="13:14" ht="14.25" customHeight="1">
      <c r="M1061"/>
      <c r="N1061"/>
    </row>
    <row r="1062" spans="13:14" ht="14.25" customHeight="1">
      <c r="M1062"/>
      <c r="N1062"/>
    </row>
    <row r="1063" spans="13:14" ht="14.25" customHeight="1">
      <c r="M1063"/>
      <c r="N1063"/>
    </row>
    <row r="1064" spans="13:14" ht="14.25" customHeight="1">
      <c r="M1064"/>
      <c r="N1064"/>
    </row>
    <row r="1065" spans="13:14" ht="14.25" customHeight="1">
      <c r="M1065"/>
      <c r="N1065"/>
    </row>
    <row r="1066" spans="13:14" ht="14.25" customHeight="1">
      <c r="M1066"/>
      <c r="N1066"/>
    </row>
    <row r="1067" spans="13:14" ht="14.25" customHeight="1">
      <c r="M1067"/>
      <c r="N1067"/>
    </row>
    <row r="1068" spans="13:14" ht="14.25" customHeight="1">
      <c r="M1068"/>
      <c r="N1068"/>
    </row>
    <row r="1069" spans="13:14" ht="14.25" customHeight="1">
      <c r="M1069"/>
      <c r="N1069"/>
    </row>
    <row r="1070" spans="13:14" ht="14.25" customHeight="1">
      <c r="M1070"/>
      <c r="N1070"/>
    </row>
    <row r="1071" spans="13:14" ht="14.25" customHeight="1">
      <c r="M1071"/>
      <c r="N1071"/>
    </row>
    <row r="1072" spans="13:14" ht="14.25" customHeight="1">
      <c r="M1072"/>
      <c r="N1072"/>
    </row>
    <row r="1073" spans="13:14" ht="14.25" customHeight="1">
      <c r="M1073"/>
      <c r="N1073"/>
    </row>
    <row r="1074" spans="13:14" ht="14.25" customHeight="1">
      <c r="M1074"/>
      <c r="N1074"/>
    </row>
    <row r="1075" spans="13:14" ht="14.25" customHeight="1">
      <c r="M1075"/>
      <c r="N1075"/>
    </row>
    <row r="1076" spans="13:14" ht="14.25" customHeight="1">
      <c r="M1076"/>
      <c r="N1076"/>
    </row>
    <row r="1077" spans="13:14" ht="14.25" customHeight="1">
      <c r="M1077"/>
      <c r="N1077"/>
    </row>
    <row r="1078" spans="13:14" ht="14.25" customHeight="1">
      <c r="M1078"/>
      <c r="N1078"/>
    </row>
    <row r="1079" spans="13:14" ht="14.25" customHeight="1">
      <c r="M1079"/>
      <c r="N1079"/>
    </row>
    <row r="1080" spans="13:14" ht="14.25" customHeight="1">
      <c r="M1080"/>
      <c r="N1080"/>
    </row>
    <row r="1081" spans="13:14" ht="14.25" customHeight="1">
      <c r="M1081"/>
      <c r="N1081"/>
    </row>
    <row r="1082" spans="13:14" ht="14.25" customHeight="1">
      <c r="M1082"/>
      <c r="N1082"/>
    </row>
    <row r="1083" spans="13:14" ht="14.25" customHeight="1">
      <c r="M1083"/>
      <c r="N1083"/>
    </row>
    <row r="1084" spans="13:14" ht="14.25" customHeight="1">
      <c r="M1084"/>
      <c r="N1084"/>
    </row>
    <row r="1085" spans="13:14" ht="14.25" customHeight="1">
      <c r="M1085"/>
      <c r="N1085"/>
    </row>
    <row r="1086" spans="13:14" ht="14.25" customHeight="1">
      <c r="M1086"/>
      <c r="N1086"/>
    </row>
    <row r="1087" spans="13:14" ht="14.25" customHeight="1">
      <c r="M1087"/>
      <c r="N1087"/>
    </row>
    <row r="1088" spans="13:14" ht="14.25" customHeight="1">
      <c r="M1088"/>
      <c r="N1088"/>
    </row>
    <row r="1089" spans="13:14" ht="14.25" customHeight="1">
      <c r="M1089"/>
      <c r="N1089"/>
    </row>
    <row r="1090" spans="13:14" ht="14.25" customHeight="1">
      <c r="M1090"/>
      <c r="N1090"/>
    </row>
    <row r="1091" spans="13:14" ht="14.25" customHeight="1">
      <c r="M1091"/>
      <c r="N1091"/>
    </row>
    <row r="1092" spans="13:14" ht="14.25" customHeight="1">
      <c r="M1092"/>
      <c r="N1092"/>
    </row>
    <row r="1093" spans="13:14" ht="14.25" customHeight="1">
      <c r="M1093"/>
      <c r="N1093"/>
    </row>
    <row r="1094" spans="13:14" ht="14.25" customHeight="1">
      <c r="M1094"/>
      <c r="N1094"/>
    </row>
    <row r="1095" spans="13:14" ht="14.25" customHeight="1">
      <c r="M1095"/>
      <c r="N1095"/>
    </row>
    <row r="1096" spans="13:14" ht="14.25" customHeight="1">
      <c r="M1096"/>
      <c r="N1096"/>
    </row>
    <row r="1097" spans="13:14" ht="14.25" customHeight="1">
      <c r="M1097"/>
      <c r="N1097"/>
    </row>
    <row r="1098" spans="13:14" ht="14.25" customHeight="1">
      <c r="M1098"/>
      <c r="N1098"/>
    </row>
    <row r="1099" spans="13:14" ht="14.25" customHeight="1">
      <c r="M1099"/>
      <c r="N1099"/>
    </row>
    <row r="1100" spans="13:14" ht="14.25" customHeight="1">
      <c r="M1100"/>
      <c r="N1100"/>
    </row>
    <row r="1101" spans="13:14" ht="14.25" customHeight="1">
      <c r="M1101"/>
      <c r="N1101"/>
    </row>
    <row r="1102" spans="13:14" ht="14.25" customHeight="1">
      <c r="M1102"/>
      <c r="N1102"/>
    </row>
    <row r="1103" spans="13:14" ht="14.25" customHeight="1">
      <c r="M1103"/>
      <c r="N1103"/>
    </row>
    <row r="1104" spans="13:14" ht="14.25" customHeight="1">
      <c r="M1104"/>
      <c r="N1104"/>
    </row>
    <row r="1105" spans="13:14" ht="14.25" customHeight="1">
      <c r="M1105"/>
      <c r="N1105"/>
    </row>
    <row r="1106" spans="13:14" ht="14.25" customHeight="1">
      <c r="M1106"/>
      <c r="N1106"/>
    </row>
    <row r="1107" spans="13:14" ht="14.25" customHeight="1">
      <c r="M1107"/>
      <c r="N1107"/>
    </row>
    <row r="1108" spans="13:14" ht="14.25" customHeight="1">
      <c r="M1108"/>
      <c r="N1108"/>
    </row>
    <row r="1109" spans="13:14" ht="14.25" customHeight="1">
      <c r="M1109"/>
      <c r="N1109"/>
    </row>
    <row r="1110" spans="13:14" ht="14.25" customHeight="1">
      <c r="M1110"/>
      <c r="N1110"/>
    </row>
    <row r="1111" spans="13:14" ht="14.25" customHeight="1">
      <c r="M1111"/>
      <c r="N1111"/>
    </row>
    <row r="1112" spans="13:14" ht="14.25" customHeight="1">
      <c r="M1112"/>
      <c r="N1112"/>
    </row>
    <row r="1113" spans="13:14" ht="14.25" customHeight="1">
      <c r="M1113"/>
      <c r="N1113"/>
    </row>
    <row r="1114" spans="13:14" ht="14.25" customHeight="1">
      <c r="M1114"/>
      <c r="N1114"/>
    </row>
    <row r="1115" spans="13:14" ht="14.25" customHeight="1">
      <c r="M1115"/>
      <c r="N1115"/>
    </row>
    <row r="1116" spans="13:14" ht="14.25" customHeight="1">
      <c r="M1116"/>
      <c r="N1116"/>
    </row>
    <row r="1117" spans="13:14" ht="14.25" customHeight="1">
      <c r="M1117"/>
      <c r="N1117"/>
    </row>
    <row r="1118" spans="13:14" ht="14.25" customHeight="1">
      <c r="M1118"/>
      <c r="N1118"/>
    </row>
    <row r="1119" spans="13:14" ht="14.25" customHeight="1">
      <c r="M1119"/>
      <c r="N1119"/>
    </row>
    <row r="1120" spans="13:14" ht="14.25" customHeight="1">
      <c r="M1120"/>
      <c r="N1120"/>
    </row>
    <row r="1121" spans="13:14" ht="14.25" customHeight="1">
      <c r="M1121"/>
      <c r="N1121"/>
    </row>
    <row r="1122" spans="13:14" ht="14.25" customHeight="1">
      <c r="M1122"/>
      <c r="N1122"/>
    </row>
    <row r="1123" spans="13:14" ht="14.25" customHeight="1">
      <c r="M1123"/>
      <c r="N1123"/>
    </row>
    <row r="1124" spans="13:14" ht="14.25" customHeight="1">
      <c r="M1124"/>
      <c r="N1124"/>
    </row>
    <row r="1125" spans="13:14" ht="14.25" customHeight="1">
      <c r="M1125"/>
      <c r="N1125"/>
    </row>
    <row r="1126" spans="13:14" ht="14.25" customHeight="1">
      <c r="M1126"/>
      <c r="N1126"/>
    </row>
    <row r="1127" spans="13:14" ht="14.25" customHeight="1">
      <c r="M1127"/>
      <c r="N1127"/>
    </row>
    <row r="1128" spans="13:14" ht="14.25" customHeight="1">
      <c r="M1128"/>
      <c r="N1128"/>
    </row>
    <row r="1129" spans="13:14" ht="14.25" customHeight="1">
      <c r="M1129"/>
      <c r="N1129"/>
    </row>
    <row r="1130" spans="13:14" ht="14.25" customHeight="1">
      <c r="M1130"/>
      <c r="N1130"/>
    </row>
    <row r="1131" spans="13:14" ht="14.25" customHeight="1">
      <c r="M1131"/>
      <c r="N1131"/>
    </row>
    <row r="1132" spans="13:14" ht="14.25" customHeight="1">
      <c r="M1132"/>
      <c r="N1132"/>
    </row>
    <row r="1133" spans="13:14" ht="14.25" customHeight="1">
      <c r="M1133"/>
      <c r="N1133"/>
    </row>
    <row r="1134" spans="13:14" ht="14.25" customHeight="1">
      <c r="M1134"/>
      <c r="N1134"/>
    </row>
    <row r="1135" spans="13:14" ht="14.25" customHeight="1">
      <c r="M1135"/>
      <c r="N1135"/>
    </row>
    <row r="1136" spans="13:14" ht="14.25" customHeight="1">
      <c r="M1136"/>
      <c r="N1136"/>
    </row>
    <row r="1137" spans="13:14" ht="14.25" customHeight="1">
      <c r="M1137"/>
      <c r="N1137"/>
    </row>
    <row r="1138" spans="13:14" ht="14.25" customHeight="1">
      <c r="M1138"/>
      <c r="N1138"/>
    </row>
    <row r="1139" spans="13:14" ht="14.25" customHeight="1">
      <c r="M1139"/>
      <c r="N1139"/>
    </row>
    <row r="1140" spans="13:14" ht="14.25" customHeight="1">
      <c r="M1140"/>
      <c r="N1140"/>
    </row>
    <row r="1141" spans="13:14" ht="14.25" customHeight="1">
      <c r="M1141"/>
      <c r="N1141"/>
    </row>
    <row r="1142" spans="13:14" ht="14.25" customHeight="1">
      <c r="M1142"/>
      <c r="N1142"/>
    </row>
    <row r="1143" spans="13:14" ht="14.25" customHeight="1">
      <c r="M1143"/>
      <c r="N1143"/>
    </row>
    <row r="1144" spans="13:14" ht="14.25" customHeight="1">
      <c r="M1144"/>
      <c r="N1144"/>
    </row>
    <row r="1145" spans="13:14" ht="14.25" customHeight="1">
      <c r="M1145"/>
      <c r="N1145"/>
    </row>
    <row r="1146" spans="13:14" ht="14.25" customHeight="1">
      <c r="M1146"/>
      <c r="N1146"/>
    </row>
    <row r="1147" spans="13:14" ht="14.25" customHeight="1">
      <c r="M1147"/>
      <c r="N1147"/>
    </row>
    <row r="1148" spans="13:14" ht="14.25" customHeight="1">
      <c r="M1148"/>
      <c r="N1148"/>
    </row>
    <row r="1149" spans="13:14" ht="14.25" customHeight="1">
      <c r="M1149"/>
      <c r="N1149"/>
    </row>
    <row r="1150" spans="13:14" ht="14.25" customHeight="1">
      <c r="M1150"/>
      <c r="N1150"/>
    </row>
    <row r="1151" spans="13:14" ht="14.25" customHeight="1">
      <c r="M1151"/>
      <c r="N1151"/>
    </row>
    <row r="1152" spans="13:14" ht="14.25" customHeight="1">
      <c r="M1152"/>
      <c r="N1152"/>
    </row>
    <row r="1153" spans="13:14" ht="14.25" customHeight="1">
      <c r="M1153"/>
      <c r="N1153"/>
    </row>
    <row r="1154" spans="13:14" ht="14.25" customHeight="1">
      <c r="M1154"/>
      <c r="N1154"/>
    </row>
    <row r="1155" spans="13:14" ht="14.25" customHeight="1">
      <c r="M1155"/>
      <c r="N1155"/>
    </row>
    <row r="1156" spans="13:14" ht="14.25" customHeight="1">
      <c r="M1156"/>
      <c r="N1156"/>
    </row>
    <row r="1157" spans="13:14" ht="14.25" customHeight="1">
      <c r="M1157"/>
      <c r="N1157"/>
    </row>
    <row r="1158" spans="13:14" ht="14.25" customHeight="1">
      <c r="M1158"/>
      <c r="N1158"/>
    </row>
    <row r="1159" spans="13:14" ht="14.25" customHeight="1">
      <c r="M1159"/>
      <c r="N1159"/>
    </row>
    <row r="1160" spans="13:14" ht="14.25" customHeight="1">
      <c r="M1160"/>
      <c r="N1160"/>
    </row>
    <row r="1161" spans="13:14" ht="14.25" customHeight="1">
      <c r="M1161"/>
      <c r="N1161"/>
    </row>
    <row r="1162" spans="13:14" ht="14.25" customHeight="1">
      <c r="M1162"/>
      <c r="N1162"/>
    </row>
    <row r="1163" spans="13:14" ht="14.25" customHeight="1">
      <c r="M1163"/>
      <c r="N1163"/>
    </row>
    <row r="1164" spans="13:14" ht="14.25" customHeight="1">
      <c r="M1164"/>
      <c r="N1164"/>
    </row>
    <row r="1165" spans="13:14" ht="14.25" customHeight="1">
      <c r="M1165"/>
      <c r="N1165"/>
    </row>
    <row r="1166" spans="13:14" ht="14.25" customHeight="1">
      <c r="M1166"/>
      <c r="N1166"/>
    </row>
    <row r="1167" spans="13:14" ht="14.25" customHeight="1">
      <c r="M1167"/>
      <c r="N1167"/>
    </row>
    <row r="1168" spans="13:14" ht="14.25" customHeight="1">
      <c r="M1168"/>
      <c r="N1168"/>
    </row>
    <row r="1169" spans="13:14" ht="14.25" customHeight="1">
      <c r="M1169"/>
      <c r="N1169"/>
    </row>
    <row r="1170" spans="13:14" ht="14.25" customHeight="1">
      <c r="M1170"/>
      <c r="N1170"/>
    </row>
    <row r="1171" spans="13:14" ht="14.25" customHeight="1">
      <c r="M1171"/>
      <c r="N1171"/>
    </row>
    <row r="1172" spans="13:14" ht="14.25" customHeight="1">
      <c r="M1172"/>
      <c r="N1172"/>
    </row>
    <row r="1173" spans="13:14" ht="14.25" customHeight="1">
      <c r="M1173"/>
      <c r="N1173"/>
    </row>
    <row r="1174" spans="13:14" ht="14.25" customHeight="1">
      <c r="M1174"/>
      <c r="N1174"/>
    </row>
    <row r="1175" spans="13:14" ht="14.25" customHeight="1">
      <c r="M1175"/>
      <c r="N1175"/>
    </row>
    <row r="1176" spans="13:14" ht="14.25" customHeight="1">
      <c r="M1176"/>
      <c r="N1176"/>
    </row>
    <row r="1177" spans="13:14" ht="14.25" customHeight="1">
      <c r="M1177"/>
      <c r="N1177"/>
    </row>
    <row r="1178" spans="13:14" ht="14.25" customHeight="1">
      <c r="M1178"/>
      <c r="N1178"/>
    </row>
    <row r="1179" spans="13:14" ht="14.25" customHeight="1">
      <c r="M1179"/>
      <c r="N1179"/>
    </row>
    <row r="1180" spans="13:14" ht="14.25" customHeight="1">
      <c r="M1180"/>
      <c r="N1180"/>
    </row>
    <row r="1181" spans="13:14" ht="14.25" customHeight="1">
      <c r="M1181"/>
      <c r="N1181"/>
    </row>
    <row r="1182" spans="13:14" ht="14.25" customHeight="1">
      <c r="M1182"/>
      <c r="N1182"/>
    </row>
    <row r="1183" spans="13:14" ht="14.25" customHeight="1">
      <c r="M1183"/>
      <c r="N1183"/>
    </row>
    <row r="1184" spans="13:14" ht="14.25" customHeight="1">
      <c r="M1184"/>
      <c r="N1184"/>
    </row>
    <row r="1185" spans="13:14" ht="14.25" customHeight="1">
      <c r="M1185"/>
      <c r="N1185"/>
    </row>
    <row r="1186" spans="13:14" ht="14.25" customHeight="1">
      <c r="M1186"/>
      <c r="N1186"/>
    </row>
    <row r="1187" spans="13:14" ht="14.25" customHeight="1">
      <c r="M1187"/>
      <c r="N1187"/>
    </row>
    <row r="1188" spans="13:14" ht="14.25" customHeight="1">
      <c r="M1188"/>
      <c r="N1188"/>
    </row>
    <row r="1189" spans="13:14" ht="14.25" customHeight="1">
      <c r="M1189"/>
      <c r="N1189"/>
    </row>
    <row r="1190" spans="13:14" ht="14.25" customHeight="1">
      <c r="M1190"/>
      <c r="N1190"/>
    </row>
    <row r="1191" spans="13:14" ht="14.25" customHeight="1">
      <c r="M1191"/>
      <c r="N1191"/>
    </row>
    <row r="1192" spans="13:14" ht="14.25" customHeight="1">
      <c r="M1192"/>
      <c r="N1192"/>
    </row>
    <row r="1193" spans="13:14" ht="14.25" customHeight="1">
      <c r="M1193"/>
      <c r="N1193"/>
    </row>
    <row r="1194" spans="13:14" ht="14.25" customHeight="1">
      <c r="M1194"/>
      <c r="N1194"/>
    </row>
    <row r="1195" spans="13:14" ht="14.25" customHeight="1">
      <c r="M1195"/>
      <c r="N1195"/>
    </row>
    <row r="1196" spans="13:14" ht="14.25" customHeight="1">
      <c r="M1196"/>
      <c r="N1196"/>
    </row>
    <row r="1197" spans="13:14" ht="14.25" customHeight="1">
      <c r="M1197"/>
      <c r="N1197"/>
    </row>
    <row r="1198" spans="13:14" ht="14.25" customHeight="1">
      <c r="M1198"/>
      <c r="N1198"/>
    </row>
    <row r="1199" spans="13:14" ht="14.25" customHeight="1">
      <c r="M1199"/>
      <c r="N1199"/>
    </row>
    <row r="1200" spans="13:14" ht="14.25" customHeight="1">
      <c r="M1200"/>
      <c r="N1200"/>
    </row>
    <row r="1201" spans="13:14" ht="14.25" customHeight="1">
      <c r="M1201"/>
      <c r="N1201"/>
    </row>
    <row r="1202" spans="13:14" ht="14.25" customHeight="1">
      <c r="M1202"/>
      <c r="N1202"/>
    </row>
    <row r="1203" spans="13:14" ht="14.25" customHeight="1">
      <c r="M1203"/>
      <c r="N1203"/>
    </row>
    <row r="1204" spans="13:14" ht="14.25" customHeight="1">
      <c r="M1204"/>
      <c r="N1204"/>
    </row>
    <row r="1205" spans="13:14" ht="14.25" customHeight="1">
      <c r="M1205"/>
      <c r="N1205"/>
    </row>
    <row r="1206" spans="13:14" ht="14.25" customHeight="1">
      <c r="M1206"/>
      <c r="N1206"/>
    </row>
    <row r="1207" spans="13:14" ht="14.25" customHeight="1">
      <c r="M1207"/>
      <c r="N1207"/>
    </row>
    <row r="1208" spans="13:14" ht="14.25" customHeight="1">
      <c r="M1208"/>
      <c r="N1208"/>
    </row>
    <row r="1209" spans="13:14" ht="14.25" customHeight="1">
      <c r="M1209"/>
      <c r="N1209"/>
    </row>
    <row r="1210" spans="13:14" ht="14.25" customHeight="1">
      <c r="M1210"/>
      <c r="N1210"/>
    </row>
    <row r="1211" spans="13:14" ht="14.25" customHeight="1">
      <c r="M1211"/>
      <c r="N1211"/>
    </row>
    <row r="1212" spans="13:14" ht="14.25" customHeight="1">
      <c r="M1212"/>
      <c r="N1212"/>
    </row>
    <row r="1213" spans="13:14" ht="14.25" customHeight="1">
      <c r="M1213"/>
      <c r="N1213"/>
    </row>
    <row r="1214" spans="13:14" ht="14.25" customHeight="1">
      <c r="M1214"/>
      <c r="N1214"/>
    </row>
    <row r="1215" spans="13:14" ht="14.25" customHeight="1">
      <c r="M1215"/>
      <c r="N1215"/>
    </row>
    <row r="1216" spans="13:14" ht="14.25" customHeight="1">
      <c r="M1216"/>
      <c r="N1216"/>
    </row>
    <row r="1217" spans="13:14" ht="14.25" customHeight="1">
      <c r="M1217"/>
      <c r="N1217"/>
    </row>
    <row r="1218" spans="13:14" ht="14.25" customHeight="1">
      <c r="M1218"/>
      <c r="N1218"/>
    </row>
    <row r="1219" spans="13:14" ht="14.25" customHeight="1">
      <c r="M1219"/>
      <c r="N1219"/>
    </row>
    <row r="1220" spans="13:14" ht="14.25" customHeight="1">
      <c r="M1220"/>
      <c r="N1220"/>
    </row>
    <row r="1221" spans="13:14" ht="14.25" customHeight="1">
      <c r="M1221"/>
      <c r="N1221"/>
    </row>
    <row r="1222" spans="13:14" ht="14.25" customHeight="1">
      <c r="M1222"/>
      <c r="N1222"/>
    </row>
    <row r="1223" spans="13:14" ht="14.25" customHeight="1">
      <c r="M1223"/>
      <c r="N1223"/>
    </row>
    <row r="1224" spans="13:14" ht="14.25" customHeight="1">
      <c r="M1224"/>
      <c r="N1224"/>
    </row>
    <row r="1225" spans="13:14" ht="14.25" customHeight="1">
      <c r="M1225"/>
      <c r="N1225"/>
    </row>
    <row r="1226" spans="13:14" ht="14.25" customHeight="1">
      <c r="M1226"/>
      <c r="N1226"/>
    </row>
    <row r="1227" spans="13:14" ht="14.25" customHeight="1">
      <c r="M1227"/>
      <c r="N1227"/>
    </row>
    <row r="1228" spans="13:14" ht="14.25" customHeight="1">
      <c r="M1228"/>
      <c r="N1228"/>
    </row>
    <row r="1229" spans="13:14" ht="14.25" customHeight="1">
      <c r="M1229"/>
      <c r="N1229"/>
    </row>
    <row r="1230" spans="13:14" ht="14.25" customHeight="1">
      <c r="M1230"/>
      <c r="N1230"/>
    </row>
    <row r="1231" spans="13:14" ht="14.25" customHeight="1">
      <c r="M1231"/>
      <c r="N1231"/>
    </row>
    <row r="1232" spans="13:14" ht="14.25" customHeight="1">
      <c r="M1232"/>
      <c r="N1232"/>
    </row>
    <row r="1233" spans="13:14" ht="14.25" customHeight="1">
      <c r="M1233"/>
      <c r="N1233"/>
    </row>
    <row r="1234" spans="13:14" ht="14.25" customHeight="1">
      <c r="M1234"/>
      <c r="N1234"/>
    </row>
    <row r="1235" spans="13:14" ht="14.25" customHeight="1">
      <c r="M1235"/>
      <c r="N1235"/>
    </row>
    <row r="1236" spans="13:14" ht="14.25" customHeight="1">
      <c r="M1236"/>
      <c r="N1236"/>
    </row>
    <row r="1237" spans="13:14" ht="14.25" customHeight="1">
      <c r="M1237"/>
      <c r="N1237"/>
    </row>
    <row r="1238" spans="13:14" ht="14.25" customHeight="1">
      <c r="M1238"/>
      <c r="N1238"/>
    </row>
    <row r="1239" spans="13:14" ht="14.25" customHeight="1">
      <c r="M1239"/>
      <c r="N1239"/>
    </row>
    <row r="1240" spans="13:14" ht="14.25" customHeight="1">
      <c r="M1240"/>
      <c r="N1240"/>
    </row>
    <row r="1241" spans="13:14" ht="14.25" customHeight="1">
      <c r="M1241"/>
      <c r="N1241"/>
    </row>
    <row r="1242" spans="13:14" ht="14.25" customHeight="1">
      <c r="M1242"/>
      <c r="N1242"/>
    </row>
    <row r="1243" spans="13:14" ht="14.25" customHeight="1">
      <c r="M1243"/>
      <c r="N1243"/>
    </row>
    <row r="1244" spans="13:14" ht="14.25" customHeight="1">
      <c r="M1244"/>
      <c r="N1244"/>
    </row>
    <row r="1245" spans="13:14" ht="14.25" customHeight="1">
      <c r="M1245"/>
      <c r="N1245"/>
    </row>
    <row r="1246" spans="13:14" ht="14.25" customHeight="1">
      <c r="M1246"/>
      <c r="N1246"/>
    </row>
    <row r="1247" spans="13:14" ht="14.25" customHeight="1">
      <c r="M1247"/>
      <c r="N1247"/>
    </row>
    <row r="1248" spans="13:14" ht="14.25" customHeight="1">
      <c r="M1248"/>
      <c r="N1248"/>
    </row>
    <row r="1249" spans="13:14" ht="14.25" customHeight="1">
      <c r="M1249"/>
      <c r="N1249"/>
    </row>
    <row r="1250" spans="13:14" ht="14.25" customHeight="1">
      <c r="M1250"/>
      <c r="N1250"/>
    </row>
    <row r="1251" spans="13:14" ht="14.25" customHeight="1">
      <c r="M1251"/>
      <c r="N1251"/>
    </row>
    <row r="1252" spans="13:14" ht="14.25" customHeight="1">
      <c r="M1252"/>
      <c r="N1252"/>
    </row>
    <row r="1253" spans="13:14" ht="14.25" customHeight="1">
      <c r="M1253"/>
      <c r="N1253"/>
    </row>
    <row r="1254" spans="13:14" ht="14.25" customHeight="1">
      <c r="M1254"/>
      <c r="N1254"/>
    </row>
    <row r="1255" spans="13:14" ht="14.25" customHeight="1">
      <c r="M1255"/>
      <c r="N1255"/>
    </row>
    <row r="1256" spans="13:14" ht="14.25" customHeight="1">
      <c r="M1256"/>
      <c r="N1256"/>
    </row>
    <row r="1257" spans="13:14" ht="14.25" customHeight="1">
      <c r="M1257"/>
      <c r="N1257"/>
    </row>
    <row r="1258" spans="13:14" ht="14.25" customHeight="1">
      <c r="M1258"/>
      <c r="N1258"/>
    </row>
    <row r="1259" spans="13:14" ht="14.25" customHeight="1">
      <c r="M1259"/>
      <c r="N1259"/>
    </row>
    <row r="1260" spans="13:14" ht="14.25" customHeight="1">
      <c r="M1260"/>
      <c r="N1260"/>
    </row>
    <row r="1261" spans="13:14" ht="14.25" customHeight="1">
      <c r="M1261"/>
      <c r="N1261"/>
    </row>
    <row r="1262" spans="13:14" ht="14.25" customHeight="1">
      <c r="M1262"/>
      <c r="N1262"/>
    </row>
    <row r="1263" spans="13:14" ht="14.25" customHeight="1">
      <c r="M1263"/>
      <c r="N1263"/>
    </row>
    <row r="1264" spans="13:14" ht="14.25" customHeight="1">
      <c r="M1264"/>
      <c r="N1264"/>
    </row>
    <row r="1265" spans="13:14" ht="14.25" customHeight="1">
      <c r="M1265"/>
      <c r="N1265"/>
    </row>
    <row r="1266" spans="13:14" ht="14.25" customHeight="1">
      <c r="M1266"/>
      <c r="N1266"/>
    </row>
    <row r="1267" spans="13:14" ht="14.25" customHeight="1">
      <c r="M1267"/>
      <c r="N1267"/>
    </row>
    <row r="1268" spans="13:14" ht="14.25" customHeight="1">
      <c r="M1268"/>
      <c r="N1268"/>
    </row>
    <row r="1269" spans="13:14" ht="14.25" customHeight="1">
      <c r="M1269"/>
      <c r="N1269"/>
    </row>
    <row r="1270" spans="13:14" ht="14.25" customHeight="1">
      <c r="M1270"/>
      <c r="N1270"/>
    </row>
    <row r="1271" spans="13:14" ht="14.25" customHeight="1">
      <c r="M1271"/>
      <c r="N1271"/>
    </row>
    <row r="1272" spans="13:14" ht="14.25" customHeight="1">
      <c r="M1272"/>
      <c r="N1272"/>
    </row>
    <row r="1273" spans="13:14" ht="14.25" customHeight="1">
      <c r="M1273"/>
      <c r="N1273"/>
    </row>
    <row r="1274" spans="13:14" ht="14.25" customHeight="1">
      <c r="M1274"/>
      <c r="N1274"/>
    </row>
    <row r="1275" spans="13:14" ht="14.25" customHeight="1">
      <c r="M1275"/>
      <c r="N1275"/>
    </row>
    <row r="1276" spans="13:14" ht="14.25" customHeight="1">
      <c r="M1276"/>
      <c r="N1276"/>
    </row>
    <row r="1277" spans="13:14" ht="14.25" customHeight="1">
      <c r="M1277"/>
      <c r="N1277"/>
    </row>
    <row r="1278" spans="13:14" ht="14.25" customHeight="1">
      <c r="M1278"/>
      <c r="N1278"/>
    </row>
    <row r="1279" spans="13:14" ht="14.25" customHeight="1">
      <c r="M1279"/>
      <c r="N1279"/>
    </row>
    <row r="1280" spans="13:14" ht="14.25" customHeight="1">
      <c r="M1280"/>
      <c r="N1280"/>
    </row>
    <row r="1281" spans="13:14" ht="14.25" customHeight="1">
      <c r="M1281"/>
      <c r="N1281"/>
    </row>
    <row r="1282" spans="13:14" ht="14.25" customHeight="1">
      <c r="M1282"/>
      <c r="N1282"/>
    </row>
    <row r="1283" spans="13:14" ht="14.25" customHeight="1">
      <c r="M1283"/>
      <c r="N1283"/>
    </row>
    <row r="1284" spans="13:14" ht="14.25" customHeight="1">
      <c r="M1284"/>
      <c r="N1284"/>
    </row>
    <row r="1285" spans="13:14" ht="14.25" customHeight="1">
      <c r="M1285"/>
      <c r="N1285"/>
    </row>
    <row r="1286" spans="13:14" ht="14.25" customHeight="1">
      <c r="M1286"/>
      <c r="N1286"/>
    </row>
    <row r="1287" spans="13:14" ht="14.25" customHeight="1">
      <c r="M1287"/>
      <c r="N1287"/>
    </row>
    <row r="1288" spans="13:14" ht="14.25" customHeight="1">
      <c r="M1288"/>
      <c r="N1288"/>
    </row>
    <row r="1289" spans="13:14" ht="14.25" customHeight="1">
      <c r="M1289"/>
      <c r="N1289"/>
    </row>
    <row r="1290" spans="13:14" ht="14.25" customHeight="1">
      <c r="M1290"/>
      <c r="N1290"/>
    </row>
    <row r="1291" spans="13:14" ht="14.25" customHeight="1">
      <c r="M1291"/>
      <c r="N1291"/>
    </row>
    <row r="1292" spans="13:14" ht="14.25" customHeight="1">
      <c r="M1292"/>
      <c r="N1292"/>
    </row>
    <row r="1293" spans="13:14" ht="14.25" customHeight="1">
      <c r="M1293"/>
      <c r="N1293"/>
    </row>
    <row r="1294" spans="13:14" ht="14.25" customHeight="1">
      <c r="M1294"/>
      <c r="N1294"/>
    </row>
    <row r="1295" spans="13:14" ht="14.25" customHeight="1">
      <c r="M1295"/>
      <c r="N1295"/>
    </row>
    <row r="1296" spans="13:14" ht="14.25" customHeight="1">
      <c r="M1296"/>
      <c r="N1296"/>
    </row>
    <row r="1297" spans="13:14" ht="14.25" customHeight="1">
      <c r="M1297"/>
      <c r="N1297"/>
    </row>
    <row r="1298" spans="13:14" ht="14.25" customHeight="1">
      <c r="M1298"/>
      <c r="N1298"/>
    </row>
    <row r="1299" spans="13:14" ht="14.25" customHeight="1">
      <c r="M1299"/>
      <c r="N1299"/>
    </row>
    <row r="1300" spans="13:14" ht="14.25" customHeight="1">
      <c r="M1300"/>
      <c r="N1300"/>
    </row>
    <row r="1301" spans="13:14" ht="14.25" customHeight="1">
      <c r="M1301"/>
      <c r="N1301"/>
    </row>
    <row r="1302" spans="13:14" ht="14.25" customHeight="1">
      <c r="M1302"/>
      <c r="N1302"/>
    </row>
    <row r="1303" spans="13:14" ht="14.25" customHeight="1">
      <c r="M1303"/>
      <c r="N1303"/>
    </row>
    <row r="1304" spans="13:14" ht="14.25" customHeight="1">
      <c r="M1304"/>
      <c r="N1304"/>
    </row>
    <row r="1305" spans="13:14" ht="14.25" customHeight="1">
      <c r="M1305"/>
      <c r="N1305"/>
    </row>
    <row r="1306" spans="13:14" ht="14.25" customHeight="1">
      <c r="M1306"/>
      <c r="N1306"/>
    </row>
    <row r="1307" spans="13:14" ht="14.25" customHeight="1">
      <c r="M1307"/>
      <c r="N1307"/>
    </row>
    <row r="1308" spans="13:14" ht="14.25" customHeight="1">
      <c r="M1308"/>
      <c r="N1308"/>
    </row>
    <row r="1309" spans="13:14" ht="14.25" customHeight="1">
      <c r="M1309"/>
      <c r="N1309"/>
    </row>
    <row r="1310" spans="13:14" ht="14.25" customHeight="1">
      <c r="M1310"/>
      <c r="N1310"/>
    </row>
    <row r="1311" spans="13:14" ht="14.25" customHeight="1">
      <c r="M1311"/>
      <c r="N1311"/>
    </row>
    <row r="1312" spans="13:14" ht="14.25" customHeight="1">
      <c r="M1312"/>
      <c r="N1312"/>
    </row>
    <row r="1313" spans="13:14" ht="14.25" customHeight="1">
      <c r="M1313"/>
      <c r="N1313"/>
    </row>
    <row r="1314" spans="13:14" ht="14.25" customHeight="1">
      <c r="M1314"/>
      <c r="N1314"/>
    </row>
    <row r="1315" spans="13:14" ht="14.25" customHeight="1">
      <c r="M1315"/>
      <c r="N1315"/>
    </row>
    <row r="1316" spans="13:14" ht="14.25" customHeight="1">
      <c r="M1316"/>
      <c r="N1316"/>
    </row>
    <row r="1317" spans="13:14" ht="14.25" customHeight="1">
      <c r="M1317"/>
      <c r="N1317"/>
    </row>
    <row r="1318" spans="13:14" ht="14.25" customHeight="1">
      <c r="M1318"/>
      <c r="N1318"/>
    </row>
    <row r="1319" spans="13:14" ht="14.25" customHeight="1">
      <c r="M1319"/>
      <c r="N1319"/>
    </row>
    <row r="1320" spans="13:14" ht="14.25" customHeight="1">
      <c r="M1320"/>
      <c r="N1320"/>
    </row>
    <row r="1321" spans="13:14" ht="14.25" customHeight="1">
      <c r="M1321"/>
      <c r="N1321"/>
    </row>
    <row r="1322" spans="13:14" ht="14.25" customHeight="1">
      <c r="M1322"/>
      <c r="N1322"/>
    </row>
    <row r="1323" spans="13:14" ht="14.25" customHeight="1">
      <c r="M1323"/>
      <c r="N1323"/>
    </row>
    <row r="1324" spans="13:14" ht="14.25" customHeight="1">
      <c r="M1324"/>
      <c r="N1324"/>
    </row>
    <row r="1325" spans="13:14" ht="14.25" customHeight="1">
      <c r="M1325"/>
      <c r="N1325"/>
    </row>
    <row r="1326" spans="13:14" ht="14.25" customHeight="1">
      <c r="M1326"/>
      <c r="N1326"/>
    </row>
    <row r="1327" spans="13:14" ht="14.25" customHeight="1">
      <c r="M1327"/>
      <c r="N1327"/>
    </row>
    <row r="1328" spans="13:14" ht="14.25" customHeight="1">
      <c r="M1328"/>
      <c r="N1328"/>
    </row>
    <row r="1329" spans="13:14" ht="14.25" customHeight="1">
      <c r="M1329"/>
      <c r="N1329"/>
    </row>
    <row r="1330" spans="13:14" ht="14.25" customHeight="1">
      <c r="M1330"/>
      <c r="N1330"/>
    </row>
    <row r="1331" spans="13:14" ht="14.25" customHeight="1">
      <c r="M1331"/>
      <c r="N1331"/>
    </row>
    <row r="1332" spans="13:14" ht="14.25" customHeight="1">
      <c r="M1332"/>
      <c r="N1332"/>
    </row>
    <row r="1333" spans="13:14" ht="14.25" customHeight="1">
      <c r="M1333"/>
      <c r="N1333"/>
    </row>
    <row r="1334" spans="13:14" ht="14.25" customHeight="1">
      <c r="M1334"/>
      <c r="N1334"/>
    </row>
    <row r="1335" spans="13:14" ht="14.25" customHeight="1">
      <c r="M1335"/>
      <c r="N1335"/>
    </row>
    <row r="1336" spans="13:14" ht="14.25" customHeight="1">
      <c r="M1336"/>
      <c r="N1336"/>
    </row>
    <row r="1337" spans="13:14" ht="14.25" customHeight="1">
      <c r="M1337"/>
      <c r="N1337"/>
    </row>
    <row r="1338" spans="13:14" ht="14.25" customHeight="1">
      <c r="M1338"/>
      <c r="N1338"/>
    </row>
    <row r="1339" spans="13:14" ht="14.25" customHeight="1">
      <c r="M1339"/>
      <c r="N1339"/>
    </row>
    <row r="1340" spans="13:14" ht="14.25" customHeight="1">
      <c r="M1340"/>
      <c r="N1340"/>
    </row>
    <row r="1341" spans="13:14" ht="14.25" customHeight="1">
      <c r="M1341"/>
      <c r="N1341"/>
    </row>
    <row r="1342" spans="13:14" ht="14.25" customHeight="1">
      <c r="M1342"/>
      <c r="N1342"/>
    </row>
    <row r="1343" spans="13:14" ht="14.25" customHeight="1">
      <c r="M1343"/>
      <c r="N1343"/>
    </row>
    <row r="1344" spans="13:14" ht="14.25" customHeight="1">
      <c r="M1344"/>
      <c r="N1344"/>
    </row>
    <row r="1345" spans="13:14" ht="14.25" customHeight="1">
      <c r="M1345"/>
      <c r="N1345"/>
    </row>
    <row r="1346" spans="13:14" ht="14.25" customHeight="1">
      <c r="M1346"/>
      <c r="N1346"/>
    </row>
    <row r="1347" spans="13:14" ht="14.25" customHeight="1">
      <c r="M1347"/>
      <c r="N1347"/>
    </row>
    <row r="1348" spans="13:14" ht="14.25" customHeight="1">
      <c r="M1348"/>
      <c r="N1348"/>
    </row>
    <row r="1349" spans="13:14" ht="14.25" customHeight="1">
      <c r="M1349"/>
      <c r="N1349"/>
    </row>
    <row r="1350" spans="13:14" ht="14.25" customHeight="1">
      <c r="M1350"/>
      <c r="N1350"/>
    </row>
    <row r="1351" spans="13:14" ht="14.25" customHeight="1">
      <c r="M1351"/>
      <c r="N1351"/>
    </row>
    <row r="1352" spans="13:14" ht="14.25" customHeight="1">
      <c r="M1352"/>
      <c r="N1352"/>
    </row>
    <row r="1353" spans="13:14" ht="14.25" customHeight="1">
      <c r="M1353"/>
      <c r="N1353"/>
    </row>
    <row r="1354" spans="13:14" ht="14.25" customHeight="1">
      <c r="M1354"/>
      <c r="N1354"/>
    </row>
    <row r="1355" spans="13:14" ht="14.25" customHeight="1">
      <c r="M1355"/>
      <c r="N1355"/>
    </row>
    <row r="1356" spans="13:14" ht="14.25" customHeight="1">
      <c r="M1356"/>
      <c r="N1356"/>
    </row>
    <row r="1357" spans="13:14" ht="14.25" customHeight="1">
      <c r="M1357"/>
      <c r="N1357"/>
    </row>
    <row r="1358" spans="13:14" ht="14.25" customHeight="1">
      <c r="M1358"/>
      <c r="N1358"/>
    </row>
    <row r="1359" spans="13:14" ht="14.25" customHeight="1">
      <c r="M1359"/>
      <c r="N1359"/>
    </row>
    <row r="1360" spans="13:14" ht="14.25" customHeight="1">
      <c r="M1360"/>
      <c r="N1360"/>
    </row>
    <row r="1361" spans="13:14" ht="14.25" customHeight="1">
      <c r="M1361"/>
      <c r="N1361"/>
    </row>
    <row r="1362" spans="13:14" ht="14.25" customHeight="1">
      <c r="M1362"/>
      <c r="N1362"/>
    </row>
    <row r="1363" spans="13:14" ht="14.25" customHeight="1">
      <c r="M1363"/>
      <c r="N1363"/>
    </row>
    <row r="1364" spans="13:14" ht="14.25" customHeight="1">
      <c r="M1364"/>
      <c r="N1364"/>
    </row>
    <row r="1365" spans="13:14" ht="14.25" customHeight="1">
      <c r="M1365"/>
      <c r="N1365"/>
    </row>
    <row r="1366" spans="13:14" ht="14.25" customHeight="1">
      <c r="M1366"/>
      <c r="N1366"/>
    </row>
    <row r="1367" spans="13:14" ht="14.25" customHeight="1">
      <c r="M1367"/>
      <c r="N1367"/>
    </row>
    <row r="1368" spans="13:14" ht="14.25" customHeight="1">
      <c r="M1368"/>
      <c r="N1368"/>
    </row>
    <row r="1369" spans="13:14" ht="14.25" customHeight="1">
      <c r="M1369"/>
      <c r="N1369"/>
    </row>
    <row r="1370" spans="13:14" ht="14.25" customHeight="1">
      <c r="M1370"/>
      <c r="N1370"/>
    </row>
    <row r="1371" spans="13:14" ht="14.25" customHeight="1">
      <c r="M1371"/>
      <c r="N1371"/>
    </row>
    <row r="1372" spans="13:14" ht="14.25" customHeight="1">
      <c r="M1372"/>
      <c r="N1372"/>
    </row>
    <row r="1373" spans="13:14" ht="14.25" customHeight="1">
      <c r="M1373"/>
      <c r="N1373"/>
    </row>
    <row r="1374" spans="13:14" ht="14.25" customHeight="1">
      <c r="M1374"/>
      <c r="N1374"/>
    </row>
    <row r="1375" spans="13:14" ht="14.25" customHeight="1">
      <c r="M1375"/>
      <c r="N1375"/>
    </row>
    <row r="1376" spans="13:14" ht="14.25" customHeight="1">
      <c r="M1376"/>
      <c r="N1376"/>
    </row>
    <row r="1377" spans="13:14" ht="14.25" customHeight="1">
      <c r="M1377"/>
      <c r="N1377"/>
    </row>
    <row r="1378" spans="13:14" ht="14.25" customHeight="1">
      <c r="M1378"/>
      <c r="N1378"/>
    </row>
    <row r="1379" spans="13:14" ht="14.25" customHeight="1">
      <c r="M1379"/>
      <c r="N1379"/>
    </row>
    <row r="1380" spans="13:14" ht="14.25" customHeight="1">
      <c r="M1380"/>
      <c r="N1380"/>
    </row>
    <row r="1381" spans="13:14" ht="14.25" customHeight="1">
      <c r="M1381"/>
      <c r="N1381"/>
    </row>
    <row r="1382" spans="13:14" ht="14.25" customHeight="1">
      <c r="M1382"/>
      <c r="N1382"/>
    </row>
    <row r="1383" spans="13:14" ht="14.25" customHeight="1">
      <c r="M1383"/>
      <c r="N1383"/>
    </row>
    <row r="1384" spans="13:14" ht="14.25" customHeight="1">
      <c r="M1384"/>
      <c r="N1384"/>
    </row>
    <row r="1385" spans="13:14" ht="14.25" customHeight="1">
      <c r="M1385"/>
      <c r="N1385"/>
    </row>
    <row r="1386" spans="13:14" ht="14.25" customHeight="1">
      <c r="M1386"/>
      <c r="N1386"/>
    </row>
    <row r="1387" spans="13:14" ht="14.25" customHeight="1">
      <c r="M1387"/>
      <c r="N1387"/>
    </row>
    <row r="1388" spans="13:14" ht="14.25" customHeight="1">
      <c r="M1388"/>
      <c r="N1388"/>
    </row>
    <row r="1389" spans="13:14" ht="14.25" customHeight="1">
      <c r="M1389"/>
      <c r="N1389"/>
    </row>
    <row r="1390" spans="13:14" ht="14.25" customHeight="1">
      <c r="M1390"/>
      <c r="N1390"/>
    </row>
    <row r="1391" spans="13:14" ht="14.25" customHeight="1">
      <c r="M1391"/>
      <c r="N1391"/>
    </row>
    <row r="1392" spans="13:14" ht="14.25" customHeight="1">
      <c r="M1392"/>
      <c r="N1392"/>
    </row>
    <row r="1393" spans="13:14" ht="14.25" customHeight="1">
      <c r="M1393"/>
      <c r="N1393"/>
    </row>
    <row r="1394" spans="13:14" ht="14.25" customHeight="1">
      <c r="M1394"/>
      <c r="N1394"/>
    </row>
    <row r="1395" spans="13:14" ht="14.25" customHeight="1">
      <c r="M1395"/>
      <c r="N1395"/>
    </row>
    <row r="1396" spans="13:14" ht="14.25" customHeight="1">
      <c r="M1396"/>
      <c r="N1396"/>
    </row>
    <row r="1397" spans="13:14" ht="14.25" customHeight="1">
      <c r="M1397"/>
      <c r="N1397"/>
    </row>
    <row r="1398" spans="13:14" ht="14.25" customHeight="1">
      <c r="M1398"/>
      <c r="N1398"/>
    </row>
    <row r="1399" spans="13:14" ht="14.25" customHeight="1">
      <c r="M1399"/>
      <c r="N1399"/>
    </row>
    <row r="1400" spans="13:14" ht="14.25" customHeight="1">
      <c r="M1400"/>
      <c r="N1400"/>
    </row>
    <row r="1401" spans="13:14" ht="14.25" customHeight="1">
      <c r="M1401"/>
      <c r="N1401"/>
    </row>
    <row r="1402" spans="13:14" ht="14.25" customHeight="1">
      <c r="M1402"/>
      <c r="N1402"/>
    </row>
    <row r="1403" spans="13:14" ht="14.25" customHeight="1">
      <c r="M1403"/>
      <c r="N1403"/>
    </row>
    <row r="1404" spans="13:14" ht="14.25" customHeight="1">
      <c r="M1404"/>
      <c r="N1404"/>
    </row>
    <row r="1405" spans="13:14" ht="14.25" customHeight="1">
      <c r="M1405"/>
      <c r="N1405"/>
    </row>
    <row r="1406" spans="13:14" ht="14.25" customHeight="1">
      <c r="M1406"/>
      <c r="N1406"/>
    </row>
    <row r="1407" spans="13:14" ht="14.25" customHeight="1">
      <c r="M1407"/>
      <c r="N1407"/>
    </row>
    <row r="1408" spans="13:14" ht="14.25" customHeight="1">
      <c r="M1408"/>
      <c r="N1408"/>
    </row>
    <row r="1409" spans="13:14" ht="14.25" customHeight="1">
      <c r="M1409"/>
      <c r="N1409"/>
    </row>
    <row r="1410" spans="13:14" ht="14.25" customHeight="1">
      <c r="M1410"/>
      <c r="N1410"/>
    </row>
    <row r="1411" spans="13:14" ht="14.25" customHeight="1">
      <c r="M1411"/>
      <c r="N1411"/>
    </row>
    <row r="1412" spans="13:14" ht="14.25" customHeight="1">
      <c r="M1412"/>
      <c r="N1412"/>
    </row>
    <row r="1413" spans="13:14" ht="14.25" customHeight="1">
      <c r="M1413"/>
      <c r="N1413"/>
    </row>
    <row r="1414" spans="13:14" ht="14.25" customHeight="1">
      <c r="M1414"/>
      <c r="N1414"/>
    </row>
    <row r="1415" spans="13:14" ht="14.25" customHeight="1">
      <c r="M1415"/>
      <c r="N1415"/>
    </row>
    <row r="1416" spans="13:14" ht="14.25" customHeight="1">
      <c r="M1416"/>
      <c r="N1416"/>
    </row>
    <row r="1417" spans="13:14" ht="14.25" customHeight="1">
      <c r="M1417"/>
      <c r="N1417"/>
    </row>
    <row r="1418" spans="13:14" ht="14.25" customHeight="1">
      <c r="M1418"/>
      <c r="N1418"/>
    </row>
    <row r="1419" spans="13:14" ht="14.25" customHeight="1">
      <c r="M1419"/>
      <c r="N1419"/>
    </row>
    <row r="1420" spans="13:14" ht="14.25" customHeight="1">
      <c r="M1420"/>
      <c r="N1420"/>
    </row>
    <row r="1421" spans="13:14" ht="14.25" customHeight="1">
      <c r="M1421"/>
      <c r="N1421"/>
    </row>
    <row r="1422" spans="13:14" ht="14.25" customHeight="1">
      <c r="M1422"/>
      <c r="N1422"/>
    </row>
    <row r="1423" spans="13:14" ht="14.25" customHeight="1">
      <c r="M1423"/>
      <c r="N1423"/>
    </row>
    <row r="1424" spans="13:14" ht="14.25" customHeight="1">
      <c r="M1424"/>
      <c r="N1424"/>
    </row>
    <row r="1425" spans="13:14" ht="14.25" customHeight="1">
      <c r="M1425"/>
      <c r="N1425"/>
    </row>
    <row r="1426" spans="13:14" ht="14.25" customHeight="1">
      <c r="M1426"/>
      <c r="N1426"/>
    </row>
    <row r="1427" spans="13:14" ht="14.25" customHeight="1">
      <c r="M1427"/>
      <c r="N1427"/>
    </row>
    <row r="1428" spans="13:14" ht="14.25" customHeight="1">
      <c r="M1428"/>
      <c r="N1428"/>
    </row>
    <row r="1429" spans="13:14" ht="14.25" customHeight="1">
      <c r="M1429"/>
      <c r="N1429"/>
    </row>
    <row r="1430" spans="13:14" ht="14.25" customHeight="1">
      <c r="M1430"/>
      <c r="N1430"/>
    </row>
    <row r="1431" spans="13:14" ht="14.25" customHeight="1">
      <c r="M1431"/>
      <c r="N1431"/>
    </row>
    <row r="1432" spans="13:14" ht="14.25" customHeight="1">
      <c r="M1432"/>
      <c r="N1432"/>
    </row>
    <row r="1433" spans="13:14" ht="14.25" customHeight="1">
      <c r="M1433"/>
      <c r="N1433"/>
    </row>
    <row r="1434" spans="13:14" ht="14.25" customHeight="1">
      <c r="M1434"/>
      <c r="N1434"/>
    </row>
    <row r="1435" spans="13:14" ht="14.25" customHeight="1">
      <c r="M1435"/>
      <c r="N1435"/>
    </row>
    <row r="1436" spans="13:14" ht="14.25" customHeight="1">
      <c r="M1436"/>
      <c r="N1436"/>
    </row>
    <row r="1437" spans="13:14" ht="14.25" customHeight="1">
      <c r="M1437"/>
      <c r="N1437"/>
    </row>
    <row r="1438" spans="13:14" ht="14.25" customHeight="1">
      <c r="M1438"/>
      <c r="N1438"/>
    </row>
    <row r="1439" spans="13:14" ht="14.25" customHeight="1">
      <c r="M1439"/>
      <c r="N1439"/>
    </row>
    <row r="1440" spans="13:14" ht="14.25" customHeight="1">
      <c r="M1440"/>
      <c r="N1440"/>
    </row>
    <row r="1441" spans="13:14" ht="14.25" customHeight="1">
      <c r="M1441"/>
      <c r="N1441"/>
    </row>
    <row r="1442" spans="13:14" ht="14.25" customHeight="1">
      <c r="M1442"/>
      <c r="N1442"/>
    </row>
    <row r="1443" spans="13:14" ht="14.25" customHeight="1">
      <c r="M1443"/>
      <c r="N1443"/>
    </row>
    <row r="1444" spans="13:14" ht="14.25" customHeight="1">
      <c r="M1444"/>
      <c r="N1444"/>
    </row>
    <row r="1445" spans="13:14" ht="14.25" customHeight="1">
      <c r="M1445"/>
      <c r="N1445"/>
    </row>
    <row r="1446" spans="13:14" ht="14.25" customHeight="1">
      <c r="M1446"/>
      <c r="N1446"/>
    </row>
    <row r="1447" spans="13:14" ht="14.25" customHeight="1">
      <c r="M1447"/>
      <c r="N1447"/>
    </row>
    <row r="1448" spans="13:14" ht="14.25" customHeight="1">
      <c r="M1448"/>
      <c r="N1448"/>
    </row>
    <row r="1449" spans="13:14" ht="14.25" customHeight="1">
      <c r="M1449"/>
      <c r="N1449"/>
    </row>
    <row r="1450" spans="13:14" ht="14.25" customHeight="1">
      <c r="M1450"/>
      <c r="N1450"/>
    </row>
    <row r="1451" spans="13:14" ht="14.25" customHeight="1">
      <c r="M1451"/>
      <c r="N1451"/>
    </row>
    <row r="1452" spans="13:14" ht="14.25" customHeight="1">
      <c r="M1452"/>
      <c r="N1452"/>
    </row>
    <row r="1453" spans="13:14" ht="14.25" customHeight="1">
      <c r="M1453"/>
      <c r="N1453"/>
    </row>
    <row r="1454" spans="13:14" ht="14.25" customHeight="1">
      <c r="M1454"/>
      <c r="N1454"/>
    </row>
    <row r="1455" spans="13:14" ht="14.25" customHeight="1">
      <c r="M1455"/>
      <c r="N1455"/>
    </row>
    <row r="1456" spans="13:14" ht="14.25" customHeight="1">
      <c r="M1456"/>
      <c r="N1456"/>
    </row>
    <row r="1457" spans="13:14" ht="14.25" customHeight="1">
      <c r="M1457"/>
      <c r="N1457"/>
    </row>
    <row r="1458" spans="13:14" ht="14.25" customHeight="1">
      <c r="M1458"/>
      <c r="N1458"/>
    </row>
    <row r="1459" spans="13:14" ht="14.25" customHeight="1">
      <c r="M1459"/>
      <c r="N1459"/>
    </row>
    <row r="1460" spans="13:14" ht="14.25" customHeight="1">
      <c r="M1460"/>
      <c r="N1460"/>
    </row>
    <row r="1461" spans="13:14" ht="14.25" customHeight="1">
      <c r="M1461"/>
      <c r="N1461"/>
    </row>
    <row r="1462" spans="13:14" ht="14.25" customHeight="1">
      <c r="M1462"/>
      <c r="N1462"/>
    </row>
    <row r="1463" spans="13:14" ht="14.25" customHeight="1">
      <c r="M1463"/>
      <c r="N1463"/>
    </row>
    <row r="1464" spans="13:14" ht="14.25" customHeight="1">
      <c r="M1464"/>
      <c r="N1464"/>
    </row>
    <row r="1465" spans="13:14" ht="14.25" customHeight="1">
      <c r="M1465"/>
      <c r="N1465"/>
    </row>
    <row r="1466" spans="13:14" ht="14.25" customHeight="1">
      <c r="M1466"/>
      <c r="N1466"/>
    </row>
    <row r="1467" spans="13:14" ht="14.25" customHeight="1">
      <c r="M1467"/>
      <c r="N1467"/>
    </row>
    <row r="1468" spans="13:14" ht="14.25" customHeight="1">
      <c r="M1468"/>
      <c r="N1468"/>
    </row>
    <row r="1469" spans="13:14" ht="14.25" customHeight="1">
      <c r="M1469"/>
      <c r="N1469"/>
    </row>
    <row r="1470" spans="13:14" ht="14.25" customHeight="1">
      <c r="M1470"/>
      <c r="N1470"/>
    </row>
    <row r="1471" spans="13:14" ht="14.25" customHeight="1">
      <c r="M1471"/>
      <c r="N1471"/>
    </row>
    <row r="1472" spans="13:14" ht="14.25" customHeight="1">
      <c r="M1472"/>
      <c r="N1472"/>
    </row>
    <row r="1473" spans="13:14" ht="14.25" customHeight="1">
      <c r="M1473"/>
      <c r="N1473"/>
    </row>
    <row r="1474" spans="13:14" ht="14.25" customHeight="1">
      <c r="M1474"/>
      <c r="N1474"/>
    </row>
    <row r="1475" spans="13:14" ht="14.25" customHeight="1">
      <c r="M1475"/>
      <c r="N1475"/>
    </row>
    <row r="1476" spans="13:14" ht="14.25" customHeight="1">
      <c r="M1476"/>
      <c r="N1476"/>
    </row>
    <row r="1477" spans="13:14" ht="14.25" customHeight="1">
      <c r="M1477"/>
      <c r="N1477"/>
    </row>
    <row r="1478" spans="13:14" ht="14.25" customHeight="1">
      <c r="M1478"/>
      <c r="N1478"/>
    </row>
    <row r="1479" spans="13:14" ht="14.25" customHeight="1">
      <c r="M1479"/>
      <c r="N1479"/>
    </row>
    <row r="1480" spans="13:14" ht="14.25" customHeight="1">
      <c r="M1480"/>
      <c r="N1480"/>
    </row>
    <row r="1481" spans="13:14" ht="14.25" customHeight="1">
      <c r="M1481"/>
      <c r="N1481"/>
    </row>
    <row r="1482" spans="13:14" ht="14.25" customHeight="1">
      <c r="M1482"/>
      <c r="N1482"/>
    </row>
    <row r="1483" spans="13:14" ht="14.25" customHeight="1">
      <c r="M1483"/>
      <c r="N1483"/>
    </row>
    <row r="1484" spans="13:14" ht="14.25" customHeight="1">
      <c r="M1484"/>
      <c r="N1484"/>
    </row>
    <row r="1485" spans="13:14" ht="14.25" customHeight="1">
      <c r="M1485"/>
      <c r="N1485"/>
    </row>
    <row r="1486" spans="13:14" ht="14.25" customHeight="1">
      <c r="M1486"/>
      <c r="N1486"/>
    </row>
    <row r="1487" spans="13:14" ht="14.25" customHeight="1">
      <c r="M1487"/>
      <c r="N1487"/>
    </row>
    <row r="1488" spans="13:14" ht="14.25" customHeight="1">
      <c r="M1488"/>
      <c r="N1488"/>
    </row>
    <row r="1489" spans="13:14" ht="14.25" customHeight="1">
      <c r="M1489"/>
      <c r="N1489"/>
    </row>
    <row r="1490" spans="13:14" ht="14.25" customHeight="1">
      <c r="M1490"/>
      <c r="N1490"/>
    </row>
    <row r="1491" spans="13:14" ht="14.25" customHeight="1">
      <c r="M1491"/>
      <c r="N1491"/>
    </row>
    <row r="1492" spans="13:14" ht="14.25" customHeight="1">
      <c r="M1492"/>
      <c r="N1492"/>
    </row>
    <row r="1493" spans="13:14" ht="14.25" customHeight="1">
      <c r="M1493"/>
      <c r="N1493"/>
    </row>
    <row r="1494" spans="13:14" ht="14.25" customHeight="1">
      <c r="M1494"/>
      <c r="N1494"/>
    </row>
    <row r="1495" spans="13:14" ht="14.25" customHeight="1">
      <c r="M1495"/>
      <c r="N1495"/>
    </row>
    <row r="1496" spans="13:14" ht="14.25" customHeight="1">
      <c r="M1496"/>
      <c r="N1496"/>
    </row>
    <row r="1497" spans="13:14" ht="14.25" customHeight="1">
      <c r="M1497"/>
      <c r="N1497"/>
    </row>
    <row r="1498" spans="13:14" ht="14.25" customHeight="1">
      <c r="M1498"/>
      <c r="N1498"/>
    </row>
    <row r="1499" spans="13:14" ht="14.25" customHeight="1">
      <c r="M1499"/>
      <c r="N1499"/>
    </row>
    <row r="1500" spans="13:14" ht="14.25" customHeight="1">
      <c r="M1500"/>
      <c r="N1500"/>
    </row>
    <row r="1501" spans="13:14" ht="14.25" customHeight="1">
      <c r="M1501"/>
      <c r="N1501"/>
    </row>
    <row r="1502" spans="13:14" ht="14.25" customHeight="1">
      <c r="M1502"/>
      <c r="N1502"/>
    </row>
    <row r="1503" spans="13:14" ht="14.25" customHeight="1">
      <c r="M1503"/>
      <c r="N1503"/>
    </row>
    <row r="1504" spans="13:14" ht="14.25" customHeight="1">
      <c r="M1504"/>
      <c r="N1504"/>
    </row>
    <row r="1505" spans="13:14" ht="14.25" customHeight="1">
      <c r="M1505"/>
      <c r="N1505"/>
    </row>
    <row r="1506" spans="13:14" ht="14.25" customHeight="1">
      <c r="M1506"/>
      <c r="N1506"/>
    </row>
    <row r="1507" spans="13:14" ht="14.25" customHeight="1">
      <c r="M1507"/>
      <c r="N1507"/>
    </row>
    <row r="1508" spans="13:14" ht="14.25" customHeight="1">
      <c r="M1508"/>
      <c r="N1508"/>
    </row>
    <row r="1509" spans="13:14" ht="14.25" customHeight="1">
      <c r="M1509"/>
      <c r="N1509"/>
    </row>
    <row r="1510" spans="13:14" ht="14.25" customHeight="1">
      <c r="M1510"/>
      <c r="N1510"/>
    </row>
    <row r="1511" spans="13:14" ht="14.25" customHeight="1">
      <c r="M1511"/>
      <c r="N1511"/>
    </row>
    <row r="1512" spans="13:14" ht="14.25" customHeight="1">
      <c r="M1512"/>
      <c r="N1512"/>
    </row>
    <row r="1513" spans="13:14" ht="14.25" customHeight="1">
      <c r="M1513"/>
      <c r="N1513"/>
    </row>
    <row r="1514" spans="13:14" ht="14.25" customHeight="1">
      <c r="M1514"/>
      <c r="N1514"/>
    </row>
    <row r="1515" spans="13:14" ht="14.25" customHeight="1">
      <c r="M1515"/>
      <c r="N1515"/>
    </row>
    <row r="1516" spans="13:14" ht="14.25" customHeight="1">
      <c r="M1516"/>
      <c r="N1516"/>
    </row>
    <row r="1517" spans="13:14" ht="14.25" customHeight="1">
      <c r="M1517"/>
      <c r="N1517"/>
    </row>
    <row r="1518" spans="13:14" ht="14.25" customHeight="1">
      <c r="M1518"/>
      <c r="N1518"/>
    </row>
    <row r="1519" spans="13:14" ht="14.25" customHeight="1">
      <c r="M1519"/>
      <c r="N1519"/>
    </row>
    <row r="1520" spans="13:14" ht="14.25" customHeight="1">
      <c r="M1520"/>
      <c r="N1520"/>
    </row>
    <row r="1521" spans="13:14" ht="14.25" customHeight="1">
      <c r="M1521"/>
      <c r="N1521"/>
    </row>
    <row r="1522" spans="13:14" ht="14.25" customHeight="1">
      <c r="M1522"/>
      <c r="N1522"/>
    </row>
    <row r="1523" spans="13:14" ht="14.25" customHeight="1">
      <c r="M1523"/>
      <c r="N1523"/>
    </row>
    <row r="1524" spans="13:14" ht="14.25" customHeight="1">
      <c r="M1524"/>
      <c r="N1524"/>
    </row>
    <row r="1525" spans="13:14" ht="14.25" customHeight="1">
      <c r="M1525"/>
      <c r="N1525"/>
    </row>
    <row r="1526" spans="13:14" ht="14.25" customHeight="1">
      <c r="M1526"/>
      <c r="N1526"/>
    </row>
    <row r="1527" spans="13:14" ht="14.25" customHeight="1">
      <c r="M1527"/>
      <c r="N1527"/>
    </row>
    <row r="1528" spans="13:14" ht="14.25" customHeight="1">
      <c r="M1528"/>
      <c r="N1528"/>
    </row>
    <row r="1529" spans="13:14" ht="14.25" customHeight="1">
      <c r="M1529"/>
      <c r="N1529"/>
    </row>
    <row r="1530" spans="13:14" ht="14.25" customHeight="1">
      <c r="M1530"/>
      <c r="N1530"/>
    </row>
    <row r="1531" spans="13:14" ht="14.25" customHeight="1">
      <c r="M1531"/>
      <c r="N1531"/>
    </row>
    <row r="1532" spans="13:14" ht="14.25" customHeight="1">
      <c r="M1532"/>
      <c r="N1532"/>
    </row>
    <row r="1533" spans="13:14" ht="14.25" customHeight="1">
      <c r="M1533"/>
      <c r="N1533"/>
    </row>
    <row r="1534" spans="13:14" ht="14.25" customHeight="1">
      <c r="M1534"/>
      <c r="N1534"/>
    </row>
    <row r="1535" spans="13:14" ht="14.25" customHeight="1">
      <c r="M1535"/>
      <c r="N1535"/>
    </row>
    <row r="1536" spans="13:14" ht="14.25" customHeight="1">
      <c r="M1536"/>
      <c r="N1536"/>
    </row>
    <row r="1537" spans="13:14" ht="14.25" customHeight="1">
      <c r="M1537"/>
      <c r="N1537"/>
    </row>
    <row r="1538" spans="13:14" ht="14.25" customHeight="1">
      <c r="M1538"/>
      <c r="N1538"/>
    </row>
    <row r="1539" spans="13:14" ht="14.25" customHeight="1">
      <c r="M1539"/>
      <c r="N1539"/>
    </row>
    <row r="1540" spans="13:14" ht="14.25" customHeight="1">
      <c r="M1540"/>
      <c r="N1540"/>
    </row>
    <row r="1541" spans="13:14" ht="14.25" customHeight="1">
      <c r="M1541"/>
      <c r="N1541"/>
    </row>
    <row r="1542" spans="13:14" ht="14.25" customHeight="1">
      <c r="M1542"/>
      <c r="N1542"/>
    </row>
    <row r="1543" spans="13:14" ht="14.25" customHeight="1">
      <c r="M1543"/>
      <c r="N1543"/>
    </row>
    <row r="1544" spans="13:14" ht="14.25" customHeight="1">
      <c r="M1544"/>
      <c r="N1544"/>
    </row>
    <row r="1545" spans="13:14" ht="14.25" customHeight="1">
      <c r="M1545"/>
      <c r="N1545"/>
    </row>
    <row r="1546" spans="13:14" ht="14.25" customHeight="1">
      <c r="M1546"/>
      <c r="N1546"/>
    </row>
    <row r="1547" spans="13:14" ht="14.25" customHeight="1">
      <c r="M1547"/>
      <c r="N1547"/>
    </row>
    <row r="1548" spans="13:14" ht="14.25" customHeight="1">
      <c r="M1548"/>
      <c r="N1548"/>
    </row>
    <row r="1549" spans="13:14" ht="14.25" customHeight="1">
      <c r="M1549"/>
      <c r="N1549"/>
    </row>
    <row r="1550" spans="13:14" ht="14.25" customHeight="1">
      <c r="M1550"/>
      <c r="N1550"/>
    </row>
    <row r="1551" spans="13:14" ht="14.25" customHeight="1">
      <c r="M1551"/>
      <c r="N1551"/>
    </row>
    <row r="1552" spans="13:14" ht="14.25" customHeight="1">
      <c r="M1552"/>
      <c r="N1552"/>
    </row>
    <row r="1553" spans="13:14" ht="14.25" customHeight="1">
      <c r="M1553"/>
      <c r="N1553"/>
    </row>
    <row r="1554" spans="13:14" ht="14.25" customHeight="1">
      <c r="M1554"/>
      <c r="N1554"/>
    </row>
    <row r="1555" spans="13:14" ht="14.25" customHeight="1">
      <c r="M1555"/>
      <c r="N1555"/>
    </row>
    <row r="1556" spans="13:14" ht="14.25" customHeight="1">
      <c r="M1556"/>
      <c r="N1556"/>
    </row>
    <row r="1557" spans="13:14" ht="14.25" customHeight="1">
      <c r="M1557"/>
      <c r="N1557"/>
    </row>
    <row r="1558" spans="13:14" ht="14.25" customHeight="1">
      <c r="M1558"/>
      <c r="N1558"/>
    </row>
    <row r="1559" spans="13:14" ht="14.25" customHeight="1">
      <c r="M1559"/>
      <c r="N1559"/>
    </row>
    <row r="1560" spans="13:14" ht="14.25" customHeight="1">
      <c r="M1560"/>
      <c r="N1560"/>
    </row>
    <row r="1561" spans="13:14" ht="14.25" customHeight="1">
      <c r="M1561"/>
      <c r="N1561"/>
    </row>
    <row r="1562" spans="13:14" ht="14.25" customHeight="1">
      <c r="M1562"/>
      <c r="N1562"/>
    </row>
    <row r="1563" spans="13:14" ht="14.25" customHeight="1">
      <c r="M1563"/>
      <c r="N1563"/>
    </row>
    <row r="1564" spans="13:14" ht="14.25" customHeight="1">
      <c r="M1564"/>
      <c r="N1564"/>
    </row>
    <row r="1565" spans="13:14" ht="14.25" customHeight="1">
      <c r="M1565"/>
      <c r="N1565"/>
    </row>
    <row r="1566" spans="13:14" ht="14.25" customHeight="1">
      <c r="M1566"/>
      <c r="N1566"/>
    </row>
    <row r="1567" spans="13:14" ht="14.25" customHeight="1">
      <c r="M1567"/>
      <c r="N1567"/>
    </row>
    <row r="1568" spans="13:14" ht="14.25" customHeight="1">
      <c r="M1568"/>
      <c r="N1568"/>
    </row>
    <row r="1569" spans="13:14" ht="14.25" customHeight="1">
      <c r="M1569"/>
      <c r="N1569"/>
    </row>
    <row r="1570" spans="13:14" ht="14.25" customHeight="1">
      <c r="M1570"/>
      <c r="N1570"/>
    </row>
    <row r="1571" spans="13:14" ht="14.25" customHeight="1">
      <c r="M1571"/>
      <c r="N1571"/>
    </row>
    <row r="1572" spans="13:14" ht="14.25" customHeight="1">
      <c r="M1572"/>
      <c r="N1572"/>
    </row>
    <row r="1573" spans="13:14" ht="14.25" customHeight="1">
      <c r="M1573"/>
      <c r="N1573"/>
    </row>
    <row r="1574" spans="13:14" ht="14.25" customHeight="1">
      <c r="M1574"/>
      <c r="N1574"/>
    </row>
    <row r="1575" spans="13:14" ht="14.25" customHeight="1">
      <c r="M1575"/>
      <c r="N1575"/>
    </row>
    <row r="1576" spans="13:14" ht="14.25" customHeight="1">
      <c r="M1576"/>
      <c r="N1576"/>
    </row>
    <row r="1577" spans="13:14" ht="14.25" customHeight="1">
      <c r="M1577"/>
      <c r="N1577"/>
    </row>
    <row r="1578" spans="13:14" ht="14.25" customHeight="1">
      <c r="M1578"/>
      <c r="N1578"/>
    </row>
    <row r="1579" spans="13:14" ht="14.25" customHeight="1">
      <c r="M1579"/>
      <c r="N1579"/>
    </row>
    <row r="1580" spans="13:14" ht="14.25" customHeight="1">
      <c r="M1580"/>
      <c r="N1580"/>
    </row>
    <row r="1581" spans="13:14" ht="14.25" customHeight="1">
      <c r="M1581"/>
      <c r="N1581"/>
    </row>
    <row r="1582" spans="13:14" ht="14.25" customHeight="1">
      <c r="M1582"/>
      <c r="N1582"/>
    </row>
    <row r="1583" spans="13:14" ht="14.25" customHeight="1">
      <c r="M1583"/>
      <c r="N1583"/>
    </row>
    <row r="1584" spans="13:14" ht="14.25" customHeight="1">
      <c r="M1584"/>
      <c r="N1584"/>
    </row>
    <row r="1585" spans="13:14" ht="14.25" customHeight="1">
      <c r="M1585"/>
      <c r="N1585"/>
    </row>
    <row r="1586" spans="13:14" ht="14.25" customHeight="1">
      <c r="M1586"/>
      <c r="N1586"/>
    </row>
    <row r="1587" spans="13:14" ht="14.25" customHeight="1">
      <c r="M1587"/>
      <c r="N1587"/>
    </row>
    <row r="1588" spans="13:14" ht="14.25" customHeight="1">
      <c r="M1588"/>
      <c r="N1588"/>
    </row>
    <row r="1589" spans="13:14" ht="14.25" customHeight="1">
      <c r="M1589"/>
      <c r="N1589"/>
    </row>
    <row r="1590" spans="13:14" ht="14.25" customHeight="1">
      <c r="M1590"/>
      <c r="N1590"/>
    </row>
    <row r="1591" spans="13:14" ht="14.25" customHeight="1">
      <c r="M1591"/>
      <c r="N1591"/>
    </row>
    <row r="1592" spans="13:14" ht="14.25" customHeight="1">
      <c r="M1592"/>
      <c r="N1592"/>
    </row>
    <row r="1593" spans="13:14" ht="14.25" customHeight="1">
      <c r="M1593"/>
      <c r="N1593"/>
    </row>
    <row r="1594" spans="13:14" ht="14.25" customHeight="1">
      <c r="M1594"/>
      <c r="N1594"/>
    </row>
    <row r="1595" spans="13:14" ht="14.25" customHeight="1">
      <c r="M1595"/>
      <c r="N1595"/>
    </row>
    <row r="1596" spans="13:14" ht="14.25" customHeight="1">
      <c r="M1596"/>
      <c r="N1596"/>
    </row>
    <row r="1597" spans="13:14" ht="14.25" customHeight="1">
      <c r="M1597"/>
      <c r="N1597"/>
    </row>
    <row r="1598" spans="13:14" ht="14.25" customHeight="1">
      <c r="M1598"/>
      <c r="N1598"/>
    </row>
    <row r="1599" spans="13:14" ht="14.25" customHeight="1">
      <c r="M1599"/>
      <c r="N1599"/>
    </row>
    <row r="1600" spans="13:14" ht="14.25" customHeight="1">
      <c r="M1600"/>
      <c r="N1600"/>
    </row>
    <row r="1601" spans="13:14" ht="14.25" customHeight="1">
      <c r="M1601"/>
      <c r="N1601"/>
    </row>
    <row r="1602" spans="13:14" ht="14.25" customHeight="1">
      <c r="M1602"/>
      <c r="N1602"/>
    </row>
    <row r="1603" spans="13:14" ht="14.25" customHeight="1">
      <c r="M1603"/>
      <c r="N1603"/>
    </row>
    <row r="1604" spans="13:14" ht="14.25" customHeight="1">
      <c r="M1604"/>
      <c r="N1604"/>
    </row>
    <row r="1605" spans="13:14" ht="14.25" customHeight="1">
      <c r="M1605"/>
      <c r="N1605"/>
    </row>
    <row r="1606" spans="13:14" ht="14.25" customHeight="1">
      <c r="M1606"/>
      <c r="N1606"/>
    </row>
    <row r="1607" spans="13:14" ht="14.25" customHeight="1">
      <c r="M1607"/>
      <c r="N1607"/>
    </row>
    <row r="1608" spans="13:14" ht="14.25" customHeight="1">
      <c r="M1608"/>
      <c r="N1608"/>
    </row>
    <row r="1609" spans="13:14" ht="14.25" customHeight="1">
      <c r="M1609"/>
      <c r="N1609"/>
    </row>
    <row r="1610" spans="13:14" ht="14.25" customHeight="1">
      <c r="M1610"/>
      <c r="N1610"/>
    </row>
    <row r="1611" spans="13:14" ht="14.25" customHeight="1">
      <c r="M1611"/>
      <c r="N1611"/>
    </row>
    <row r="1612" spans="13:14" ht="14.25" customHeight="1">
      <c r="M1612"/>
      <c r="N1612"/>
    </row>
    <row r="1613" spans="13:14" ht="14.25" customHeight="1">
      <c r="M1613"/>
      <c r="N1613"/>
    </row>
    <row r="1614" spans="13:14" ht="14.25" customHeight="1">
      <c r="M1614"/>
      <c r="N1614"/>
    </row>
    <row r="1615" spans="13:14" ht="14.25" customHeight="1">
      <c r="M1615"/>
      <c r="N1615"/>
    </row>
    <row r="1616" spans="13:14" ht="14.25" customHeight="1">
      <c r="M1616"/>
      <c r="N1616"/>
    </row>
    <row r="1617" spans="13:14" ht="14.25" customHeight="1">
      <c r="M1617"/>
      <c r="N1617"/>
    </row>
    <row r="1618" spans="13:14" ht="14.25" customHeight="1">
      <c r="M1618"/>
      <c r="N1618"/>
    </row>
    <row r="1619" spans="13:14" ht="14.25" customHeight="1">
      <c r="M1619"/>
      <c r="N1619"/>
    </row>
    <row r="1620" spans="13:14" ht="14.25" customHeight="1">
      <c r="M1620"/>
      <c r="N1620"/>
    </row>
    <row r="1621" spans="13:14" ht="14.25" customHeight="1">
      <c r="M1621"/>
      <c r="N1621"/>
    </row>
    <row r="1622" spans="13:14" ht="14.25" customHeight="1">
      <c r="M1622"/>
      <c r="N1622"/>
    </row>
    <row r="1623" spans="13:14" ht="14.25" customHeight="1">
      <c r="M1623"/>
      <c r="N1623"/>
    </row>
    <row r="1624" spans="13:14" ht="14.25" customHeight="1">
      <c r="M1624"/>
      <c r="N1624"/>
    </row>
    <row r="1625" spans="13:14" ht="14.25" customHeight="1">
      <c r="M1625"/>
      <c r="N1625"/>
    </row>
    <row r="1626" spans="13:14" ht="14.25" customHeight="1">
      <c r="M1626"/>
      <c r="N1626"/>
    </row>
    <row r="1627" spans="13:14" ht="14.25" customHeight="1">
      <c r="M1627"/>
      <c r="N1627"/>
    </row>
    <row r="1628" spans="13:14" ht="14.25" customHeight="1">
      <c r="M1628"/>
      <c r="N1628"/>
    </row>
    <row r="1629" spans="13:14" ht="14.25" customHeight="1">
      <c r="M1629"/>
      <c r="N1629"/>
    </row>
    <row r="1630" spans="13:14" ht="14.25" customHeight="1">
      <c r="M1630"/>
      <c r="N1630"/>
    </row>
    <row r="1631" spans="13:14" ht="14.25" customHeight="1">
      <c r="M1631"/>
      <c r="N1631"/>
    </row>
    <row r="1632" spans="13:14" ht="14.25" customHeight="1">
      <c r="M1632"/>
      <c r="N1632"/>
    </row>
    <row r="1633" spans="13:14" ht="14.25" customHeight="1">
      <c r="M1633"/>
      <c r="N1633"/>
    </row>
    <row r="1634" spans="13:14" ht="14.25" customHeight="1">
      <c r="M1634"/>
      <c r="N1634"/>
    </row>
    <row r="1635" spans="13:14" ht="14.25" customHeight="1">
      <c r="M1635"/>
      <c r="N1635"/>
    </row>
    <row r="1636" spans="13:14" ht="14.25" customHeight="1">
      <c r="M1636"/>
      <c r="N1636"/>
    </row>
    <row r="1637" spans="13:14" ht="14.25" customHeight="1">
      <c r="M1637"/>
      <c r="N1637"/>
    </row>
    <row r="1638" spans="13:14" ht="14.25" customHeight="1">
      <c r="M1638"/>
      <c r="N1638"/>
    </row>
    <row r="1639" spans="13:14" ht="14.25" customHeight="1">
      <c r="M1639"/>
      <c r="N1639"/>
    </row>
    <row r="1640" spans="13:14" ht="14.25" customHeight="1">
      <c r="M1640"/>
      <c r="N1640"/>
    </row>
    <row r="1641" spans="13:14" ht="14.25" customHeight="1">
      <c r="M1641"/>
      <c r="N1641"/>
    </row>
    <row r="1642" spans="13:14" ht="14.25" customHeight="1">
      <c r="M1642"/>
      <c r="N1642"/>
    </row>
    <row r="1643" spans="13:14" ht="14.25" customHeight="1">
      <c r="M1643"/>
      <c r="N1643"/>
    </row>
    <row r="1644" spans="13:14" ht="14.25" customHeight="1">
      <c r="M1644"/>
      <c r="N1644"/>
    </row>
    <row r="1645" spans="13:14" ht="14.25" customHeight="1">
      <c r="M1645"/>
      <c r="N1645"/>
    </row>
    <row r="1646" spans="13:14" ht="14.25" customHeight="1">
      <c r="M1646"/>
      <c r="N1646"/>
    </row>
    <row r="1647" spans="13:14" ht="14.25" customHeight="1">
      <c r="M1647"/>
      <c r="N1647"/>
    </row>
    <row r="1648" spans="13:14" ht="14.25" customHeight="1">
      <c r="M1648"/>
      <c r="N1648"/>
    </row>
    <row r="1649" spans="13:14" ht="14.25" customHeight="1">
      <c r="M1649"/>
      <c r="N1649"/>
    </row>
    <row r="1650" spans="13:14" ht="14.25" customHeight="1">
      <c r="M1650"/>
      <c r="N1650"/>
    </row>
    <row r="1651" spans="13:14" ht="14.25" customHeight="1">
      <c r="M1651"/>
      <c r="N1651"/>
    </row>
    <row r="1652" spans="13:14" ht="14.25" customHeight="1">
      <c r="M1652"/>
      <c r="N1652"/>
    </row>
    <row r="1653" spans="13:14" ht="14.25" customHeight="1">
      <c r="M1653"/>
      <c r="N1653"/>
    </row>
    <row r="1654" spans="13:14" ht="14.25" customHeight="1">
      <c r="M1654"/>
      <c r="N1654"/>
    </row>
    <row r="1655" spans="13:14" ht="14.25" customHeight="1">
      <c r="M1655"/>
      <c r="N1655"/>
    </row>
    <row r="1656" spans="13:14" ht="14.25" customHeight="1">
      <c r="M1656"/>
      <c r="N1656"/>
    </row>
    <row r="1657" spans="13:14" ht="14.25" customHeight="1">
      <c r="M1657"/>
      <c r="N1657"/>
    </row>
    <row r="1658" spans="13:14" ht="14.25" customHeight="1">
      <c r="M1658"/>
      <c r="N1658"/>
    </row>
    <row r="1659" spans="13:14" ht="14.25" customHeight="1">
      <c r="M1659"/>
      <c r="N1659"/>
    </row>
    <row r="1660" spans="13:14" ht="14.25" customHeight="1">
      <c r="M1660"/>
      <c r="N1660"/>
    </row>
    <row r="1661" spans="13:14" ht="14.25" customHeight="1">
      <c r="M1661"/>
      <c r="N1661"/>
    </row>
    <row r="1662" spans="13:14" ht="14.25" customHeight="1">
      <c r="M1662"/>
      <c r="N1662"/>
    </row>
    <row r="1663" spans="13:14" ht="14.25" customHeight="1">
      <c r="M1663"/>
      <c r="N1663"/>
    </row>
    <row r="1664" spans="13:14" ht="14.25" customHeight="1">
      <c r="M1664"/>
      <c r="N1664"/>
    </row>
    <row r="1665" spans="13:14" ht="14.25" customHeight="1">
      <c r="M1665"/>
      <c r="N1665"/>
    </row>
    <row r="1666" spans="13:14" ht="14.25" customHeight="1">
      <c r="M1666"/>
      <c r="N1666"/>
    </row>
    <row r="1667" spans="13:14" ht="14.25" customHeight="1">
      <c r="M1667"/>
      <c r="N1667"/>
    </row>
    <row r="1668" spans="13:14" ht="14.25" customHeight="1">
      <c r="M1668"/>
      <c r="N1668"/>
    </row>
    <row r="1669" spans="13:14" ht="14.25" customHeight="1">
      <c r="M1669"/>
      <c r="N1669"/>
    </row>
    <row r="1670" spans="13:14" ht="14.25" customHeight="1">
      <c r="M1670"/>
      <c r="N1670"/>
    </row>
    <row r="1671" spans="13:14" ht="14.25" customHeight="1">
      <c r="M1671"/>
      <c r="N1671"/>
    </row>
    <row r="1672" spans="13:14" ht="14.25" customHeight="1">
      <c r="M1672"/>
      <c r="N1672"/>
    </row>
    <row r="1673" spans="13:14" ht="14.25" customHeight="1">
      <c r="M1673"/>
      <c r="N1673"/>
    </row>
    <row r="1674" spans="13:14" ht="14.25" customHeight="1">
      <c r="M1674"/>
      <c r="N1674"/>
    </row>
    <row r="1675" spans="13:14" ht="14.25" customHeight="1">
      <c r="M1675"/>
      <c r="N1675"/>
    </row>
    <row r="1676" spans="13:14" ht="14.25" customHeight="1">
      <c r="M1676"/>
      <c r="N1676"/>
    </row>
    <row r="1677" spans="13:14" ht="14.25" customHeight="1">
      <c r="M1677"/>
      <c r="N1677"/>
    </row>
    <row r="1678" spans="13:14" ht="14.25" customHeight="1">
      <c r="M1678"/>
      <c r="N1678"/>
    </row>
    <row r="1679" spans="13:14" ht="14.25" customHeight="1">
      <c r="M1679"/>
      <c r="N1679"/>
    </row>
    <row r="1680" spans="13:14" ht="14.25" customHeight="1">
      <c r="M1680"/>
      <c r="N1680"/>
    </row>
    <row r="1681" spans="13:14" ht="14.25" customHeight="1">
      <c r="M1681"/>
      <c r="N1681"/>
    </row>
    <row r="1682" spans="13:14" ht="14.25" customHeight="1">
      <c r="M1682"/>
      <c r="N1682"/>
    </row>
    <row r="1683" spans="13:14" ht="14.25" customHeight="1">
      <c r="M1683"/>
      <c r="N1683"/>
    </row>
    <row r="1684" spans="13:14" ht="14.25" customHeight="1">
      <c r="M1684"/>
      <c r="N1684"/>
    </row>
    <row r="1685" spans="13:14" ht="14.25" customHeight="1">
      <c r="M1685"/>
      <c r="N1685"/>
    </row>
    <row r="1686" spans="13:14" ht="14.25" customHeight="1">
      <c r="M1686"/>
      <c r="N1686"/>
    </row>
    <row r="1687" spans="13:14" ht="14.25" customHeight="1">
      <c r="M1687"/>
      <c r="N1687"/>
    </row>
    <row r="1688" spans="13:14" ht="14.25" customHeight="1">
      <c r="M1688"/>
      <c r="N1688"/>
    </row>
    <row r="1689" spans="13:14" ht="14.25" customHeight="1">
      <c r="M1689"/>
      <c r="N1689"/>
    </row>
    <row r="1690" spans="13:14" ht="14.25" customHeight="1">
      <c r="M1690"/>
      <c r="N1690"/>
    </row>
    <row r="1691" spans="13:14" ht="14.25" customHeight="1">
      <c r="M1691"/>
      <c r="N1691"/>
    </row>
    <row r="1692" spans="13:14" ht="14.25" customHeight="1">
      <c r="M1692"/>
      <c r="N1692"/>
    </row>
    <row r="1693" spans="13:14" ht="14.25" customHeight="1">
      <c r="M1693"/>
      <c r="N1693"/>
    </row>
    <row r="1694" spans="13:14" ht="14.25" customHeight="1">
      <c r="M1694"/>
      <c r="N1694"/>
    </row>
    <row r="1695" spans="13:14" ht="14.25" customHeight="1">
      <c r="M1695"/>
      <c r="N1695"/>
    </row>
    <row r="1696" spans="13:14" ht="14.25" customHeight="1">
      <c r="M1696"/>
      <c r="N1696"/>
    </row>
    <row r="1697" spans="13:14" ht="14.25" customHeight="1">
      <c r="M1697"/>
      <c r="N1697"/>
    </row>
    <row r="1698" spans="13:14" ht="14.25" customHeight="1">
      <c r="M1698"/>
      <c r="N1698"/>
    </row>
    <row r="1699" spans="13:14" ht="14.25" customHeight="1">
      <c r="M1699"/>
      <c r="N1699"/>
    </row>
    <row r="1700" spans="13:14" ht="14.25" customHeight="1">
      <c r="M1700"/>
      <c r="N1700"/>
    </row>
    <row r="1701" spans="13:14" ht="14.25" customHeight="1">
      <c r="M1701"/>
      <c r="N1701"/>
    </row>
    <row r="1702" spans="13:14" ht="14.25" customHeight="1">
      <c r="M1702"/>
      <c r="N1702"/>
    </row>
    <row r="1703" spans="13:14" ht="14.25" customHeight="1">
      <c r="M1703"/>
      <c r="N1703"/>
    </row>
    <row r="1704" spans="13:14" ht="14.25" customHeight="1">
      <c r="M1704"/>
      <c r="N1704"/>
    </row>
    <row r="1705" spans="13:14" ht="14.25" customHeight="1">
      <c r="M1705"/>
      <c r="N1705"/>
    </row>
    <row r="1706" spans="13:14" ht="14.25" customHeight="1">
      <c r="M1706"/>
      <c r="N1706"/>
    </row>
    <row r="1707" spans="13:14" ht="14.25" customHeight="1">
      <c r="M1707"/>
      <c r="N1707"/>
    </row>
    <row r="1708" spans="13:14" ht="14.25" customHeight="1">
      <c r="M1708"/>
      <c r="N1708"/>
    </row>
    <row r="1709" spans="13:14" ht="14.25" customHeight="1">
      <c r="M1709"/>
      <c r="N1709"/>
    </row>
    <row r="1710" spans="13:14" ht="14.25" customHeight="1">
      <c r="M1710"/>
      <c r="N1710"/>
    </row>
    <row r="1711" spans="13:14" ht="14.25" customHeight="1">
      <c r="M1711"/>
      <c r="N1711"/>
    </row>
    <row r="1712" spans="13:14" ht="14.25" customHeight="1">
      <c r="M1712"/>
      <c r="N1712"/>
    </row>
    <row r="1713" spans="13:14" ht="14.25" customHeight="1">
      <c r="M1713"/>
      <c r="N1713"/>
    </row>
    <row r="1714" spans="13:14" ht="14.25" customHeight="1">
      <c r="M1714"/>
      <c r="N1714"/>
    </row>
    <row r="1715" spans="13:14" ht="14.25" customHeight="1">
      <c r="M1715"/>
      <c r="N1715"/>
    </row>
    <row r="1716" spans="13:14" ht="14.25" customHeight="1">
      <c r="M1716"/>
      <c r="N1716"/>
    </row>
    <row r="1717" spans="13:14" ht="14.25" customHeight="1">
      <c r="M1717"/>
      <c r="N1717"/>
    </row>
    <row r="1718" spans="13:14" ht="14.25" customHeight="1">
      <c r="M1718"/>
      <c r="N1718"/>
    </row>
    <row r="1719" spans="13:14" ht="14.25" customHeight="1">
      <c r="M1719"/>
      <c r="N1719"/>
    </row>
    <row r="1720" spans="13:14" ht="14.25" customHeight="1">
      <c r="M1720"/>
      <c r="N1720"/>
    </row>
    <row r="1721" spans="13:14" ht="14.25" customHeight="1">
      <c r="M1721"/>
      <c r="N1721"/>
    </row>
    <row r="1722" spans="13:14" ht="14.25" customHeight="1">
      <c r="M1722"/>
      <c r="N1722"/>
    </row>
    <row r="1723" spans="13:14" ht="14.25" customHeight="1">
      <c r="M1723"/>
      <c r="N1723"/>
    </row>
    <row r="1724" spans="13:14" ht="14.25" customHeight="1">
      <c r="M1724"/>
      <c r="N1724"/>
    </row>
    <row r="1725" spans="13:14" ht="14.25" customHeight="1">
      <c r="M1725"/>
      <c r="N1725"/>
    </row>
    <row r="1726" spans="13:14" ht="14.25" customHeight="1">
      <c r="M1726"/>
      <c r="N1726"/>
    </row>
    <row r="1727" spans="13:14" ht="14.25" customHeight="1">
      <c r="M1727"/>
      <c r="N1727"/>
    </row>
    <row r="1728" spans="13:14" ht="14.25" customHeight="1">
      <c r="M1728"/>
      <c r="N1728"/>
    </row>
    <row r="1729" spans="13:14" ht="14.25" customHeight="1">
      <c r="M1729"/>
      <c r="N1729"/>
    </row>
    <row r="1730" spans="13:14" ht="14.25" customHeight="1">
      <c r="M1730"/>
      <c r="N1730"/>
    </row>
    <row r="1731" spans="13:14" ht="14.25" customHeight="1">
      <c r="M1731"/>
      <c r="N1731"/>
    </row>
    <row r="1732" spans="13:14" ht="14.25" customHeight="1">
      <c r="M1732"/>
      <c r="N1732"/>
    </row>
    <row r="1733" spans="13:14" ht="14.25" customHeight="1">
      <c r="M1733"/>
      <c r="N1733"/>
    </row>
    <row r="1734" spans="13:14" ht="14.25" customHeight="1">
      <c r="M1734"/>
      <c r="N1734"/>
    </row>
    <row r="1735" spans="13:14" ht="14.25" customHeight="1">
      <c r="M1735"/>
      <c r="N1735"/>
    </row>
    <row r="1736" spans="13:14" ht="14.25" customHeight="1">
      <c r="M1736"/>
      <c r="N1736"/>
    </row>
    <row r="1737" spans="13:14" ht="14.25" customHeight="1">
      <c r="M1737"/>
      <c r="N1737"/>
    </row>
    <row r="1738" spans="13:14" ht="14.25" customHeight="1">
      <c r="M1738"/>
      <c r="N1738"/>
    </row>
    <row r="1739" spans="13:14" ht="14.25" customHeight="1">
      <c r="M1739"/>
      <c r="N1739"/>
    </row>
    <row r="1740" spans="13:14" ht="14.25" customHeight="1">
      <c r="M1740"/>
      <c r="N1740"/>
    </row>
    <row r="1741" spans="13:14" ht="14.25" customHeight="1">
      <c r="M1741"/>
      <c r="N1741"/>
    </row>
    <row r="1742" spans="13:14" ht="14.25" customHeight="1">
      <c r="M1742"/>
      <c r="N1742"/>
    </row>
    <row r="1743" spans="13:14" ht="14.25" customHeight="1">
      <c r="M1743"/>
      <c r="N1743"/>
    </row>
    <row r="1744" spans="13:14" ht="14.25" customHeight="1">
      <c r="M1744"/>
      <c r="N1744"/>
    </row>
    <row r="1745" spans="13:14" ht="14.25" customHeight="1">
      <c r="M1745"/>
      <c r="N1745"/>
    </row>
    <row r="1746" spans="13:14" ht="14.25" customHeight="1">
      <c r="M1746"/>
      <c r="N1746"/>
    </row>
    <row r="1747" spans="13:14" ht="14.25" customHeight="1">
      <c r="M1747"/>
      <c r="N1747"/>
    </row>
    <row r="1748" spans="13:14" ht="14.25" customHeight="1">
      <c r="M1748"/>
      <c r="N1748"/>
    </row>
    <row r="1749" spans="13:14" ht="14.25" customHeight="1">
      <c r="M1749"/>
      <c r="N1749"/>
    </row>
    <row r="1750" spans="13:14" ht="14.25" customHeight="1">
      <c r="M1750"/>
      <c r="N1750"/>
    </row>
    <row r="1751" spans="13:14" ht="14.25" customHeight="1">
      <c r="M1751"/>
      <c r="N1751"/>
    </row>
    <row r="1752" spans="13:14" ht="14.25" customHeight="1">
      <c r="M1752"/>
      <c r="N1752"/>
    </row>
    <row r="1753" spans="13:14" ht="14.25" customHeight="1">
      <c r="M1753"/>
      <c r="N1753"/>
    </row>
    <row r="1754" spans="13:14" ht="14.25" customHeight="1">
      <c r="M1754"/>
      <c r="N1754"/>
    </row>
    <row r="1755" spans="13:14" ht="14.25" customHeight="1">
      <c r="M1755"/>
      <c r="N1755"/>
    </row>
    <row r="1756" spans="13:14" ht="14.25" customHeight="1">
      <c r="M1756"/>
      <c r="N1756"/>
    </row>
    <row r="1757" spans="13:14" ht="14.25" customHeight="1">
      <c r="M1757"/>
      <c r="N1757"/>
    </row>
    <row r="1758" spans="13:14" ht="14.25" customHeight="1">
      <c r="M1758"/>
      <c r="N1758"/>
    </row>
    <row r="1759" spans="13:14" ht="14.25" customHeight="1">
      <c r="M1759"/>
      <c r="N1759"/>
    </row>
    <row r="1760" spans="13:14" ht="14.25" customHeight="1">
      <c r="M1760"/>
      <c r="N1760"/>
    </row>
    <row r="1761" spans="13:14" ht="14.25" customHeight="1">
      <c r="M1761"/>
      <c r="N1761"/>
    </row>
    <row r="1762" spans="13:14" ht="14.25" customHeight="1">
      <c r="M1762"/>
      <c r="N1762"/>
    </row>
    <row r="1763" spans="13:14" ht="14.25" customHeight="1">
      <c r="M1763"/>
      <c r="N1763"/>
    </row>
    <row r="1764" spans="13:14" ht="14.25" customHeight="1">
      <c r="M1764"/>
      <c r="N1764"/>
    </row>
    <row r="1765" spans="13:14" ht="14.25" customHeight="1">
      <c r="M1765"/>
      <c r="N1765"/>
    </row>
    <row r="1766" spans="13:14" ht="14.25" customHeight="1">
      <c r="M1766"/>
      <c r="N1766"/>
    </row>
    <row r="1767" spans="13:14" ht="14.25" customHeight="1">
      <c r="M1767"/>
      <c r="N1767"/>
    </row>
    <row r="1768" spans="13:14" ht="14.25" customHeight="1">
      <c r="M1768"/>
      <c r="N1768"/>
    </row>
    <row r="1769" spans="13:14" ht="14.25" customHeight="1">
      <c r="M1769"/>
      <c r="N1769"/>
    </row>
    <row r="1770" spans="13:14" ht="14.25" customHeight="1">
      <c r="M1770"/>
      <c r="N1770"/>
    </row>
    <row r="1771" spans="13:14" ht="14.25" customHeight="1">
      <c r="M1771"/>
      <c r="N1771"/>
    </row>
    <row r="1772" spans="13:14" ht="14.25" customHeight="1">
      <c r="M1772"/>
      <c r="N1772"/>
    </row>
    <row r="1773" spans="13:14" ht="14.25" customHeight="1">
      <c r="M1773"/>
      <c r="N1773"/>
    </row>
    <row r="1774" spans="13:14" ht="14.25" customHeight="1">
      <c r="M1774"/>
      <c r="N1774"/>
    </row>
    <row r="1775" spans="13:14" ht="14.25" customHeight="1">
      <c r="M1775"/>
      <c r="N1775"/>
    </row>
    <row r="1776" spans="13:14" ht="14.25" customHeight="1">
      <c r="M1776"/>
      <c r="N1776"/>
    </row>
    <row r="1777" spans="13:14" ht="14.25" customHeight="1">
      <c r="M1777"/>
      <c r="N1777"/>
    </row>
    <row r="1778" spans="13:14" ht="14.25" customHeight="1">
      <c r="M1778"/>
      <c r="N1778"/>
    </row>
    <row r="1779" spans="13:14" ht="14.25" customHeight="1">
      <c r="M1779"/>
      <c r="N1779"/>
    </row>
    <row r="1780" spans="13:14" ht="14.25" customHeight="1">
      <c r="M1780"/>
      <c r="N1780"/>
    </row>
    <row r="1781" spans="13:14" ht="14.25" customHeight="1">
      <c r="M1781"/>
      <c r="N1781"/>
    </row>
    <row r="1782" spans="13:14" ht="14.25" customHeight="1">
      <c r="M1782"/>
      <c r="N1782"/>
    </row>
    <row r="1783" spans="13:14" ht="14.25" customHeight="1">
      <c r="M1783"/>
      <c r="N1783"/>
    </row>
    <row r="1784" spans="13:14" ht="14.25" customHeight="1">
      <c r="M1784"/>
      <c r="N1784"/>
    </row>
    <row r="1785" spans="13:14" ht="14.25" customHeight="1">
      <c r="M1785"/>
      <c r="N1785"/>
    </row>
    <row r="1786" spans="13:14" ht="14.25" customHeight="1">
      <c r="M1786"/>
      <c r="N1786"/>
    </row>
    <row r="1787" spans="13:14" ht="14.25" customHeight="1">
      <c r="M1787"/>
      <c r="N1787"/>
    </row>
    <row r="1788" spans="13:14" ht="14.25" customHeight="1">
      <c r="M1788"/>
      <c r="N1788"/>
    </row>
    <row r="1789" spans="13:14" ht="14.25" customHeight="1">
      <c r="M1789"/>
      <c r="N1789"/>
    </row>
    <row r="1790" spans="13:14" ht="14.25" customHeight="1">
      <c r="M1790"/>
      <c r="N1790"/>
    </row>
    <row r="1791" spans="13:14" ht="14.25" customHeight="1">
      <c r="M1791"/>
      <c r="N1791"/>
    </row>
    <row r="1792" spans="13:14" ht="14.25" customHeight="1">
      <c r="M1792"/>
      <c r="N1792"/>
    </row>
    <row r="1793" spans="13:14" ht="14.25" customHeight="1">
      <c r="M1793"/>
      <c r="N1793"/>
    </row>
    <row r="1794" spans="13:14" ht="14.25" customHeight="1">
      <c r="M1794"/>
      <c r="N1794"/>
    </row>
    <row r="1795" spans="13:14" ht="14.25" customHeight="1">
      <c r="M1795"/>
      <c r="N1795"/>
    </row>
    <row r="1796" spans="13:14" ht="14.25" customHeight="1">
      <c r="M1796"/>
      <c r="N1796"/>
    </row>
    <row r="1797" spans="13:14" ht="14.25" customHeight="1">
      <c r="M1797"/>
      <c r="N1797"/>
    </row>
    <row r="1798" spans="13:14" ht="14.25" customHeight="1">
      <c r="M1798"/>
      <c r="N1798"/>
    </row>
    <row r="1799" spans="13:14" ht="14.25" customHeight="1">
      <c r="M1799"/>
      <c r="N1799"/>
    </row>
    <row r="1800" spans="13:14" ht="14.25" customHeight="1">
      <c r="M1800"/>
      <c r="N1800"/>
    </row>
    <row r="1801" spans="13:14" ht="14.25" customHeight="1">
      <c r="M1801"/>
      <c r="N1801"/>
    </row>
    <row r="1802" spans="13:14" ht="14.25" customHeight="1">
      <c r="M1802"/>
      <c r="N1802"/>
    </row>
    <row r="1803" spans="13:14" ht="14.25" customHeight="1">
      <c r="M1803"/>
      <c r="N1803"/>
    </row>
    <row r="1804" spans="13:14" ht="14.25" customHeight="1">
      <c r="M1804"/>
      <c r="N1804"/>
    </row>
    <row r="1805" spans="13:14" ht="14.25" customHeight="1">
      <c r="M1805"/>
      <c r="N1805"/>
    </row>
    <row r="1806" spans="13:14" ht="14.25" customHeight="1">
      <c r="M1806"/>
      <c r="N1806"/>
    </row>
    <row r="1807" spans="13:14" ht="14.25" customHeight="1">
      <c r="M1807"/>
      <c r="N1807"/>
    </row>
    <row r="1808" spans="13:14" ht="14.25" customHeight="1">
      <c r="M1808"/>
      <c r="N1808"/>
    </row>
    <row r="1809" spans="13:14" ht="14.25" customHeight="1">
      <c r="M1809"/>
      <c r="N1809"/>
    </row>
    <row r="1810" spans="13:14" ht="14.25" customHeight="1">
      <c r="M1810"/>
      <c r="N1810"/>
    </row>
    <row r="1811" spans="13:14" ht="14.25" customHeight="1">
      <c r="M1811"/>
      <c r="N1811"/>
    </row>
    <row r="1812" spans="13:14" ht="14.25" customHeight="1">
      <c r="M1812"/>
      <c r="N1812"/>
    </row>
    <row r="1813" spans="13:14" ht="14.25" customHeight="1">
      <c r="M1813"/>
      <c r="N1813"/>
    </row>
    <row r="1814" spans="13:14" ht="14.25" customHeight="1">
      <c r="M1814"/>
      <c r="N1814"/>
    </row>
    <row r="1815" spans="13:14" ht="14.25" customHeight="1">
      <c r="M1815"/>
      <c r="N1815"/>
    </row>
    <row r="1816" spans="13:14" ht="14.25" customHeight="1">
      <c r="M1816"/>
      <c r="N1816"/>
    </row>
    <row r="1817" spans="13:14" ht="14.25" customHeight="1">
      <c r="M1817"/>
      <c r="N1817"/>
    </row>
    <row r="1818" spans="13:14" ht="14.25" customHeight="1">
      <c r="M1818"/>
      <c r="N1818"/>
    </row>
    <row r="1819" spans="13:14" ht="14.25" customHeight="1">
      <c r="M1819"/>
      <c r="N1819"/>
    </row>
    <row r="1820" spans="13:14" ht="14.25" customHeight="1">
      <c r="M1820"/>
      <c r="N1820"/>
    </row>
    <row r="1821" spans="13:14" ht="14.25" customHeight="1">
      <c r="M1821"/>
      <c r="N1821"/>
    </row>
    <row r="1822" spans="13:14" ht="14.25" customHeight="1">
      <c r="M1822"/>
      <c r="N1822"/>
    </row>
    <row r="1823" spans="13:14" ht="14.25" customHeight="1">
      <c r="M1823"/>
      <c r="N1823"/>
    </row>
    <row r="1824" spans="13:14" ht="14.25" customHeight="1">
      <c r="M1824"/>
      <c r="N1824"/>
    </row>
    <row r="1825" spans="13:14" ht="14.25" customHeight="1">
      <c r="M1825"/>
      <c r="N1825"/>
    </row>
    <row r="1826" spans="13:14" ht="14.25" customHeight="1">
      <c r="M1826"/>
      <c r="N1826"/>
    </row>
    <row r="1827" spans="13:14" ht="14.25" customHeight="1">
      <c r="M1827"/>
      <c r="N1827"/>
    </row>
    <row r="1828" spans="13:14" ht="14.25" customHeight="1">
      <c r="M1828"/>
      <c r="N1828"/>
    </row>
    <row r="1829" spans="13:14" ht="14.25" customHeight="1">
      <c r="M1829"/>
      <c r="N1829"/>
    </row>
    <row r="1830" spans="13:14" ht="14.25" customHeight="1">
      <c r="M1830"/>
      <c r="N1830"/>
    </row>
    <row r="1831" spans="13:14" ht="14.25" customHeight="1">
      <c r="M1831"/>
      <c r="N1831"/>
    </row>
    <row r="1832" spans="13:14" ht="14.25" customHeight="1">
      <c r="M1832"/>
      <c r="N1832"/>
    </row>
    <row r="1833" spans="13:14" ht="14.25" customHeight="1">
      <c r="M1833"/>
      <c r="N1833"/>
    </row>
    <row r="1834" spans="13:14" ht="14.25" customHeight="1">
      <c r="M1834"/>
      <c r="N1834"/>
    </row>
    <row r="1835" spans="13:14" ht="14.25" customHeight="1">
      <c r="M1835"/>
      <c r="N1835"/>
    </row>
    <row r="1836" spans="13:14" ht="14.25" customHeight="1">
      <c r="M1836"/>
      <c r="N1836"/>
    </row>
    <row r="1837" spans="13:14" ht="14.25" customHeight="1">
      <c r="M1837"/>
      <c r="N1837"/>
    </row>
    <row r="1838" spans="13:14" ht="14.25" customHeight="1">
      <c r="M1838"/>
      <c r="N1838"/>
    </row>
    <row r="1839" spans="13:14" ht="14.25" customHeight="1">
      <c r="M1839"/>
      <c r="N1839"/>
    </row>
    <row r="1840" spans="13:14" ht="14.25" customHeight="1">
      <c r="M1840"/>
      <c r="N1840"/>
    </row>
    <row r="1841" spans="13:14" ht="14.25" customHeight="1">
      <c r="M1841"/>
      <c r="N1841"/>
    </row>
    <row r="1842" spans="13:14" ht="14.25" customHeight="1">
      <c r="M1842"/>
      <c r="N1842"/>
    </row>
    <row r="1843" spans="13:14" ht="14.25" customHeight="1">
      <c r="M1843"/>
      <c r="N1843"/>
    </row>
    <row r="1844" spans="13:14" ht="14.25" customHeight="1">
      <c r="M1844"/>
      <c r="N1844"/>
    </row>
    <row r="1845" spans="13:14" ht="14.25" customHeight="1">
      <c r="M1845"/>
      <c r="N1845"/>
    </row>
    <row r="1846" spans="13:14" ht="14.25" customHeight="1">
      <c r="M1846"/>
      <c r="N1846"/>
    </row>
    <row r="1847" spans="13:14" ht="14.25" customHeight="1">
      <c r="M1847"/>
      <c r="N1847"/>
    </row>
    <row r="1848" spans="13:14" ht="14.25" customHeight="1">
      <c r="M1848"/>
      <c r="N1848"/>
    </row>
    <row r="1849" spans="13:14" ht="14.25" customHeight="1">
      <c r="M1849"/>
      <c r="N1849"/>
    </row>
    <row r="1850" spans="13:14" ht="14.25" customHeight="1">
      <c r="M1850"/>
      <c r="N1850"/>
    </row>
    <row r="1851" spans="13:14" ht="14.25" customHeight="1">
      <c r="M1851"/>
      <c r="N1851"/>
    </row>
    <row r="1852" spans="13:14" ht="14.25" customHeight="1">
      <c r="M1852"/>
      <c r="N1852"/>
    </row>
    <row r="1853" spans="13:14" ht="14.25" customHeight="1">
      <c r="M1853"/>
      <c r="N1853"/>
    </row>
    <row r="1854" spans="13:14" ht="14.25" customHeight="1">
      <c r="M1854"/>
      <c r="N1854"/>
    </row>
    <row r="1855" spans="13:14" ht="14.25" customHeight="1">
      <c r="M1855"/>
      <c r="N1855"/>
    </row>
    <row r="1856" spans="13:14" ht="14.25" customHeight="1">
      <c r="M1856"/>
      <c r="N1856"/>
    </row>
    <row r="1857" spans="13:14" ht="14.25" customHeight="1">
      <c r="M1857"/>
      <c r="N1857"/>
    </row>
    <row r="1858" spans="13:14" ht="14.25" customHeight="1">
      <c r="M1858"/>
      <c r="N1858"/>
    </row>
    <row r="1859" spans="13:14" ht="14.25" customHeight="1">
      <c r="M1859"/>
      <c r="N1859"/>
    </row>
    <row r="1860" spans="13:14" ht="14.25" customHeight="1">
      <c r="M1860"/>
      <c r="N1860"/>
    </row>
    <row r="1861" spans="13:14" ht="14.25" customHeight="1">
      <c r="M1861"/>
      <c r="N1861"/>
    </row>
    <row r="1862" spans="13:14" ht="14.25" customHeight="1">
      <c r="M1862"/>
      <c r="N1862"/>
    </row>
    <row r="1863" spans="13:14" ht="14.25" customHeight="1">
      <c r="M1863"/>
      <c r="N1863"/>
    </row>
    <row r="1864" spans="13:14" ht="14.25" customHeight="1">
      <c r="M1864"/>
      <c r="N1864"/>
    </row>
    <row r="1865" spans="13:14" ht="14.25" customHeight="1">
      <c r="M1865"/>
      <c r="N1865"/>
    </row>
    <row r="1866" spans="13:14" ht="14.25" customHeight="1">
      <c r="M1866"/>
      <c r="N1866"/>
    </row>
    <row r="1867" spans="13:14" ht="14.25" customHeight="1">
      <c r="M1867"/>
      <c r="N1867"/>
    </row>
    <row r="1868" spans="13:14" ht="14.25" customHeight="1">
      <c r="M1868"/>
      <c r="N1868"/>
    </row>
    <row r="1869" spans="13:14" ht="14.25" customHeight="1">
      <c r="M1869"/>
      <c r="N1869"/>
    </row>
    <row r="1870" spans="13:14" ht="14.25" customHeight="1">
      <c r="M1870"/>
      <c r="N1870"/>
    </row>
    <row r="1871" spans="13:14" ht="14.25" customHeight="1">
      <c r="M1871"/>
      <c r="N1871"/>
    </row>
    <row r="1872" spans="13:14" ht="14.25" customHeight="1">
      <c r="M1872"/>
      <c r="N1872"/>
    </row>
    <row r="1873" spans="13:14" ht="14.25" customHeight="1">
      <c r="M1873"/>
      <c r="N1873"/>
    </row>
    <row r="1874" spans="13:14" ht="14.25" customHeight="1">
      <c r="M1874"/>
      <c r="N1874"/>
    </row>
    <row r="1875" spans="13:14" ht="14.25" customHeight="1">
      <c r="M1875"/>
      <c r="N1875"/>
    </row>
    <row r="1876" spans="13:14" ht="14.25" customHeight="1">
      <c r="M1876"/>
      <c r="N1876"/>
    </row>
    <row r="1877" spans="13:14" ht="14.25" customHeight="1">
      <c r="M1877"/>
      <c r="N1877"/>
    </row>
    <row r="1878" spans="13:14" ht="14.25" customHeight="1">
      <c r="M1878"/>
      <c r="N1878"/>
    </row>
    <row r="1879" spans="13:14" ht="14.25" customHeight="1">
      <c r="M1879"/>
      <c r="N1879"/>
    </row>
    <row r="1880" spans="13:14" ht="14.25" customHeight="1">
      <c r="M1880"/>
      <c r="N1880"/>
    </row>
    <row r="1881" spans="13:14" ht="14.25" customHeight="1">
      <c r="M1881"/>
      <c r="N1881"/>
    </row>
    <row r="1882" spans="13:14" ht="14.25" customHeight="1">
      <c r="M1882"/>
      <c r="N1882"/>
    </row>
    <row r="1883" spans="13:14" ht="14.25" customHeight="1">
      <c r="M1883"/>
      <c r="N1883"/>
    </row>
    <row r="1884" spans="13:14" ht="14.25" customHeight="1">
      <c r="M1884"/>
      <c r="N1884"/>
    </row>
    <row r="1885" spans="13:14" ht="14.25" customHeight="1">
      <c r="M1885"/>
      <c r="N1885"/>
    </row>
    <row r="1886" spans="13:14" ht="14.25" customHeight="1">
      <c r="M1886"/>
      <c r="N1886"/>
    </row>
    <row r="1887" spans="13:14" ht="14.25" customHeight="1">
      <c r="M1887"/>
      <c r="N1887"/>
    </row>
    <row r="1888" spans="13:14" ht="14.25" customHeight="1">
      <c r="M1888"/>
      <c r="N1888"/>
    </row>
    <row r="1889" spans="13:14" ht="14.25" customHeight="1">
      <c r="M1889"/>
      <c r="N1889"/>
    </row>
    <row r="1890" spans="13:14" ht="14.25" customHeight="1">
      <c r="M1890"/>
      <c r="N1890"/>
    </row>
    <row r="1891" spans="13:14" ht="14.25" customHeight="1">
      <c r="M1891"/>
      <c r="N1891"/>
    </row>
    <row r="1892" spans="13:14" ht="14.25" customHeight="1">
      <c r="M1892"/>
      <c r="N1892"/>
    </row>
    <row r="1893" spans="13:14" ht="14.25" customHeight="1">
      <c r="M1893"/>
      <c r="N1893"/>
    </row>
    <row r="1894" spans="13:14" ht="14.25" customHeight="1">
      <c r="M1894"/>
      <c r="N1894"/>
    </row>
    <row r="1895" spans="13:14" ht="14.25" customHeight="1">
      <c r="M1895"/>
      <c r="N1895"/>
    </row>
    <row r="1896" spans="13:14" ht="14.25" customHeight="1">
      <c r="M1896"/>
      <c r="N1896"/>
    </row>
    <row r="1897" spans="13:14" ht="14.25" customHeight="1">
      <c r="M1897"/>
      <c r="N1897"/>
    </row>
    <row r="1898" spans="13:14" ht="14.25" customHeight="1">
      <c r="M1898"/>
      <c r="N1898"/>
    </row>
    <row r="1899" spans="13:14" ht="14.25" customHeight="1">
      <c r="M1899"/>
      <c r="N1899"/>
    </row>
    <row r="1900" spans="13:14" ht="14.25" customHeight="1">
      <c r="M1900"/>
      <c r="N1900"/>
    </row>
    <row r="1901" spans="13:14" ht="14.25" customHeight="1">
      <c r="M1901"/>
      <c r="N1901"/>
    </row>
    <row r="1902" spans="13:14" ht="14.25" customHeight="1">
      <c r="M1902"/>
      <c r="N1902"/>
    </row>
    <row r="1903" spans="13:14" ht="14.25" customHeight="1">
      <c r="M1903"/>
      <c r="N1903"/>
    </row>
    <row r="1904" spans="13:14" ht="14.25" customHeight="1">
      <c r="M1904"/>
      <c r="N1904"/>
    </row>
    <row r="1905" spans="13:14" ht="14.25" customHeight="1">
      <c r="M1905"/>
      <c r="N1905"/>
    </row>
    <row r="1906" spans="13:14" ht="14.25" customHeight="1">
      <c r="M1906"/>
      <c r="N1906"/>
    </row>
    <row r="1907" spans="13:14" ht="14.25" customHeight="1">
      <c r="M1907"/>
      <c r="N1907"/>
    </row>
    <row r="1908" spans="13:14" ht="14.25" customHeight="1">
      <c r="M1908"/>
      <c r="N1908"/>
    </row>
    <row r="1909" spans="13:14" ht="14.25" customHeight="1">
      <c r="M1909"/>
      <c r="N1909"/>
    </row>
    <row r="1910" spans="13:14" ht="14.25" customHeight="1">
      <c r="M1910"/>
      <c r="N1910"/>
    </row>
    <row r="1911" spans="13:14" ht="14.25" customHeight="1">
      <c r="M1911"/>
      <c r="N1911"/>
    </row>
    <row r="1912" spans="13:14" ht="14.25" customHeight="1">
      <c r="M1912"/>
      <c r="N1912"/>
    </row>
    <row r="1913" spans="13:14" ht="14.25" customHeight="1">
      <c r="M1913"/>
      <c r="N1913"/>
    </row>
    <row r="1914" spans="13:14" ht="14.25" customHeight="1">
      <c r="M1914"/>
      <c r="N1914"/>
    </row>
    <row r="1915" spans="13:14" ht="14.25" customHeight="1">
      <c r="M1915"/>
      <c r="N1915"/>
    </row>
    <row r="1916" spans="13:14" ht="14.25" customHeight="1">
      <c r="M1916"/>
      <c r="N1916"/>
    </row>
    <row r="1917" spans="13:14" ht="14.25" customHeight="1">
      <c r="M1917"/>
      <c r="N1917"/>
    </row>
    <row r="1918" spans="13:14" ht="14.25" customHeight="1">
      <c r="M1918"/>
      <c r="N1918"/>
    </row>
    <row r="1919" spans="13:14" ht="14.25" customHeight="1">
      <c r="M1919"/>
      <c r="N1919"/>
    </row>
    <row r="1920" spans="13:14" ht="14.25" customHeight="1">
      <c r="M1920"/>
      <c r="N1920"/>
    </row>
    <row r="1921" spans="13:14" ht="14.25" customHeight="1">
      <c r="M1921"/>
      <c r="N1921"/>
    </row>
    <row r="1922" spans="13:14" ht="14.25" customHeight="1">
      <c r="M1922"/>
      <c r="N1922"/>
    </row>
    <row r="1923" spans="13:14" ht="14.25" customHeight="1">
      <c r="M1923"/>
      <c r="N1923"/>
    </row>
    <row r="1924" spans="13:14" ht="14.25" customHeight="1">
      <c r="M1924"/>
      <c r="N1924"/>
    </row>
    <row r="1925" spans="13:14" ht="14.25" customHeight="1">
      <c r="M1925"/>
      <c r="N1925"/>
    </row>
    <row r="1926" spans="13:14" ht="14.25" customHeight="1">
      <c r="M1926"/>
      <c r="N1926"/>
    </row>
    <row r="1927" spans="13:14" ht="14.25" customHeight="1">
      <c r="M1927"/>
      <c r="N1927"/>
    </row>
    <row r="1928" spans="13:14" ht="14.25" customHeight="1">
      <c r="M1928"/>
      <c r="N1928"/>
    </row>
    <row r="1929" spans="13:14" ht="14.25" customHeight="1">
      <c r="M1929"/>
      <c r="N1929"/>
    </row>
    <row r="1930" spans="13:14" ht="14.25" customHeight="1">
      <c r="M1930"/>
      <c r="N1930"/>
    </row>
    <row r="1931" spans="13:14" ht="14.25" customHeight="1">
      <c r="M1931"/>
      <c r="N1931"/>
    </row>
    <row r="1932" spans="13:14" ht="14.25" customHeight="1">
      <c r="M1932"/>
      <c r="N1932"/>
    </row>
    <row r="1933" spans="13:14" ht="14.25" customHeight="1">
      <c r="M1933"/>
      <c r="N1933"/>
    </row>
    <row r="1934" spans="13:14" ht="14.25" customHeight="1">
      <c r="M1934"/>
      <c r="N1934"/>
    </row>
    <row r="1935" spans="13:14" ht="14.25" customHeight="1">
      <c r="M1935"/>
      <c r="N1935"/>
    </row>
    <row r="1936" spans="13:14" ht="14.25" customHeight="1">
      <c r="M1936"/>
      <c r="N1936"/>
    </row>
    <row r="1937" spans="13:14" ht="14.25" customHeight="1">
      <c r="M1937"/>
      <c r="N1937"/>
    </row>
    <row r="1938" spans="13:14" ht="14.25" customHeight="1">
      <c r="M1938"/>
      <c r="N1938"/>
    </row>
    <row r="1939" spans="13:14" ht="14.25" customHeight="1">
      <c r="M1939"/>
      <c r="N1939"/>
    </row>
    <row r="1940" spans="13:14" ht="14.25" customHeight="1">
      <c r="M1940"/>
      <c r="N1940"/>
    </row>
    <row r="1941" spans="13:14" ht="14.25" customHeight="1">
      <c r="M1941"/>
      <c r="N1941"/>
    </row>
    <row r="1942" spans="13:14" ht="14.25" customHeight="1">
      <c r="M1942"/>
      <c r="N1942"/>
    </row>
    <row r="1943" spans="13:14" ht="14.25" customHeight="1">
      <c r="M1943"/>
      <c r="N1943"/>
    </row>
    <row r="1944" spans="13:14" ht="14.25" customHeight="1">
      <c r="M1944"/>
      <c r="N1944"/>
    </row>
    <row r="1945" spans="13:14" ht="14.25" customHeight="1">
      <c r="M1945"/>
      <c r="N1945"/>
    </row>
    <row r="1946" spans="13:14" ht="14.25" customHeight="1">
      <c r="M1946"/>
      <c r="N1946"/>
    </row>
    <row r="1947" spans="13:14" ht="14.25" customHeight="1">
      <c r="M1947"/>
      <c r="N1947"/>
    </row>
    <row r="1948" spans="13:14" ht="14.25" customHeight="1">
      <c r="M1948"/>
      <c r="N1948"/>
    </row>
    <row r="1949" spans="13:14" ht="14.25" customHeight="1">
      <c r="M1949"/>
      <c r="N1949"/>
    </row>
    <row r="1950" spans="13:14" ht="14.25" customHeight="1">
      <c r="M1950"/>
      <c r="N1950"/>
    </row>
    <row r="1951" spans="13:14" ht="14.25" customHeight="1">
      <c r="M1951"/>
      <c r="N1951"/>
    </row>
    <row r="1952" spans="13:14" ht="14.25" customHeight="1">
      <c r="M1952"/>
      <c r="N1952"/>
    </row>
    <row r="1953" spans="13:14" ht="14.25" customHeight="1">
      <c r="M1953"/>
      <c r="N1953"/>
    </row>
    <row r="1954" spans="13:14" ht="14.25" customHeight="1">
      <c r="M1954"/>
      <c r="N1954"/>
    </row>
    <row r="1955" spans="13:14" ht="14.25" customHeight="1">
      <c r="M1955"/>
      <c r="N1955"/>
    </row>
    <row r="1956" spans="13:14" ht="14.25" customHeight="1">
      <c r="M1956"/>
      <c r="N1956"/>
    </row>
    <row r="1957" spans="13:14" ht="14.25" customHeight="1">
      <c r="M1957"/>
      <c r="N1957"/>
    </row>
    <row r="1958" spans="13:14" ht="14.25" customHeight="1">
      <c r="M1958"/>
      <c r="N1958"/>
    </row>
    <row r="1959" spans="13:14" ht="14.25" customHeight="1">
      <c r="M1959"/>
      <c r="N1959"/>
    </row>
    <row r="1960" spans="13:14" ht="14.25" customHeight="1">
      <c r="M1960"/>
      <c r="N1960"/>
    </row>
    <row r="1961" spans="13:14" ht="14.25" customHeight="1">
      <c r="M1961"/>
      <c r="N1961"/>
    </row>
    <row r="1962" spans="13:14" ht="14.25" customHeight="1">
      <c r="M1962"/>
      <c r="N1962"/>
    </row>
    <row r="1963" spans="13:14" ht="14.25" customHeight="1">
      <c r="M1963"/>
      <c r="N1963"/>
    </row>
    <row r="1964" spans="13:14" ht="14.25" customHeight="1">
      <c r="M1964"/>
      <c r="N1964"/>
    </row>
    <row r="1965" spans="13:14" ht="14.25" customHeight="1">
      <c r="M1965"/>
      <c r="N1965"/>
    </row>
    <row r="1966" spans="13:14" ht="14.25" customHeight="1">
      <c r="M1966"/>
      <c r="N1966"/>
    </row>
    <row r="1967" spans="13:14" ht="14.25" customHeight="1">
      <c r="M1967"/>
      <c r="N1967"/>
    </row>
    <row r="1968" spans="13:14" ht="14.25" customHeight="1">
      <c r="M1968"/>
      <c r="N1968"/>
    </row>
    <row r="1969" spans="13:14" ht="14.25" customHeight="1">
      <c r="M1969"/>
      <c r="N1969"/>
    </row>
    <row r="1970" spans="13:14" ht="14.25" customHeight="1">
      <c r="M1970"/>
      <c r="N1970"/>
    </row>
    <row r="1971" spans="13:14" ht="14.25" customHeight="1">
      <c r="M1971"/>
      <c r="N1971"/>
    </row>
    <row r="1972" spans="13:14" ht="14.25" customHeight="1">
      <c r="M1972"/>
      <c r="N1972"/>
    </row>
    <row r="1973" spans="13:14" ht="14.25" customHeight="1">
      <c r="M1973"/>
      <c r="N1973"/>
    </row>
    <row r="1974" spans="13:14" ht="14.25" customHeight="1">
      <c r="M1974"/>
      <c r="N1974"/>
    </row>
    <row r="1975" spans="13:14" ht="14.25" customHeight="1">
      <c r="M1975"/>
      <c r="N1975"/>
    </row>
    <row r="1976" spans="13:14" ht="14.25" customHeight="1">
      <c r="M1976"/>
      <c r="N1976"/>
    </row>
    <row r="1977" spans="13:14" ht="14.25" customHeight="1">
      <c r="M1977"/>
      <c r="N1977"/>
    </row>
    <row r="1978" spans="13:14" ht="14.25" customHeight="1">
      <c r="M1978"/>
      <c r="N1978"/>
    </row>
    <row r="1979" spans="13:14" ht="14.25" customHeight="1">
      <c r="M1979"/>
      <c r="N1979"/>
    </row>
    <row r="1980" spans="13:14" ht="14.25" customHeight="1">
      <c r="M1980"/>
      <c r="N1980"/>
    </row>
    <row r="1981" spans="13:14" ht="14.25" customHeight="1">
      <c r="M1981"/>
      <c r="N1981"/>
    </row>
    <row r="1982" spans="13:14" ht="14.25" customHeight="1">
      <c r="M1982"/>
      <c r="N1982"/>
    </row>
    <row r="1983" spans="13:14" ht="14.25" customHeight="1">
      <c r="M1983"/>
      <c r="N1983"/>
    </row>
    <row r="1984" spans="13:14" ht="14.25" customHeight="1">
      <c r="M1984"/>
      <c r="N1984"/>
    </row>
    <row r="1985" spans="13:14" ht="14.25" customHeight="1">
      <c r="M1985"/>
      <c r="N1985"/>
    </row>
    <row r="1986" spans="13:14" ht="14.25" customHeight="1">
      <c r="M1986"/>
      <c r="N1986"/>
    </row>
    <row r="1987" spans="13:14" ht="14.25" customHeight="1">
      <c r="M1987"/>
      <c r="N1987"/>
    </row>
    <row r="1988" spans="13:14" ht="14.25" customHeight="1">
      <c r="M1988"/>
      <c r="N1988"/>
    </row>
    <row r="1989" spans="13:14" ht="14.25" customHeight="1">
      <c r="M1989"/>
      <c r="N1989"/>
    </row>
    <row r="1990" spans="13:14" ht="14.25" customHeight="1">
      <c r="M1990"/>
      <c r="N1990"/>
    </row>
    <row r="1991" spans="13:14" ht="14.25" customHeight="1">
      <c r="M1991"/>
      <c r="N1991"/>
    </row>
    <row r="1992" spans="13:14" ht="14.25" customHeight="1">
      <c r="M1992"/>
      <c r="N1992"/>
    </row>
    <row r="1993" spans="13:14" ht="14.25" customHeight="1">
      <c r="M1993"/>
      <c r="N1993"/>
    </row>
    <row r="1994" spans="13:14" ht="14.25" customHeight="1">
      <c r="M1994"/>
      <c r="N1994"/>
    </row>
    <row r="1995" spans="13:14" ht="14.25" customHeight="1">
      <c r="M1995"/>
      <c r="N1995"/>
    </row>
    <row r="1996" spans="13:14" ht="14.25" customHeight="1">
      <c r="M1996"/>
      <c r="N1996"/>
    </row>
    <row r="1997" spans="13:14" ht="14.25" customHeight="1">
      <c r="M1997"/>
      <c r="N1997"/>
    </row>
    <row r="1998" spans="13:14" ht="14.25" customHeight="1">
      <c r="M1998"/>
      <c r="N1998"/>
    </row>
    <row r="1999" spans="13:14" ht="14.25" customHeight="1">
      <c r="M1999"/>
      <c r="N1999"/>
    </row>
    <row r="2000" spans="13:14" ht="14.25" customHeight="1">
      <c r="M2000"/>
      <c r="N2000"/>
    </row>
    <row r="2001" spans="13:14" ht="14.25" customHeight="1">
      <c r="M2001"/>
      <c r="N2001"/>
    </row>
    <row r="2002" spans="13:14" ht="14.25" customHeight="1">
      <c r="M2002"/>
      <c r="N2002"/>
    </row>
    <row r="2003" spans="13:14" ht="14.25" customHeight="1">
      <c r="M2003"/>
      <c r="N2003"/>
    </row>
    <row r="2004" spans="13:14" ht="14.25" customHeight="1">
      <c r="M2004"/>
      <c r="N2004"/>
    </row>
    <row r="2005" spans="13:14" ht="14.25" customHeight="1">
      <c r="M2005"/>
      <c r="N2005"/>
    </row>
    <row r="2006" spans="13:14" ht="14.25" customHeight="1">
      <c r="M2006"/>
      <c r="N2006"/>
    </row>
    <row r="2007" spans="13:14" ht="14.25" customHeight="1">
      <c r="M2007"/>
      <c r="N2007"/>
    </row>
    <row r="2008" spans="13:14" ht="14.25" customHeight="1">
      <c r="M2008"/>
      <c r="N2008"/>
    </row>
    <row r="2009" spans="13:14" ht="14.25" customHeight="1">
      <c r="M2009"/>
      <c r="N2009"/>
    </row>
    <row r="2010" spans="13:14" ht="14.25" customHeight="1">
      <c r="M2010"/>
      <c r="N2010"/>
    </row>
    <row r="2011" spans="13:14" ht="14.25" customHeight="1">
      <c r="M2011"/>
      <c r="N2011"/>
    </row>
    <row r="2012" spans="13:14" ht="14.25" customHeight="1">
      <c r="M2012"/>
      <c r="N2012"/>
    </row>
    <row r="2013" spans="13:14" ht="14.25" customHeight="1">
      <c r="M2013"/>
      <c r="N2013"/>
    </row>
    <row r="2014" spans="13:14" ht="14.25" customHeight="1">
      <c r="M2014"/>
      <c r="N2014"/>
    </row>
    <row r="2015" spans="13:14" ht="14.25" customHeight="1">
      <c r="M2015"/>
      <c r="N2015"/>
    </row>
    <row r="2016" spans="13:14" ht="14.25" customHeight="1">
      <c r="M2016"/>
      <c r="N2016"/>
    </row>
    <row r="2017" spans="13:14" ht="14.25" customHeight="1">
      <c r="M2017"/>
      <c r="N2017"/>
    </row>
    <row r="2018" spans="13:14" ht="14.25" customHeight="1">
      <c r="M2018"/>
      <c r="N2018"/>
    </row>
    <row r="2019" spans="13:14" ht="14.25" customHeight="1">
      <c r="M2019"/>
      <c r="N2019"/>
    </row>
    <row r="2020" spans="13:14" ht="14.25" customHeight="1">
      <c r="M2020"/>
      <c r="N2020"/>
    </row>
    <row r="2021" spans="13:14" ht="14.25" customHeight="1">
      <c r="M2021"/>
      <c r="N2021"/>
    </row>
    <row r="2022" spans="13:14" ht="14.25" customHeight="1">
      <c r="M2022"/>
      <c r="N2022"/>
    </row>
    <row r="2023" spans="13:14" ht="14.25" customHeight="1">
      <c r="M2023"/>
      <c r="N2023"/>
    </row>
    <row r="2024" spans="13:14" ht="14.25" customHeight="1">
      <c r="M2024"/>
      <c r="N2024"/>
    </row>
    <row r="2025" spans="13:14" ht="14.25" customHeight="1">
      <c r="M2025"/>
      <c r="N2025"/>
    </row>
    <row r="2026" spans="13:14" ht="14.25" customHeight="1">
      <c r="M2026"/>
      <c r="N2026"/>
    </row>
    <row r="2027" spans="13:14" ht="14.25" customHeight="1">
      <c r="M2027"/>
      <c r="N2027"/>
    </row>
    <row r="2028" spans="13:14" ht="14.25" customHeight="1">
      <c r="M2028"/>
      <c r="N2028"/>
    </row>
    <row r="2029" spans="13:14" ht="14.25" customHeight="1">
      <c r="M2029"/>
      <c r="N2029"/>
    </row>
    <row r="2030" spans="13:14" ht="14.25" customHeight="1">
      <c r="M2030"/>
      <c r="N2030"/>
    </row>
    <row r="2031" spans="13:14" ht="14.25" customHeight="1">
      <c r="M2031"/>
      <c r="N2031"/>
    </row>
    <row r="2032" spans="13:14" ht="14.25" customHeight="1">
      <c r="M2032"/>
      <c r="N2032"/>
    </row>
    <row r="2033" spans="13:14" ht="14.25" customHeight="1">
      <c r="M2033"/>
      <c r="N2033"/>
    </row>
    <row r="2034" spans="13:14" ht="14.25" customHeight="1">
      <c r="M2034"/>
      <c r="N2034"/>
    </row>
    <row r="2035" spans="13:14" ht="14.25" customHeight="1">
      <c r="M2035"/>
      <c r="N2035"/>
    </row>
    <row r="2036" spans="13:14" ht="14.25" customHeight="1">
      <c r="M2036"/>
      <c r="N2036"/>
    </row>
    <row r="2037" spans="13:14" ht="14.25" customHeight="1">
      <c r="M2037"/>
      <c r="N2037"/>
    </row>
    <row r="2038" spans="13:14" ht="14.25" customHeight="1">
      <c r="M2038"/>
      <c r="N2038"/>
    </row>
    <row r="2039" spans="13:14" ht="14.25" customHeight="1">
      <c r="M2039"/>
      <c r="N2039"/>
    </row>
    <row r="2040" spans="13:14" ht="14.25" customHeight="1">
      <c r="M2040"/>
      <c r="N2040"/>
    </row>
    <row r="2041" spans="13:14" ht="14.25" customHeight="1">
      <c r="M2041"/>
      <c r="N2041"/>
    </row>
    <row r="2042" spans="13:14" ht="14.25" customHeight="1">
      <c r="M2042"/>
      <c r="N2042"/>
    </row>
    <row r="2043" spans="13:14" ht="14.25" customHeight="1">
      <c r="M2043"/>
      <c r="N2043"/>
    </row>
    <row r="2044" spans="13:14" ht="14.25" customHeight="1">
      <c r="M2044"/>
      <c r="N2044"/>
    </row>
    <row r="2045" spans="13:14" ht="14.25" customHeight="1">
      <c r="M2045"/>
      <c r="N2045"/>
    </row>
    <row r="2046" spans="13:14" ht="14.25" customHeight="1">
      <c r="M2046"/>
      <c r="N2046"/>
    </row>
    <row r="2047" spans="13:14" ht="14.25" customHeight="1">
      <c r="M2047"/>
      <c r="N2047"/>
    </row>
    <row r="2048" spans="13:14" ht="14.25" customHeight="1">
      <c r="M2048"/>
      <c r="N2048"/>
    </row>
    <row r="2049" spans="13:14" ht="14.25" customHeight="1">
      <c r="M2049"/>
      <c r="N2049"/>
    </row>
    <row r="2050" spans="13:14" ht="14.25" customHeight="1">
      <c r="M2050"/>
      <c r="N2050"/>
    </row>
    <row r="2051" spans="13:14" ht="14.25" customHeight="1">
      <c r="M2051"/>
      <c r="N2051"/>
    </row>
    <row r="2052" spans="13:14" ht="14.25" customHeight="1">
      <c r="M2052"/>
      <c r="N2052"/>
    </row>
    <row r="2053" spans="13:14" ht="14.25" customHeight="1">
      <c r="M2053"/>
      <c r="N2053"/>
    </row>
    <row r="2054" spans="13:14" ht="14.25" customHeight="1">
      <c r="M2054"/>
      <c r="N2054"/>
    </row>
    <row r="2055" spans="13:14" ht="14.25" customHeight="1">
      <c r="M2055"/>
      <c r="N2055"/>
    </row>
    <row r="2056" spans="13:14" ht="14.25" customHeight="1">
      <c r="M2056"/>
      <c r="N2056"/>
    </row>
    <row r="2057" spans="13:14" ht="14.25" customHeight="1">
      <c r="M2057"/>
      <c r="N2057"/>
    </row>
    <row r="2058" spans="13:14" ht="14.25" customHeight="1">
      <c r="M2058"/>
      <c r="N2058"/>
    </row>
    <row r="2059" spans="13:14" ht="14.25" customHeight="1">
      <c r="M2059"/>
      <c r="N2059"/>
    </row>
    <row r="2060" spans="13:14" ht="14.25" customHeight="1">
      <c r="M2060"/>
      <c r="N2060"/>
    </row>
    <row r="2061" spans="13:14" ht="14.25" customHeight="1">
      <c r="M2061"/>
      <c r="N2061"/>
    </row>
    <row r="2062" spans="13:14" ht="14.25" customHeight="1">
      <c r="M2062"/>
      <c r="N2062"/>
    </row>
    <row r="2063" spans="13:14" ht="14.25" customHeight="1">
      <c r="M2063"/>
      <c r="N2063"/>
    </row>
    <row r="2064" spans="13:14" ht="14.25" customHeight="1">
      <c r="M2064"/>
      <c r="N2064"/>
    </row>
    <row r="2065" spans="13:14" ht="14.25" customHeight="1">
      <c r="M2065"/>
      <c r="N2065"/>
    </row>
    <row r="2066" spans="13:14" ht="14.25" customHeight="1">
      <c r="M2066"/>
      <c r="N2066"/>
    </row>
    <row r="2067" spans="13:14" ht="14.25" customHeight="1">
      <c r="M2067"/>
      <c r="N2067"/>
    </row>
    <row r="2068" spans="13:14" ht="14.25" customHeight="1">
      <c r="M2068"/>
      <c r="N2068"/>
    </row>
    <row r="2069" spans="13:14" ht="14.25" customHeight="1">
      <c r="M2069"/>
      <c r="N2069"/>
    </row>
    <row r="2070" spans="13:14" ht="14.25" customHeight="1">
      <c r="M2070"/>
      <c r="N2070"/>
    </row>
    <row r="2071" spans="13:14" ht="14.25" customHeight="1">
      <c r="M2071"/>
      <c r="N2071"/>
    </row>
    <row r="2072" spans="13:14" ht="14.25" customHeight="1">
      <c r="M2072"/>
      <c r="N2072"/>
    </row>
    <row r="2073" spans="13:14" ht="14.25" customHeight="1">
      <c r="M2073"/>
      <c r="N2073"/>
    </row>
    <row r="2074" spans="13:14" ht="14.25" customHeight="1">
      <c r="M2074"/>
      <c r="N2074"/>
    </row>
    <row r="2075" spans="13:14" ht="14.25" customHeight="1">
      <c r="M2075"/>
      <c r="N2075"/>
    </row>
    <row r="2076" spans="13:14" ht="14.25" customHeight="1">
      <c r="M2076"/>
      <c r="N2076"/>
    </row>
    <row r="2077" spans="13:14" ht="14.25" customHeight="1">
      <c r="M2077"/>
      <c r="N2077"/>
    </row>
    <row r="2078" spans="13:14" ht="14.25" customHeight="1">
      <c r="M2078"/>
      <c r="N2078"/>
    </row>
    <row r="2079" spans="13:14" ht="14.25" customHeight="1">
      <c r="M2079"/>
      <c r="N2079"/>
    </row>
    <row r="2080" spans="13:14" ht="14.25" customHeight="1">
      <c r="M2080"/>
      <c r="N2080"/>
    </row>
    <row r="2081" spans="13:14" ht="14.25" customHeight="1">
      <c r="M2081"/>
      <c r="N2081"/>
    </row>
    <row r="2082" spans="13:14" ht="14.25" customHeight="1">
      <c r="M2082"/>
      <c r="N2082"/>
    </row>
    <row r="2083" spans="13:14" ht="14.25" customHeight="1">
      <c r="M2083"/>
      <c r="N2083"/>
    </row>
    <row r="2084" spans="13:14" ht="14.25" customHeight="1">
      <c r="M2084"/>
      <c r="N2084"/>
    </row>
    <row r="2085" spans="13:14" ht="14.25" customHeight="1">
      <c r="M2085"/>
      <c r="N2085"/>
    </row>
    <row r="2086" spans="13:14" ht="14.25" customHeight="1">
      <c r="M2086"/>
      <c r="N2086"/>
    </row>
    <row r="2087" spans="13:14" ht="14.25" customHeight="1">
      <c r="M2087"/>
      <c r="N2087"/>
    </row>
    <row r="2088" spans="13:14" ht="14.25" customHeight="1">
      <c r="M2088"/>
      <c r="N2088"/>
    </row>
    <row r="2089" spans="13:14" ht="14.25" customHeight="1">
      <c r="M2089"/>
      <c r="N2089"/>
    </row>
    <row r="2090" spans="13:14" ht="14.25" customHeight="1">
      <c r="M2090"/>
      <c r="N2090"/>
    </row>
    <row r="2091" spans="13:14" ht="14.25" customHeight="1">
      <c r="M2091"/>
      <c r="N2091"/>
    </row>
    <row r="2092" spans="13:14" ht="14.25" customHeight="1">
      <c r="M2092"/>
      <c r="N2092"/>
    </row>
    <row r="2093" spans="13:14" ht="14.25" customHeight="1">
      <c r="M2093"/>
      <c r="N2093"/>
    </row>
    <row r="2094" spans="13:14" ht="14.25" customHeight="1">
      <c r="M2094"/>
      <c r="N2094"/>
    </row>
    <row r="2095" spans="13:14" ht="14.25" customHeight="1">
      <c r="M2095"/>
      <c r="N2095"/>
    </row>
    <row r="2096" spans="13:14" ht="14.25" customHeight="1">
      <c r="M2096"/>
      <c r="N2096"/>
    </row>
    <row r="2097" spans="13:14" ht="14.25" customHeight="1">
      <c r="M2097"/>
      <c r="N2097"/>
    </row>
    <row r="2098" spans="13:14" ht="14.25" customHeight="1">
      <c r="M2098"/>
      <c r="N2098"/>
    </row>
    <row r="2099" spans="13:14" ht="14.25" customHeight="1">
      <c r="M2099"/>
      <c r="N2099"/>
    </row>
    <row r="2100" spans="13:14" ht="14.25" customHeight="1">
      <c r="M2100"/>
      <c r="N2100"/>
    </row>
    <row r="2101" spans="13:14" ht="14.25" customHeight="1">
      <c r="M2101"/>
      <c r="N2101"/>
    </row>
    <row r="2102" spans="13:14" ht="14.25" customHeight="1">
      <c r="M2102"/>
      <c r="N2102"/>
    </row>
    <row r="2103" spans="13:14" ht="14.25" customHeight="1">
      <c r="M2103"/>
      <c r="N2103"/>
    </row>
    <row r="2104" spans="13:14" ht="14.25" customHeight="1">
      <c r="M2104"/>
      <c r="N2104"/>
    </row>
    <row r="2105" spans="13:14" ht="14.25" customHeight="1">
      <c r="M2105"/>
      <c r="N2105"/>
    </row>
    <row r="2106" spans="13:14" ht="14.25" customHeight="1">
      <c r="M2106"/>
      <c r="N2106"/>
    </row>
    <row r="2107" spans="13:14" ht="14.25" customHeight="1">
      <c r="M2107"/>
      <c r="N2107"/>
    </row>
    <row r="2108" spans="13:14" ht="14.25" customHeight="1">
      <c r="M2108"/>
      <c r="N2108"/>
    </row>
    <row r="2109" spans="13:14" ht="14.25" customHeight="1">
      <c r="M2109"/>
      <c r="N2109"/>
    </row>
    <row r="2110" spans="13:14" ht="14.25" customHeight="1">
      <c r="M2110"/>
      <c r="N2110"/>
    </row>
    <row r="2111" spans="13:14" ht="14.25" customHeight="1">
      <c r="M2111"/>
      <c r="N2111"/>
    </row>
    <row r="2112" spans="13:14" ht="14.25" customHeight="1">
      <c r="M2112"/>
      <c r="N2112"/>
    </row>
    <row r="2113" spans="13:14" ht="14.25" customHeight="1">
      <c r="M2113"/>
      <c r="N2113"/>
    </row>
    <row r="2114" spans="13:14" ht="14.25" customHeight="1">
      <c r="M2114"/>
      <c r="N2114"/>
    </row>
    <row r="2115" spans="13:14" ht="14.25" customHeight="1">
      <c r="M2115"/>
      <c r="N2115"/>
    </row>
    <row r="2116" spans="13:14" ht="14.25" customHeight="1">
      <c r="M2116"/>
      <c r="N2116"/>
    </row>
    <row r="2117" spans="13:14" ht="14.25" customHeight="1">
      <c r="M2117"/>
      <c r="N2117"/>
    </row>
    <row r="2118" spans="13:14" ht="14.25" customHeight="1">
      <c r="M2118"/>
      <c r="N2118"/>
    </row>
    <row r="2119" spans="13:14" ht="14.25" customHeight="1">
      <c r="M2119"/>
      <c r="N2119"/>
    </row>
    <row r="2120" spans="13:14" ht="14.25" customHeight="1">
      <c r="M2120"/>
      <c r="N2120"/>
    </row>
    <row r="2121" spans="13:14" ht="14.25" customHeight="1">
      <c r="M2121"/>
      <c r="N2121"/>
    </row>
    <row r="2122" spans="13:14" ht="14.25" customHeight="1">
      <c r="M2122"/>
      <c r="N2122"/>
    </row>
    <row r="2123" spans="13:14" ht="14.25" customHeight="1">
      <c r="M2123"/>
      <c r="N2123"/>
    </row>
    <row r="2124" spans="13:14" ht="14.25" customHeight="1">
      <c r="M2124"/>
      <c r="N2124"/>
    </row>
    <row r="2125" spans="13:14" ht="14.25" customHeight="1">
      <c r="M2125"/>
      <c r="N2125"/>
    </row>
    <row r="2126" spans="13:14" ht="14.25" customHeight="1">
      <c r="M2126"/>
      <c r="N2126"/>
    </row>
    <row r="2127" spans="13:14" ht="14.25" customHeight="1">
      <c r="M2127"/>
      <c r="N2127"/>
    </row>
    <row r="2128" spans="13:14" ht="14.25" customHeight="1">
      <c r="M2128"/>
      <c r="N2128"/>
    </row>
    <row r="2129" spans="13:14" ht="14.25" customHeight="1">
      <c r="M2129"/>
      <c r="N2129"/>
    </row>
    <row r="2130" spans="13:14" ht="14.25" customHeight="1">
      <c r="M2130"/>
      <c r="N2130"/>
    </row>
    <row r="2131" spans="13:14" ht="14.25" customHeight="1">
      <c r="M2131"/>
      <c r="N2131"/>
    </row>
    <row r="2132" spans="13:14" ht="14.25" customHeight="1">
      <c r="M2132"/>
      <c r="N2132"/>
    </row>
    <row r="2133" spans="13:14" ht="14.25" customHeight="1">
      <c r="M2133"/>
      <c r="N2133"/>
    </row>
    <row r="2134" spans="13:14" ht="14.25" customHeight="1">
      <c r="M2134"/>
      <c r="N2134"/>
    </row>
    <row r="2135" spans="13:14" ht="14.25" customHeight="1">
      <c r="M2135"/>
      <c r="N2135"/>
    </row>
    <row r="2136" spans="13:14" ht="14.25" customHeight="1">
      <c r="M2136"/>
      <c r="N2136"/>
    </row>
    <row r="2137" spans="13:14" ht="14.25" customHeight="1">
      <c r="M2137"/>
      <c r="N2137"/>
    </row>
    <row r="2138" spans="13:14" ht="14.25" customHeight="1">
      <c r="M2138"/>
      <c r="N2138"/>
    </row>
    <row r="2139" spans="13:14" ht="14.25" customHeight="1">
      <c r="M2139"/>
      <c r="N2139"/>
    </row>
    <row r="2140" spans="13:14" ht="14.25" customHeight="1">
      <c r="M2140"/>
      <c r="N2140"/>
    </row>
    <row r="2141" spans="13:14" ht="14.25" customHeight="1">
      <c r="M2141"/>
      <c r="N2141"/>
    </row>
    <row r="2142" spans="13:14" ht="14.25" customHeight="1">
      <c r="M2142"/>
      <c r="N2142"/>
    </row>
    <row r="2143" spans="13:14" ht="14.25" customHeight="1">
      <c r="M2143"/>
      <c r="N2143"/>
    </row>
    <row r="2144" spans="13:14" ht="14.25" customHeight="1">
      <c r="M2144"/>
      <c r="N2144"/>
    </row>
    <row r="2145" spans="13:14" ht="14.25" customHeight="1">
      <c r="M2145"/>
      <c r="N2145"/>
    </row>
    <row r="2146" spans="13:14" ht="14.25" customHeight="1">
      <c r="M2146"/>
      <c r="N2146"/>
    </row>
    <row r="2147" spans="13:14" ht="14.25" customHeight="1">
      <c r="M2147"/>
      <c r="N2147"/>
    </row>
    <row r="2148" spans="13:14" ht="14.25" customHeight="1">
      <c r="M2148"/>
      <c r="N2148"/>
    </row>
    <row r="2149" spans="13:14" ht="14.25" customHeight="1">
      <c r="M2149"/>
      <c r="N2149"/>
    </row>
    <row r="2150" spans="13:14" ht="14.25" customHeight="1">
      <c r="M2150"/>
      <c r="N2150"/>
    </row>
    <row r="2151" spans="13:14" ht="14.25" customHeight="1">
      <c r="M2151"/>
      <c r="N2151"/>
    </row>
    <row r="2152" spans="13:14" ht="14.25" customHeight="1">
      <c r="M2152"/>
      <c r="N2152"/>
    </row>
    <row r="2153" spans="13:14" ht="14.25" customHeight="1">
      <c r="M2153"/>
      <c r="N2153"/>
    </row>
    <row r="2154" spans="13:14" ht="14.25" customHeight="1">
      <c r="M2154"/>
      <c r="N2154"/>
    </row>
    <row r="2155" spans="13:14" ht="14.25" customHeight="1">
      <c r="M2155"/>
      <c r="N2155"/>
    </row>
    <row r="2156" spans="13:14" ht="14.25" customHeight="1">
      <c r="M2156"/>
      <c r="N2156"/>
    </row>
    <row r="2157" spans="13:14" ht="14.25" customHeight="1">
      <c r="M2157"/>
      <c r="N2157"/>
    </row>
    <row r="2158" spans="13:14" ht="14.25" customHeight="1">
      <c r="M2158"/>
      <c r="N2158"/>
    </row>
    <row r="2159" spans="13:14" ht="14.25" customHeight="1">
      <c r="M2159"/>
      <c r="N2159"/>
    </row>
    <row r="2160" spans="13:14" ht="14.25" customHeight="1">
      <c r="M2160"/>
      <c r="N2160"/>
    </row>
    <row r="2161" spans="13:14" ht="14.25" customHeight="1">
      <c r="M2161"/>
      <c r="N2161"/>
    </row>
    <row r="2162" spans="13:14" ht="14.25" customHeight="1">
      <c r="M2162"/>
      <c r="N2162"/>
    </row>
    <row r="2163" spans="13:14" ht="14.25" customHeight="1">
      <c r="M2163"/>
      <c r="N2163"/>
    </row>
    <row r="2164" spans="13:14" ht="14.25" customHeight="1">
      <c r="M2164"/>
      <c r="N2164"/>
    </row>
    <row r="2165" spans="13:14" ht="14.25" customHeight="1">
      <c r="M2165"/>
      <c r="N2165"/>
    </row>
    <row r="2166" spans="13:14" ht="14.25" customHeight="1">
      <c r="M2166"/>
      <c r="N2166"/>
    </row>
    <row r="2167" spans="13:14" ht="14.25" customHeight="1">
      <c r="M2167"/>
      <c r="N2167"/>
    </row>
    <row r="2168" spans="13:14" ht="14.25" customHeight="1">
      <c r="M2168"/>
      <c r="N2168"/>
    </row>
    <row r="2169" spans="13:14" ht="14.25" customHeight="1">
      <c r="M2169"/>
      <c r="N2169"/>
    </row>
    <row r="2170" spans="13:14" ht="14.25" customHeight="1">
      <c r="M2170"/>
      <c r="N2170"/>
    </row>
    <row r="2171" spans="13:14" ht="14.25" customHeight="1">
      <c r="M2171"/>
      <c r="N2171"/>
    </row>
    <row r="2172" spans="13:14" ht="14.25" customHeight="1">
      <c r="M2172"/>
      <c r="N2172"/>
    </row>
    <row r="2173" spans="13:14" ht="14.25" customHeight="1">
      <c r="M2173"/>
      <c r="N2173"/>
    </row>
    <row r="2174" spans="13:14" ht="14.25" customHeight="1">
      <c r="M2174"/>
      <c r="N2174"/>
    </row>
    <row r="2175" spans="13:14" ht="14.25" customHeight="1">
      <c r="M2175"/>
      <c r="N2175"/>
    </row>
    <row r="2176" spans="13:14" ht="14.25" customHeight="1">
      <c r="M2176"/>
      <c r="N2176"/>
    </row>
    <row r="2177" spans="13:14" ht="14.25" customHeight="1">
      <c r="M2177"/>
      <c r="N2177"/>
    </row>
    <row r="2178" spans="13:14" ht="14.25" customHeight="1">
      <c r="M2178"/>
      <c r="N2178"/>
    </row>
    <row r="2179" spans="13:14" ht="14.25" customHeight="1">
      <c r="M2179"/>
      <c r="N2179"/>
    </row>
    <row r="2180" spans="13:14" ht="14.25" customHeight="1">
      <c r="M2180"/>
      <c r="N2180"/>
    </row>
    <row r="2181" spans="13:14" ht="14.25" customHeight="1">
      <c r="M2181"/>
      <c r="N2181"/>
    </row>
    <row r="2182" spans="13:14" ht="14.25" customHeight="1">
      <c r="M2182"/>
      <c r="N2182"/>
    </row>
    <row r="2183" spans="13:14" ht="14.25" customHeight="1">
      <c r="M2183"/>
      <c r="N2183"/>
    </row>
    <row r="2184" spans="13:14" ht="14.25" customHeight="1">
      <c r="M2184"/>
      <c r="N2184"/>
    </row>
    <row r="2185" spans="13:14" ht="14.25" customHeight="1">
      <c r="M2185"/>
      <c r="N2185"/>
    </row>
    <row r="2186" spans="13:14" ht="14.25" customHeight="1">
      <c r="M2186"/>
      <c r="N2186"/>
    </row>
    <row r="2187" spans="13:14" ht="14.25" customHeight="1">
      <c r="M2187"/>
      <c r="N2187"/>
    </row>
    <row r="2188" spans="13:14" ht="14.25" customHeight="1">
      <c r="M2188"/>
      <c r="N2188"/>
    </row>
    <row r="2189" spans="13:14" ht="14.25" customHeight="1">
      <c r="M2189"/>
      <c r="N2189"/>
    </row>
    <row r="2190" spans="13:14" ht="14.25" customHeight="1">
      <c r="M2190"/>
      <c r="N2190"/>
    </row>
    <row r="2191" spans="13:14" ht="14.25" customHeight="1">
      <c r="M2191"/>
      <c r="N2191"/>
    </row>
    <row r="2192" spans="13:14" ht="14.25" customHeight="1">
      <c r="M2192"/>
      <c r="N2192"/>
    </row>
    <row r="2193" spans="13:14" ht="14.25" customHeight="1">
      <c r="M2193"/>
      <c r="N2193"/>
    </row>
    <row r="2194" spans="13:14" ht="14.25" customHeight="1">
      <c r="M2194"/>
      <c r="N2194"/>
    </row>
    <row r="2195" spans="13:14" ht="14.25" customHeight="1">
      <c r="M2195"/>
      <c r="N2195"/>
    </row>
    <row r="2196" spans="13:14" ht="14.25" customHeight="1">
      <c r="M2196"/>
      <c r="N2196"/>
    </row>
    <row r="2197" spans="13:14" ht="14.25" customHeight="1">
      <c r="M2197"/>
      <c r="N2197"/>
    </row>
    <row r="2198" spans="13:14" ht="14.25" customHeight="1">
      <c r="M2198"/>
      <c r="N2198"/>
    </row>
    <row r="2199" spans="13:14" ht="14.25" customHeight="1">
      <c r="M2199"/>
      <c r="N2199"/>
    </row>
    <row r="2200" spans="13:14" ht="14.25" customHeight="1">
      <c r="M2200"/>
      <c r="N2200"/>
    </row>
    <row r="2201" spans="13:14" ht="14.25" customHeight="1">
      <c r="M2201"/>
      <c r="N2201"/>
    </row>
    <row r="2202" spans="13:14" ht="14.25" customHeight="1">
      <c r="M2202"/>
      <c r="N2202"/>
    </row>
    <row r="2203" spans="13:14" ht="14.25" customHeight="1">
      <c r="M2203"/>
      <c r="N2203"/>
    </row>
    <row r="2204" spans="13:14" ht="14.25" customHeight="1">
      <c r="M2204"/>
      <c r="N2204"/>
    </row>
    <row r="2205" spans="13:14" ht="14.25" customHeight="1">
      <c r="M2205"/>
      <c r="N2205"/>
    </row>
    <row r="2206" spans="13:14" ht="14.25" customHeight="1">
      <c r="M2206"/>
      <c r="N2206"/>
    </row>
    <row r="2207" spans="13:14" ht="14.25" customHeight="1">
      <c r="M2207"/>
      <c r="N2207"/>
    </row>
    <row r="2208" spans="13:14" ht="14.25" customHeight="1">
      <c r="M2208"/>
      <c r="N2208"/>
    </row>
    <row r="2209" spans="13:14" ht="14.25" customHeight="1">
      <c r="M2209"/>
      <c r="N2209"/>
    </row>
    <row r="2210" spans="13:14" ht="14.25" customHeight="1">
      <c r="M2210"/>
      <c r="N2210"/>
    </row>
    <row r="2211" spans="13:14" ht="14.25" customHeight="1">
      <c r="M2211"/>
      <c r="N2211"/>
    </row>
    <row r="2212" spans="13:14" ht="14.25" customHeight="1">
      <c r="M2212"/>
      <c r="N2212"/>
    </row>
    <row r="2213" spans="13:14" ht="14.25" customHeight="1">
      <c r="M2213"/>
      <c r="N2213"/>
    </row>
    <row r="2214" spans="13:14" ht="14.25" customHeight="1">
      <c r="M2214"/>
      <c r="N2214"/>
    </row>
    <row r="2215" spans="13:14" ht="14.25" customHeight="1">
      <c r="M2215"/>
      <c r="N2215"/>
    </row>
    <row r="2216" spans="13:14" ht="14.25" customHeight="1">
      <c r="M2216"/>
      <c r="N2216"/>
    </row>
    <row r="2217" spans="13:14" ht="14.25" customHeight="1">
      <c r="M2217"/>
      <c r="N2217"/>
    </row>
    <row r="2218" spans="13:14" ht="14.25" customHeight="1">
      <c r="M2218"/>
      <c r="N2218"/>
    </row>
    <row r="2219" spans="13:14" ht="14.25" customHeight="1">
      <c r="M2219"/>
      <c r="N2219"/>
    </row>
    <row r="2220" spans="13:14" ht="14.25" customHeight="1">
      <c r="M2220"/>
      <c r="N2220"/>
    </row>
    <row r="2221" spans="13:14" ht="14.25" customHeight="1">
      <c r="M2221"/>
      <c r="N2221"/>
    </row>
    <row r="2222" spans="13:14" ht="14.25" customHeight="1">
      <c r="M2222"/>
      <c r="N2222"/>
    </row>
    <row r="2223" spans="13:14" ht="14.25" customHeight="1">
      <c r="M2223"/>
      <c r="N2223"/>
    </row>
    <row r="2224" spans="13:14" ht="14.25" customHeight="1">
      <c r="M2224"/>
      <c r="N2224"/>
    </row>
    <row r="2225" spans="13:14" ht="14.25" customHeight="1">
      <c r="M2225"/>
      <c r="N2225"/>
    </row>
    <row r="2226" spans="13:14" ht="14.25" customHeight="1">
      <c r="M2226"/>
      <c r="N2226"/>
    </row>
    <row r="2227" spans="13:14" ht="14.25" customHeight="1">
      <c r="M2227"/>
      <c r="N2227"/>
    </row>
    <row r="2228" spans="13:14" ht="14.25" customHeight="1">
      <c r="M2228"/>
      <c r="N2228"/>
    </row>
    <row r="2229" spans="13:14" ht="14.25" customHeight="1">
      <c r="M2229"/>
      <c r="N2229"/>
    </row>
    <row r="2230" spans="13:14" ht="14.25" customHeight="1">
      <c r="M2230"/>
      <c r="N2230"/>
    </row>
    <row r="2231" spans="13:14" ht="14.25" customHeight="1">
      <c r="M2231"/>
      <c r="N2231"/>
    </row>
    <row r="2232" spans="13:14" ht="14.25" customHeight="1">
      <c r="M2232"/>
      <c r="N2232"/>
    </row>
    <row r="2233" spans="13:14" ht="14.25" customHeight="1">
      <c r="M2233"/>
      <c r="N2233"/>
    </row>
    <row r="2234" spans="13:14" ht="14.25" customHeight="1">
      <c r="M2234"/>
      <c r="N2234"/>
    </row>
    <row r="2235" spans="13:14" ht="14.25" customHeight="1">
      <c r="M2235"/>
      <c r="N2235"/>
    </row>
    <row r="2236" spans="13:14" ht="14.25" customHeight="1">
      <c r="M2236"/>
      <c r="N2236"/>
    </row>
    <row r="2237" spans="13:14" ht="14.25" customHeight="1">
      <c r="M2237"/>
      <c r="N2237"/>
    </row>
    <row r="2238" spans="13:14" ht="14.25" customHeight="1">
      <c r="M2238"/>
      <c r="N2238"/>
    </row>
    <row r="2239" spans="13:14" ht="14.25" customHeight="1">
      <c r="M2239"/>
      <c r="N2239"/>
    </row>
    <row r="2240" spans="13:14" ht="14.25" customHeight="1">
      <c r="M2240"/>
      <c r="N2240"/>
    </row>
    <row r="2241" spans="13:14" ht="14.25" customHeight="1">
      <c r="M2241"/>
      <c r="N2241"/>
    </row>
    <row r="2242" spans="13:14" ht="14.25" customHeight="1">
      <c r="M2242"/>
      <c r="N2242"/>
    </row>
    <row r="2243" spans="13:14" ht="14.25" customHeight="1">
      <c r="M2243"/>
      <c r="N2243"/>
    </row>
    <row r="2244" spans="13:14" ht="14.25" customHeight="1">
      <c r="M2244"/>
      <c r="N2244"/>
    </row>
    <row r="2245" spans="13:14" ht="14.25" customHeight="1">
      <c r="M2245"/>
      <c r="N2245"/>
    </row>
    <row r="2246" spans="13:14" ht="14.25" customHeight="1">
      <c r="M2246"/>
      <c r="N2246"/>
    </row>
    <row r="2247" spans="13:14" ht="14.25" customHeight="1">
      <c r="M2247"/>
      <c r="N2247"/>
    </row>
    <row r="2248" spans="13:14" ht="14.25" customHeight="1">
      <c r="M2248"/>
      <c r="N2248"/>
    </row>
    <row r="2249" spans="13:14" ht="14.25" customHeight="1">
      <c r="M2249"/>
      <c r="N2249"/>
    </row>
    <row r="2250" spans="13:14" ht="14.25" customHeight="1">
      <c r="M2250"/>
      <c r="N2250"/>
    </row>
    <row r="2251" spans="13:14" ht="14.25" customHeight="1">
      <c r="M2251"/>
      <c r="N2251"/>
    </row>
    <row r="2252" spans="13:14" ht="14.25" customHeight="1">
      <c r="M2252"/>
      <c r="N2252"/>
    </row>
    <row r="2253" spans="13:14" ht="14.25" customHeight="1">
      <c r="M2253"/>
      <c r="N2253"/>
    </row>
    <row r="2254" spans="13:14" ht="14.25" customHeight="1">
      <c r="M2254"/>
      <c r="N2254"/>
    </row>
    <row r="2255" spans="13:14" ht="14.25" customHeight="1">
      <c r="M2255"/>
      <c r="N2255"/>
    </row>
    <row r="2256" spans="13:14" ht="14.25" customHeight="1">
      <c r="M2256"/>
      <c r="N2256"/>
    </row>
    <row r="2257" spans="13:14" ht="14.25" customHeight="1">
      <c r="M2257"/>
      <c r="N2257"/>
    </row>
    <row r="2258" spans="13:14" ht="14.25" customHeight="1">
      <c r="M2258"/>
      <c r="N2258"/>
    </row>
    <row r="2259" spans="13:14" ht="14.25" customHeight="1">
      <c r="M2259"/>
      <c r="N2259"/>
    </row>
    <row r="2260" spans="13:14" ht="14.25" customHeight="1">
      <c r="M2260"/>
      <c r="N2260"/>
    </row>
    <row r="2261" spans="13:14" ht="14.25" customHeight="1">
      <c r="M2261"/>
      <c r="N2261"/>
    </row>
    <row r="2262" spans="13:14" ht="14.25" customHeight="1">
      <c r="M2262"/>
      <c r="N2262"/>
    </row>
    <row r="2263" spans="13:14" ht="14.25" customHeight="1">
      <c r="M2263"/>
      <c r="N2263"/>
    </row>
    <row r="2264" spans="13:14" ht="14.25" customHeight="1">
      <c r="M2264"/>
      <c r="N2264"/>
    </row>
    <row r="2265" spans="13:14" ht="14.25" customHeight="1">
      <c r="M2265"/>
      <c r="N2265"/>
    </row>
    <row r="2266" spans="13:14" ht="14.25" customHeight="1">
      <c r="M2266"/>
      <c r="N2266"/>
    </row>
    <row r="2267" spans="13:14" ht="14.25" customHeight="1">
      <c r="M2267"/>
      <c r="N2267"/>
    </row>
    <row r="2268" spans="13:14" ht="14.25" customHeight="1">
      <c r="M2268"/>
      <c r="N2268"/>
    </row>
    <row r="2269" spans="13:14" ht="14.25" customHeight="1">
      <c r="M2269"/>
      <c r="N2269"/>
    </row>
    <row r="2270" spans="13:14" ht="14.25" customHeight="1">
      <c r="M2270"/>
      <c r="N2270"/>
    </row>
    <row r="2271" spans="13:14" ht="14.25" customHeight="1">
      <c r="M2271"/>
      <c r="N2271"/>
    </row>
    <row r="2272" spans="13:14" ht="14.25" customHeight="1">
      <c r="M2272"/>
      <c r="N2272"/>
    </row>
    <row r="2273" spans="13:14" ht="14.25" customHeight="1">
      <c r="M2273"/>
      <c r="N2273"/>
    </row>
    <row r="2274" spans="13:14" ht="14.25" customHeight="1">
      <c r="M2274"/>
      <c r="N2274"/>
    </row>
    <row r="2275" spans="13:14" ht="14.25" customHeight="1">
      <c r="M2275"/>
      <c r="N2275"/>
    </row>
    <row r="2276" spans="13:14" ht="14.25" customHeight="1">
      <c r="M2276"/>
      <c r="N2276"/>
    </row>
    <row r="2277" spans="13:14" ht="14.25" customHeight="1">
      <c r="M2277"/>
      <c r="N2277"/>
    </row>
    <row r="2278" spans="13:14" ht="14.25" customHeight="1">
      <c r="M2278"/>
      <c r="N2278"/>
    </row>
    <row r="2279" spans="13:14" ht="14.25" customHeight="1">
      <c r="M2279"/>
      <c r="N2279"/>
    </row>
    <row r="2280" spans="13:14" ht="14.25" customHeight="1">
      <c r="M2280"/>
      <c r="N2280"/>
    </row>
    <row r="2281" spans="13:14" ht="14.25" customHeight="1">
      <c r="M2281"/>
      <c r="N2281"/>
    </row>
    <row r="2282" spans="13:14" ht="14.25" customHeight="1">
      <c r="M2282"/>
      <c r="N2282"/>
    </row>
    <row r="2283" spans="13:14" ht="14.25" customHeight="1">
      <c r="M2283"/>
      <c r="N2283"/>
    </row>
    <row r="2284" spans="13:14" ht="14.25" customHeight="1">
      <c r="M2284"/>
      <c r="N2284"/>
    </row>
    <row r="2285" spans="13:14" ht="14.25" customHeight="1">
      <c r="M2285"/>
      <c r="N2285"/>
    </row>
    <row r="2286" spans="13:14" ht="14.25" customHeight="1">
      <c r="M2286"/>
      <c r="N2286"/>
    </row>
    <row r="2287" spans="13:14" ht="14.25" customHeight="1">
      <c r="M2287"/>
      <c r="N2287"/>
    </row>
    <row r="2288" spans="13:14" ht="14.25" customHeight="1">
      <c r="M2288"/>
      <c r="N2288"/>
    </row>
    <row r="2289" spans="13:14" ht="14.25" customHeight="1">
      <c r="M2289"/>
      <c r="N2289"/>
    </row>
    <row r="2290" spans="13:14" ht="14.25" customHeight="1">
      <c r="M2290"/>
      <c r="N2290"/>
    </row>
    <row r="2291" spans="13:14" ht="14.25" customHeight="1">
      <c r="M2291"/>
      <c r="N2291"/>
    </row>
    <row r="2292" spans="13:14" ht="14.25" customHeight="1">
      <c r="M2292"/>
      <c r="N2292"/>
    </row>
    <row r="2293" spans="13:14" ht="14.25" customHeight="1">
      <c r="M2293"/>
      <c r="N2293"/>
    </row>
    <row r="2294" spans="13:14" ht="14.25" customHeight="1">
      <c r="M2294"/>
      <c r="N2294"/>
    </row>
    <row r="2295" spans="13:14" ht="14.25" customHeight="1">
      <c r="M2295"/>
      <c r="N2295"/>
    </row>
    <row r="2296" spans="13:14" ht="14.25" customHeight="1">
      <c r="M2296"/>
      <c r="N2296"/>
    </row>
    <row r="2297" spans="13:14" ht="14.25" customHeight="1">
      <c r="M2297"/>
      <c r="N2297"/>
    </row>
    <row r="2298" spans="13:14" ht="14.25" customHeight="1">
      <c r="M2298"/>
      <c r="N2298"/>
    </row>
    <row r="2299" spans="13:14" ht="14.25" customHeight="1">
      <c r="M2299"/>
      <c r="N2299"/>
    </row>
    <row r="2300" spans="13:14" ht="14.25" customHeight="1">
      <c r="M2300"/>
      <c r="N2300"/>
    </row>
    <row r="2301" spans="13:14" ht="14.25" customHeight="1">
      <c r="M2301"/>
      <c r="N2301"/>
    </row>
    <row r="2302" spans="13:14" ht="14.25" customHeight="1">
      <c r="M2302"/>
      <c r="N2302"/>
    </row>
    <row r="2303" spans="13:14" ht="14.25" customHeight="1">
      <c r="M2303"/>
      <c r="N2303"/>
    </row>
    <row r="2304" spans="13:14" ht="14.25" customHeight="1">
      <c r="M2304"/>
      <c r="N2304"/>
    </row>
    <row r="2305" spans="13:14" ht="14.25" customHeight="1">
      <c r="M2305"/>
      <c r="N2305"/>
    </row>
    <row r="2306" spans="13:14" ht="14.25" customHeight="1">
      <c r="M2306"/>
      <c r="N2306"/>
    </row>
    <row r="2307" spans="13:14" ht="14.25" customHeight="1">
      <c r="M2307"/>
      <c r="N2307"/>
    </row>
    <row r="2308" spans="13:14" ht="14.25" customHeight="1">
      <c r="M2308"/>
      <c r="N2308"/>
    </row>
    <row r="2309" spans="13:14" ht="14.25" customHeight="1">
      <c r="M2309"/>
      <c r="N2309"/>
    </row>
    <row r="2310" spans="13:14" ht="14.25" customHeight="1">
      <c r="M2310"/>
      <c r="N2310"/>
    </row>
    <row r="2311" spans="13:14" ht="14.25" customHeight="1">
      <c r="M2311"/>
      <c r="N2311"/>
    </row>
    <row r="2312" spans="13:14" ht="14.25" customHeight="1">
      <c r="M2312"/>
      <c r="N2312"/>
    </row>
    <row r="2313" spans="13:14" ht="14.25" customHeight="1">
      <c r="M2313"/>
      <c r="N2313"/>
    </row>
    <row r="2314" spans="13:14" ht="14.25" customHeight="1">
      <c r="M2314"/>
      <c r="N2314"/>
    </row>
    <row r="2315" spans="13:14" ht="14.25" customHeight="1">
      <c r="M2315"/>
      <c r="N2315"/>
    </row>
    <row r="2316" spans="13:14" ht="14.25" customHeight="1">
      <c r="M2316"/>
      <c r="N2316"/>
    </row>
    <row r="2317" spans="13:14" ht="14.25" customHeight="1">
      <c r="M2317"/>
      <c r="N2317"/>
    </row>
    <row r="2318" spans="13:14" ht="14.25" customHeight="1">
      <c r="M2318"/>
      <c r="N2318"/>
    </row>
    <row r="2319" spans="13:14" ht="14.25" customHeight="1">
      <c r="M2319"/>
      <c r="N2319"/>
    </row>
    <row r="2320" spans="13:14" ht="14.25" customHeight="1">
      <c r="M2320"/>
      <c r="N2320"/>
    </row>
    <row r="2321" spans="13:14" ht="14.25" customHeight="1">
      <c r="M2321"/>
      <c r="N2321"/>
    </row>
    <row r="2322" spans="13:14" ht="14.25" customHeight="1">
      <c r="M2322"/>
      <c r="N2322"/>
    </row>
    <row r="2323" spans="13:14" ht="14.25" customHeight="1">
      <c r="M2323"/>
      <c r="N2323"/>
    </row>
    <row r="2324" spans="13:14" ht="14.25" customHeight="1">
      <c r="M2324"/>
      <c r="N2324"/>
    </row>
    <row r="2325" spans="13:14" ht="14.25" customHeight="1">
      <c r="M2325"/>
      <c r="N2325"/>
    </row>
    <row r="2326" spans="13:14" ht="14.25" customHeight="1">
      <c r="M2326"/>
      <c r="N2326"/>
    </row>
    <row r="2327" spans="13:14" ht="14.25" customHeight="1">
      <c r="M2327"/>
      <c r="N2327"/>
    </row>
    <row r="2328" spans="13:14" ht="14.25" customHeight="1">
      <c r="M2328"/>
      <c r="N2328"/>
    </row>
    <row r="2329" spans="13:14" ht="14.25" customHeight="1">
      <c r="M2329"/>
      <c r="N2329"/>
    </row>
    <row r="2330" spans="13:14" ht="14.25" customHeight="1">
      <c r="M2330"/>
      <c r="N2330"/>
    </row>
    <row r="2331" spans="13:14" ht="14.25" customHeight="1">
      <c r="M2331"/>
      <c r="N2331"/>
    </row>
    <row r="2332" spans="13:14" ht="14.25" customHeight="1">
      <c r="M2332"/>
      <c r="N2332"/>
    </row>
    <row r="2333" spans="13:14" ht="14.25" customHeight="1">
      <c r="M2333"/>
      <c r="N2333"/>
    </row>
    <row r="2334" spans="13:14" ht="14.25" customHeight="1">
      <c r="M2334"/>
      <c r="N2334"/>
    </row>
    <row r="2335" spans="13:14" ht="14.25" customHeight="1">
      <c r="M2335"/>
      <c r="N2335"/>
    </row>
    <row r="2336" spans="13:14" ht="14.25" customHeight="1">
      <c r="M2336"/>
      <c r="N2336"/>
    </row>
    <row r="2337" spans="13:14" ht="14.25" customHeight="1">
      <c r="M2337"/>
      <c r="N2337"/>
    </row>
    <row r="2338" spans="13:14" ht="14.25" customHeight="1">
      <c r="M2338"/>
      <c r="N2338"/>
    </row>
    <row r="2339" spans="13:14" ht="14.25" customHeight="1">
      <c r="M2339"/>
      <c r="N2339"/>
    </row>
    <row r="2340" spans="13:14" ht="14.25" customHeight="1">
      <c r="M2340"/>
      <c r="N2340"/>
    </row>
    <row r="2341" spans="13:14" ht="14.25" customHeight="1">
      <c r="M2341"/>
      <c r="N2341"/>
    </row>
    <row r="2342" spans="13:14" ht="14.25" customHeight="1">
      <c r="M2342"/>
      <c r="N2342"/>
    </row>
    <row r="2343" spans="13:14" ht="14.25" customHeight="1">
      <c r="M2343"/>
      <c r="N2343"/>
    </row>
    <row r="2344" spans="13:14" ht="14.25" customHeight="1">
      <c r="M2344"/>
      <c r="N2344"/>
    </row>
    <row r="2345" spans="13:14" ht="14.25" customHeight="1">
      <c r="M2345"/>
      <c r="N2345"/>
    </row>
    <row r="2346" spans="13:14" ht="14.25" customHeight="1">
      <c r="M2346"/>
      <c r="N2346"/>
    </row>
    <row r="2347" spans="13:14" ht="14.25" customHeight="1">
      <c r="M2347"/>
      <c r="N2347"/>
    </row>
    <row r="2348" spans="13:14" ht="14.25" customHeight="1">
      <c r="M2348"/>
      <c r="N2348"/>
    </row>
    <row r="2349" spans="13:14" ht="14.25" customHeight="1">
      <c r="M2349"/>
      <c r="N2349"/>
    </row>
    <row r="2350" spans="13:14" ht="14.25" customHeight="1">
      <c r="M2350"/>
      <c r="N2350"/>
    </row>
    <row r="2351" spans="13:14" ht="14.25" customHeight="1">
      <c r="M2351"/>
      <c r="N2351"/>
    </row>
    <row r="2352" spans="13:14" ht="14.25" customHeight="1">
      <c r="M2352"/>
      <c r="N2352"/>
    </row>
    <row r="2353" spans="13:14" ht="14.25" customHeight="1">
      <c r="M2353"/>
      <c r="N2353"/>
    </row>
    <row r="2354" spans="13:14" ht="14.25" customHeight="1">
      <c r="M2354"/>
      <c r="N2354"/>
    </row>
    <row r="2355" spans="13:14" ht="14.25" customHeight="1">
      <c r="M2355"/>
      <c r="N2355"/>
    </row>
    <row r="2356" spans="13:14" ht="14.25" customHeight="1">
      <c r="M2356"/>
      <c r="N2356"/>
    </row>
    <row r="2357" spans="13:14" ht="14.25" customHeight="1">
      <c r="M2357"/>
      <c r="N2357"/>
    </row>
    <row r="2358" spans="13:14" ht="14.25" customHeight="1">
      <c r="M2358"/>
      <c r="N2358"/>
    </row>
    <row r="2359" spans="13:14" ht="14.25" customHeight="1">
      <c r="M2359"/>
      <c r="N2359"/>
    </row>
    <row r="2360" spans="13:14" ht="14.25" customHeight="1">
      <c r="M2360"/>
      <c r="N2360"/>
    </row>
    <row r="2361" spans="13:14" ht="14.25" customHeight="1">
      <c r="M2361"/>
      <c r="N2361"/>
    </row>
    <row r="2362" spans="13:14" ht="14.25" customHeight="1">
      <c r="M2362"/>
      <c r="N2362"/>
    </row>
    <row r="2363" spans="13:14" ht="14.25" customHeight="1">
      <c r="M2363"/>
      <c r="N2363"/>
    </row>
    <row r="2364" spans="13:14" ht="14.25" customHeight="1">
      <c r="M2364"/>
      <c r="N2364"/>
    </row>
    <row r="2365" spans="13:14" ht="14.25" customHeight="1">
      <c r="M2365"/>
      <c r="N2365"/>
    </row>
    <row r="2366" spans="13:14" ht="14.25" customHeight="1">
      <c r="M2366"/>
      <c r="N2366"/>
    </row>
    <row r="2367" spans="13:14" ht="14.25" customHeight="1">
      <c r="M2367"/>
      <c r="N2367"/>
    </row>
    <row r="2368" spans="13:14" ht="14.25" customHeight="1">
      <c r="M2368"/>
      <c r="N2368"/>
    </row>
    <row r="2369" spans="13:14" ht="14.25" customHeight="1">
      <c r="M2369"/>
      <c r="N2369"/>
    </row>
    <row r="2370" spans="13:14" ht="14.25" customHeight="1">
      <c r="M2370"/>
      <c r="N2370"/>
    </row>
    <row r="2371" spans="13:14" ht="14.25" customHeight="1">
      <c r="M2371"/>
      <c r="N2371"/>
    </row>
    <row r="2372" spans="13:14" ht="14.25" customHeight="1">
      <c r="M2372"/>
      <c r="N2372"/>
    </row>
    <row r="2373" spans="13:14" ht="14.25" customHeight="1">
      <c r="M2373"/>
      <c r="N2373"/>
    </row>
    <row r="2374" spans="13:14" ht="14.25" customHeight="1">
      <c r="M2374"/>
      <c r="N2374"/>
    </row>
    <row r="2375" spans="13:14" ht="14.25" customHeight="1">
      <c r="M2375"/>
      <c r="N2375"/>
    </row>
    <row r="2376" spans="13:14" ht="14.25" customHeight="1">
      <c r="M2376"/>
      <c r="N2376"/>
    </row>
    <row r="2377" spans="13:14" ht="14.25" customHeight="1">
      <c r="M2377"/>
      <c r="N2377"/>
    </row>
    <row r="2378" spans="13:14" ht="14.25" customHeight="1">
      <c r="M2378"/>
      <c r="N2378"/>
    </row>
    <row r="2379" spans="13:14" ht="14.25" customHeight="1">
      <c r="M2379"/>
      <c r="N2379"/>
    </row>
    <row r="2380" spans="13:14" ht="14.25" customHeight="1">
      <c r="M2380"/>
      <c r="N2380"/>
    </row>
    <row r="2381" spans="13:14" ht="14.25" customHeight="1">
      <c r="M2381"/>
      <c r="N2381"/>
    </row>
    <row r="2382" spans="13:14" ht="14.25" customHeight="1">
      <c r="M2382"/>
      <c r="N2382"/>
    </row>
    <row r="2383" spans="13:14" ht="14.25" customHeight="1">
      <c r="M2383"/>
      <c r="N2383"/>
    </row>
    <row r="2384" spans="13:14" ht="14.25" customHeight="1">
      <c r="M2384"/>
      <c r="N2384"/>
    </row>
    <row r="2385" spans="13:14" ht="14.25" customHeight="1">
      <c r="M2385"/>
      <c r="N2385"/>
    </row>
    <row r="2386" spans="13:14" ht="14.25" customHeight="1">
      <c r="M2386"/>
      <c r="N2386"/>
    </row>
    <row r="2387" spans="13:14" ht="14.25" customHeight="1">
      <c r="M2387"/>
      <c r="N2387"/>
    </row>
    <row r="2388" spans="13:14" ht="14.25" customHeight="1">
      <c r="M2388"/>
      <c r="N2388"/>
    </row>
    <row r="2389" spans="13:14" ht="14.25" customHeight="1">
      <c r="M2389"/>
      <c r="N2389"/>
    </row>
    <row r="2390" spans="13:14" ht="14.25" customHeight="1">
      <c r="M2390"/>
      <c r="N2390"/>
    </row>
    <row r="2391" spans="13:14" ht="14.25" customHeight="1">
      <c r="M2391"/>
      <c r="N2391"/>
    </row>
    <row r="2392" spans="13:14" ht="14.25" customHeight="1">
      <c r="M2392"/>
      <c r="N2392"/>
    </row>
    <row r="2393" spans="13:14" ht="14.25" customHeight="1">
      <c r="M2393"/>
      <c r="N2393"/>
    </row>
    <row r="2394" spans="13:14" ht="14.25" customHeight="1">
      <c r="M2394"/>
      <c r="N2394"/>
    </row>
    <row r="2395" spans="13:14" ht="14.25" customHeight="1">
      <c r="M2395"/>
      <c r="N2395"/>
    </row>
    <row r="2396" spans="13:14" ht="14.25" customHeight="1">
      <c r="M2396"/>
      <c r="N2396"/>
    </row>
    <row r="2397" spans="13:14" ht="14.25" customHeight="1">
      <c r="M2397"/>
      <c r="N2397"/>
    </row>
    <row r="2398" spans="13:14" ht="14.25" customHeight="1">
      <c r="M2398"/>
      <c r="N2398"/>
    </row>
    <row r="2399" spans="13:14" ht="14.25" customHeight="1">
      <c r="M2399"/>
      <c r="N2399"/>
    </row>
    <row r="2400" spans="13:14" ht="14.25" customHeight="1">
      <c r="M2400"/>
      <c r="N2400"/>
    </row>
    <row r="2401" spans="13:14" ht="14.25" customHeight="1">
      <c r="M2401"/>
      <c r="N2401"/>
    </row>
    <row r="2402" spans="13:14" ht="14.25" customHeight="1">
      <c r="M2402"/>
      <c r="N2402"/>
    </row>
    <row r="2403" spans="13:14" ht="14.25" customHeight="1">
      <c r="M2403"/>
      <c r="N2403"/>
    </row>
    <row r="2404" spans="13:14" ht="14.25" customHeight="1">
      <c r="M2404"/>
      <c r="N2404"/>
    </row>
    <row r="2405" spans="13:14" ht="14.25" customHeight="1">
      <c r="M2405"/>
      <c r="N2405"/>
    </row>
    <row r="2406" spans="13:14" ht="14.25" customHeight="1">
      <c r="M2406"/>
      <c r="N2406"/>
    </row>
    <row r="2407" spans="13:14" ht="14.25" customHeight="1">
      <c r="M2407"/>
      <c r="N2407"/>
    </row>
    <row r="2408" spans="13:14" ht="14.25" customHeight="1">
      <c r="M2408"/>
      <c r="N2408"/>
    </row>
    <row r="2409" spans="13:14" ht="14.25" customHeight="1">
      <c r="M2409"/>
      <c r="N2409"/>
    </row>
    <row r="2410" spans="13:14" ht="14.25" customHeight="1">
      <c r="M2410"/>
      <c r="N2410"/>
    </row>
    <row r="2411" spans="13:14" ht="14.25" customHeight="1">
      <c r="M2411"/>
      <c r="N2411"/>
    </row>
    <row r="2412" spans="13:14" ht="14.25" customHeight="1">
      <c r="M2412"/>
      <c r="N2412"/>
    </row>
    <row r="2413" spans="13:14" ht="14.25" customHeight="1">
      <c r="M2413"/>
      <c r="N2413"/>
    </row>
    <row r="2414" spans="13:14" ht="14.25" customHeight="1">
      <c r="M2414"/>
      <c r="N2414"/>
    </row>
    <row r="2415" spans="13:14" ht="14.25" customHeight="1">
      <c r="M2415"/>
      <c r="N2415"/>
    </row>
    <row r="2416" spans="13:14" ht="14.25" customHeight="1">
      <c r="M2416"/>
      <c r="N2416"/>
    </row>
    <row r="2417" spans="13:14" ht="14.25" customHeight="1">
      <c r="M2417"/>
      <c r="N2417"/>
    </row>
    <row r="2418" spans="13:14" ht="14.25" customHeight="1">
      <c r="M2418"/>
      <c r="N2418"/>
    </row>
    <row r="2419" spans="13:14" ht="14.25" customHeight="1">
      <c r="M2419"/>
      <c r="N2419"/>
    </row>
    <row r="2420" spans="13:14" ht="14.25" customHeight="1">
      <c r="M2420"/>
      <c r="N2420"/>
    </row>
    <row r="2421" spans="13:14" ht="14.25" customHeight="1">
      <c r="M2421"/>
      <c r="N2421"/>
    </row>
    <row r="2422" spans="13:14" ht="14.25" customHeight="1">
      <c r="M2422"/>
      <c r="N2422"/>
    </row>
    <row r="2423" spans="13:14" ht="14.25" customHeight="1">
      <c r="M2423"/>
      <c r="N2423"/>
    </row>
    <row r="2424" spans="13:14" ht="14.25" customHeight="1">
      <c r="M2424"/>
      <c r="N2424"/>
    </row>
    <row r="2425" spans="13:14" ht="14.25" customHeight="1">
      <c r="M2425"/>
      <c r="N2425"/>
    </row>
    <row r="2426" spans="13:14" ht="14.25" customHeight="1">
      <c r="M2426"/>
      <c r="N2426"/>
    </row>
    <row r="2427" spans="13:14" ht="14.25" customHeight="1">
      <c r="M2427"/>
      <c r="N2427"/>
    </row>
    <row r="2428" spans="13:14" ht="14.25" customHeight="1">
      <c r="M2428"/>
      <c r="N2428"/>
    </row>
    <row r="2429" spans="13:14" ht="14.25" customHeight="1">
      <c r="M2429"/>
      <c r="N2429"/>
    </row>
    <row r="2430" spans="13:14" ht="14.25" customHeight="1">
      <c r="M2430"/>
      <c r="N2430"/>
    </row>
    <row r="2431" spans="13:14" ht="14.25" customHeight="1">
      <c r="M2431"/>
      <c r="N2431"/>
    </row>
    <row r="2432" spans="13:14" ht="14.25" customHeight="1">
      <c r="M2432"/>
      <c r="N2432"/>
    </row>
    <row r="2433" spans="13:14" ht="14.25" customHeight="1">
      <c r="M2433"/>
      <c r="N2433"/>
    </row>
    <row r="2434" spans="13:14" ht="14.25" customHeight="1">
      <c r="M2434"/>
      <c r="N2434"/>
    </row>
    <row r="2435" spans="13:14" ht="14.25" customHeight="1">
      <c r="M2435"/>
      <c r="N2435"/>
    </row>
    <row r="2436" spans="13:14" ht="14.25" customHeight="1">
      <c r="M2436"/>
      <c r="N2436"/>
    </row>
    <row r="2437" spans="13:14" ht="14.25" customHeight="1">
      <c r="M2437"/>
      <c r="N2437"/>
    </row>
    <row r="2438" spans="13:14" ht="14.25" customHeight="1">
      <c r="M2438"/>
      <c r="N2438"/>
    </row>
    <row r="2439" spans="13:14" ht="14.25" customHeight="1">
      <c r="M2439"/>
      <c r="N2439"/>
    </row>
    <row r="2440" spans="13:14" ht="14.25" customHeight="1">
      <c r="M2440"/>
      <c r="N2440"/>
    </row>
    <row r="2441" spans="13:14" ht="14.25" customHeight="1">
      <c r="M2441"/>
      <c r="N2441"/>
    </row>
    <row r="2442" spans="13:14" ht="14.25" customHeight="1">
      <c r="M2442"/>
      <c r="N2442"/>
    </row>
    <row r="2443" spans="13:14" ht="14.25" customHeight="1">
      <c r="M2443"/>
      <c r="N2443"/>
    </row>
    <row r="2444" spans="13:14" ht="14.25" customHeight="1">
      <c r="M2444"/>
      <c r="N2444"/>
    </row>
    <row r="2445" spans="13:14" ht="14.25" customHeight="1">
      <c r="M2445"/>
      <c r="N2445"/>
    </row>
    <row r="2446" spans="13:14" ht="14.25" customHeight="1">
      <c r="M2446"/>
      <c r="N2446"/>
    </row>
    <row r="2447" spans="13:14" ht="14.25" customHeight="1">
      <c r="M2447"/>
      <c r="N2447"/>
    </row>
    <row r="2448" spans="13:14" ht="14.25" customHeight="1">
      <c r="M2448"/>
      <c r="N2448"/>
    </row>
    <row r="2449" spans="13:14" ht="14.25" customHeight="1">
      <c r="M2449"/>
      <c r="N2449"/>
    </row>
    <row r="2450" spans="13:14" ht="14.25" customHeight="1">
      <c r="M2450"/>
      <c r="N2450"/>
    </row>
    <row r="2451" spans="13:14" ht="14.25" customHeight="1">
      <c r="M2451"/>
      <c r="N2451"/>
    </row>
    <row r="2452" spans="13:14" ht="14.25" customHeight="1">
      <c r="M2452"/>
      <c r="N2452"/>
    </row>
    <row r="2453" spans="13:14" ht="14.25" customHeight="1">
      <c r="M2453"/>
      <c r="N2453"/>
    </row>
    <row r="2454" spans="13:14" ht="14.25" customHeight="1">
      <c r="M2454"/>
      <c r="N2454"/>
    </row>
    <row r="2455" spans="13:14" ht="14.25" customHeight="1">
      <c r="M2455"/>
      <c r="N2455"/>
    </row>
    <row r="2456" spans="13:14" ht="14.25" customHeight="1">
      <c r="M2456"/>
      <c r="N2456"/>
    </row>
    <row r="2457" spans="13:14" ht="14.25" customHeight="1">
      <c r="M2457"/>
      <c r="N2457"/>
    </row>
    <row r="2458" spans="13:14" ht="14.25" customHeight="1">
      <c r="M2458"/>
      <c r="N2458"/>
    </row>
    <row r="2459" spans="13:14" ht="14.25" customHeight="1">
      <c r="M2459"/>
      <c r="N2459"/>
    </row>
    <row r="2460" spans="13:14" ht="14.25" customHeight="1">
      <c r="M2460"/>
      <c r="N2460"/>
    </row>
    <row r="2461" spans="13:14" ht="14.25" customHeight="1">
      <c r="M2461"/>
      <c r="N2461"/>
    </row>
    <row r="2462" spans="13:14" ht="14.25" customHeight="1">
      <c r="M2462"/>
      <c r="N2462"/>
    </row>
    <row r="2463" spans="13:14" ht="14.25" customHeight="1">
      <c r="M2463"/>
      <c r="N2463"/>
    </row>
    <row r="2464" spans="13:14" ht="14.25" customHeight="1">
      <c r="M2464"/>
      <c r="N2464"/>
    </row>
    <row r="2465" spans="13:14" ht="14.25" customHeight="1">
      <c r="M2465"/>
      <c r="N2465"/>
    </row>
    <row r="2466" spans="13:14" ht="14.25" customHeight="1">
      <c r="M2466"/>
      <c r="N2466"/>
    </row>
    <row r="2467" spans="13:14" ht="14.25" customHeight="1">
      <c r="M2467"/>
      <c r="N2467"/>
    </row>
    <row r="2468" spans="13:14" ht="14.25" customHeight="1">
      <c r="M2468"/>
      <c r="N2468"/>
    </row>
    <row r="2469" spans="13:14" ht="14.25" customHeight="1">
      <c r="M2469"/>
      <c r="N2469"/>
    </row>
    <row r="2470" spans="13:14" ht="14.25" customHeight="1">
      <c r="M2470"/>
      <c r="N2470"/>
    </row>
    <row r="2471" spans="13:14" ht="14.25" customHeight="1">
      <c r="M2471"/>
      <c r="N2471"/>
    </row>
    <row r="2472" spans="13:14" ht="14.25" customHeight="1">
      <c r="M2472"/>
      <c r="N2472"/>
    </row>
    <row r="2473" spans="13:14" ht="14.25" customHeight="1">
      <c r="M2473"/>
      <c r="N2473"/>
    </row>
    <row r="2474" spans="13:14" ht="14.25" customHeight="1">
      <c r="M2474"/>
      <c r="N2474"/>
    </row>
    <row r="2475" spans="13:14" ht="14.25" customHeight="1">
      <c r="M2475"/>
      <c r="N2475"/>
    </row>
    <row r="2476" spans="13:14" ht="14.25" customHeight="1">
      <c r="M2476"/>
      <c r="N2476"/>
    </row>
    <row r="2477" spans="13:14" ht="14.25" customHeight="1">
      <c r="M2477"/>
      <c r="N2477"/>
    </row>
    <row r="2478" spans="13:14" ht="14.25" customHeight="1">
      <c r="M2478"/>
      <c r="N2478"/>
    </row>
    <row r="2479" spans="13:14" ht="14.25" customHeight="1">
      <c r="M2479"/>
      <c r="N2479"/>
    </row>
    <row r="2480" spans="13:14" ht="14.25" customHeight="1">
      <c r="M2480"/>
      <c r="N2480"/>
    </row>
    <row r="2481" spans="13:14" ht="14.25" customHeight="1">
      <c r="M2481"/>
      <c r="N2481"/>
    </row>
    <row r="2482" spans="13:14" ht="14.25" customHeight="1">
      <c r="M2482"/>
      <c r="N2482"/>
    </row>
    <row r="2483" spans="13:14" ht="14.25" customHeight="1">
      <c r="M2483"/>
      <c r="N2483"/>
    </row>
    <row r="2484" spans="13:14" ht="14.25" customHeight="1">
      <c r="M2484"/>
      <c r="N2484"/>
    </row>
    <row r="2485" spans="13:14" ht="14.25" customHeight="1">
      <c r="M2485"/>
      <c r="N2485"/>
    </row>
    <row r="2486" spans="13:14" ht="14.25" customHeight="1">
      <c r="M2486"/>
      <c r="N2486"/>
    </row>
    <row r="2487" spans="13:14" ht="14.25" customHeight="1">
      <c r="M2487"/>
      <c r="N2487"/>
    </row>
    <row r="2488" spans="13:14" ht="14.25" customHeight="1">
      <c r="M2488"/>
      <c r="N2488"/>
    </row>
    <row r="2489" spans="13:14" ht="14.25" customHeight="1">
      <c r="M2489"/>
      <c r="N2489"/>
    </row>
    <row r="2490" spans="13:14" ht="14.25" customHeight="1">
      <c r="M2490"/>
      <c r="N2490"/>
    </row>
    <row r="2491" spans="13:14" ht="14.25" customHeight="1">
      <c r="M2491"/>
      <c r="N2491"/>
    </row>
    <row r="2492" spans="13:14" ht="14.25" customHeight="1">
      <c r="M2492"/>
      <c r="N2492"/>
    </row>
    <row r="2493" spans="13:14" ht="14.25" customHeight="1">
      <c r="M2493"/>
      <c r="N2493"/>
    </row>
    <row r="2494" spans="13:14" ht="14.25" customHeight="1">
      <c r="M2494"/>
      <c r="N2494"/>
    </row>
    <row r="2495" spans="13:14" ht="14.25" customHeight="1">
      <c r="M2495"/>
      <c r="N2495"/>
    </row>
    <row r="2496" spans="13:14" ht="14.25" customHeight="1">
      <c r="M2496"/>
      <c r="N2496"/>
    </row>
    <row r="2497" spans="13:14" ht="14.25" customHeight="1">
      <c r="M2497"/>
      <c r="N2497"/>
    </row>
    <row r="2498" spans="13:14" ht="14.25" customHeight="1">
      <c r="M2498"/>
      <c r="N2498"/>
    </row>
    <row r="2499" spans="13:14" ht="14.25" customHeight="1">
      <c r="M2499"/>
      <c r="N2499"/>
    </row>
    <row r="2500" spans="13:14" ht="14.25" customHeight="1">
      <c r="M2500"/>
      <c r="N2500"/>
    </row>
    <row r="2501" spans="13:14" ht="14.25" customHeight="1">
      <c r="M2501"/>
      <c r="N2501"/>
    </row>
    <row r="2502" spans="13:14" ht="14.25" customHeight="1">
      <c r="M2502"/>
      <c r="N2502"/>
    </row>
    <row r="2503" spans="13:14" ht="14.25" customHeight="1">
      <c r="M2503"/>
      <c r="N2503"/>
    </row>
    <row r="2504" spans="13:14" ht="14.25" customHeight="1">
      <c r="M2504"/>
      <c r="N2504"/>
    </row>
    <row r="2505" spans="13:14" ht="14.25" customHeight="1">
      <c r="M2505"/>
      <c r="N2505"/>
    </row>
    <row r="2506" spans="13:14" ht="14.25" customHeight="1">
      <c r="M2506"/>
      <c r="N2506"/>
    </row>
    <row r="2507" spans="13:14" ht="14.25" customHeight="1">
      <c r="M2507"/>
      <c r="N2507"/>
    </row>
    <row r="2508" spans="13:14" ht="14.25" customHeight="1">
      <c r="M2508"/>
      <c r="N2508"/>
    </row>
    <row r="2509" spans="13:14" ht="14.25" customHeight="1">
      <c r="M2509"/>
      <c r="N2509"/>
    </row>
    <row r="2510" spans="13:14" ht="14.25" customHeight="1">
      <c r="M2510"/>
      <c r="N2510"/>
    </row>
    <row r="2511" spans="13:14" ht="14.25" customHeight="1">
      <c r="M2511"/>
      <c r="N2511"/>
    </row>
    <row r="2512" spans="13:14" ht="14.25" customHeight="1">
      <c r="M2512"/>
      <c r="N2512"/>
    </row>
    <row r="2513" spans="13:14" ht="14.25" customHeight="1">
      <c r="M2513"/>
      <c r="N2513"/>
    </row>
    <row r="2514" spans="13:14" ht="14.25" customHeight="1">
      <c r="M2514"/>
      <c r="N2514"/>
    </row>
    <row r="2515" spans="13:14" ht="14.25" customHeight="1">
      <c r="M2515"/>
      <c r="N2515"/>
    </row>
    <row r="2516" spans="13:14" ht="14.25" customHeight="1">
      <c r="M2516"/>
      <c r="N2516"/>
    </row>
    <row r="2517" spans="13:14" ht="14.25" customHeight="1">
      <c r="M2517"/>
      <c r="N2517"/>
    </row>
    <row r="2518" spans="13:14" ht="14.25" customHeight="1">
      <c r="M2518"/>
      <c r="N2518"/>
    </row>
    <row r="2519" spans="13:14" ht="14.25" customHeight="1">
      <c r="M2519"/>
      <c r="N2519"/>
    </row>
    <row r="2520" spans="13:14" ht="14.25" customHeight="1">
      <c r="M2520"/>
      <c r="N2520"/>
    </row>
    <row r="2521" spans="13:14" ht="14.25" customHeight="1">
      <c r="M2521"/>
      <c r="N2521"/>
    </row>
    <row r="2522" spans="13:14" ht="14.25" customHeight="1">
      <c r="M2522"/>
      <c r="N2522"/>
    </row>
    <row r="2523" spans="13:14" ht="14.25" customHeight="1">
      <c r="M2523"/>
      <c r="N2523"/>
    </row>
    <row r="2524" spans="13:14" ht="14.25" customHeight="1">
      <c r="M2524"/>
      <c r="N2524"/>
    </row>
    <row r="2525" spans="13:14" ht="14.25" customHeight="1">
      <c r="M2525"/>
      <c r="N2525"/>
    </row>
    <row r="2526" spans="13:14" ht="14.25" customHeight="1">
      <c r="M2526"/>
      <c r="N2526"/>
    </row>
    <row r="2527" spans="13:14" ht="14.25" customHeight="1">
      <c r="M2527"/>
      <c r="N2527"/>
    </row>
    <row r="2528" spans="13:14" ht="14.25" customHeight="1">
      <c r="M2528"/>
      <c r="N2528"/>
    </row>
    <row r="2529" spans="13:14" ht="14.25" customHeight="1">
      <c r="M2529"/>
      <c r="N2529"/>
    </row>
    <row r="2530" spans="13:14" ht="14.25" customHeight="1">
      <c r="M2530"/>
      <c r="N2530"/>
    </row>
    <row r="2531" spans="13:14" ht="14.25" customHeight="1">
      <c r="M2531"/>
      <c r="N2531"/>
    </row>
    <row r="2532" spans="13:14" ht="14.25" customHeight="1">
      <c r="M2532"/>
      <c r="N2532"/>
    </row>
    <row r="2533" spans="13:14" ht="14.25" customHeight="1">
      <c r="M2533"/>
      <c r="N2533"/>
    </row>
    <row r="2534" spans="13:14" ht="14.25" customHeight="1">
      <c r="M2534"/>
      <c r="N2534"/>
    </row>
    <row r="2535" spans="13:14" ht="14.25" customHeight="1">
      <c r="M2535"/>
      <c r="N2535"/>
    </row>
    <row r="2536" spans="13:14" ht="14.25" customHeight="1">
      <c r="M2536"/>
      <c r="N2536"/>
    </row>
    <row r="2537" spans="13:14" ht="14.25" customHeight="1">
      <c r="M2537"/>
      <c r="N2537"/>
    </row>
    <row r="2538" spans="13:14" ht="14.25" customHeight="1">
      <c r="M2538"/>
      <c r="N2538"/>
    </row>
    <row r="2539" spans="13:14" ht="14.25" customHeight="1">
      <c r="M2539"/>
      <c r="N2539"/>
    </row>
    <row r="2540" spans="13:14" ht="14.25" customHeight="1">
      <c r="M2540"/>
      <c r="N2540"/>
    </row>
    <row r="2541" spans="13:14" ht="14.25" customHeight="1">
      <c r="M2541"/>
      <c r="N2541"/>
    </row>
    <row r="2542" spans="13:14" ht="14.25" customHeight="1">
      <c r="M2542"/>
      <c r="N2542"/>
    </row>
    <row r="2543" spans="13:14" ht="14.25" customHeight="1">
      <c r="M2543"/>
      <c r="N2543"/>
    </row>
    <row r="2544" spans="13:14" ht="14.25" customHeight="1">
      <c r="M2544"/>
      <c r="N2544"/>
    </row>
    <row r="2545" spans="13:14" ht="14.25" customHeight="1">
      <c r="M2545"/>
      <c r="N2545"/>
    </row>
    <row r="2546" spans="13:14" ht="14.25" customHeight="1">
      <c r="M2546"/>
      <c r="N2546"/>
    </row>
    <row r="2547" spans="13:14" ht="14.25" customHeight="1">
      <c r="M2547"/>
      <c r="N2547"/>
    </row>
    <row r="2548" spans="13:14" ht="14.25" customHeight="1">
      <c r="M2548"/>
      <c r="N2548"/>
    </row>
    <row r="2549" spans="13:14" ht="14.25" customHeight="1">
      <c r="M2549"/>
      <c r="N2549"/>
    </row>
    <row r="2550" spans="13:14" ht="14.25" customHeight="1">
      <c r="M2550"/>
      <c r="N2550"/>
    </row>
    <row r="2551" spans="13:14" ht="14.25" customHeight="1">
      <c r="M2551"/>
      <c r="N2551"/>
    </row>
    <row r="2552" spans="13:14" ht="14.25" customHeight="1">
      <c r="M2552"/>
      <c r="N2552"/>
    </row>
    <row r="2553" spans="13:14" ht="14.25" customHeight="1">
      <c r="M2553"/>
      <c r="N2553"/>
    </row>
    <row r="2554" spans="13:14" ht="14.25" customHeight="1">
      <c r="M2554"/>
      <c r="N2554"/>
    </row>
    <row r="2555" spans="13:14" ht="14.25" customHeight="1">
      <c r="M2555"/>
      <c r="N2555"/>
    </row>
    <row r="2556" spans="13:14" ht="14.25" customHeight="1">
      <c r="M2556"/>
      <c r="N2556"/>
    </row>
    <row r="2557" spans="13:14" ht="14.25" customHeight="1">
      <c r="M2557"/>
      <c r="N2557"/>
    </row>
    <row r="2558" spans="13:14" ht="14.25" customHeight="1">
      <c r="M2558"/>
      <c r="N2558"/>
    </row>
    <row r="2559" spans="13:14" ht="14.25" customHeight="1">
      <c r="M2559"/>
      <c r="N2559"/>
    </row>
    <row r="2560" spans="13:14" ht="14.25" customHeight="1">
      <c r="M2560"/>
      <c r="N2560"/>
    </row>
    <row r="2561" spans="13:14" ht="14.25" customHeight="1">
      <c r="M2561"/>
      <c r="N2561"/>
    </row>
    <row r="2562" spans="13:14" ht="14.25" customHeight="1">
      <c r="M2562"/>
      <c r="N2562"/>
    </row>
    <row r="2563" spans="13:14" ht="14.25" customHeight="1">
      <c r="M2563"/>
      <c r="N2563"/>
    </row>
    <row r="2564" spans="13:14" ht="14.25" customHeight="1">
      <c r="M2564"/>
      <c r="N2564"/>
    </row>
    <row r="2565" spans="13:14" ht="14.25" customHeight="1">
      <c r="M2565"/>
      <c r="N2565"/>
    </row>
    <row r="2566" spans="13:14" ht="14.25" customHeight="1">
      <c r="M2566"/>
      <c r="N2566"/>
    </row>
    <row r="2567" spans="13:14" ht="14.25" customHeight="1">
      <c r="M2567"/>
      <c r="N2567"/>
    </row>
    <row r="2568" spans="13:14" ht="14.25" customHeight="1">
      <c r="M2568"/>
      <c r="N2568"/>
    </row>
    <row r="2569" spans="13:14" ht="14.25" customHeight="1">
      <c r="M2569"/>
      <c r="N2569"/>
    </row>
    <row r="2570" spans="13:14" ht="14.25" customHeight="1">
      <c r="M2570"/>
      <c r="N2570"/>
    </row>
    <row r="2571" spans="13:14" ht="14.25" customHeight="1">
      <c r="M2571"/>
      <c r="N2571"/>
    </row>
    <row r="2572" spans="13:14" ht="14.25" customHeight="1">
      <c r="M2572"/>
      <c r="N2572"/>
    </row>
    <row r="2573" spans="13:14" ht="14.25" customHeight="1">
      <c r="M2573"/>
      <c r="N2573"/>
    </row>
    <row r="2574" spans="13:14" ht="14.25" customHeight="1">
      <c r="M2574"/>
      <c r="N2574"/>
    </row>
    <row r="2575" spans="13:14" ht="14.25" customHeight="1">
      <c r="M2575"/>
      <c r="N2575"/>
    </row>
    <row r="2576" spans="13:14" ht="14.25" customHeight="1">
      <c r="M2576"/>
      <c r="N2576"/>
    </row>
    <row r="2577" spans="13:14" ht="14.25" customHeight="1">
      <c r="M2577"/>
      <c r="N2577"/>
    </row>
    <row r="2578" spans="13:14" ht="14.25" customHeight="1">
      <c r="M2578"/>
      <c r="N2578"/>
    </row>
    <row r="2579" spans="13:14" ht="14.25" customHeight="1">
      <c r="M2579"/>
      <c r="N2579"/>
    </row>
    <row r="2580" spans="13:14" ht="14.25" customHeight="1">
      <c r="M2580"/>
      <c r="N2580"/>
    </row>
    <row r="2581" spans="13:14" ht="14.25" customHeight="1">
      <c r="M2581"/>
      <c r="N2581"/>
    </row>
    <row r="2582" spans="13:14" ht="14.25" customHeight="1">
      <c r="M2582"/>
      <c r="N2582"/>
    </row>
    <row r="2583" spans="13:14" ht="14.25" customHeight="1">
      <c r="M2583"/>
      <c r="N2583"/>
    </row>
    <row r="2584" spans="13:14" ht="14.25" customHeight="1">
      <c r="M2584"/>
      <c r="N2584"/>
    </row>
    <row r="2585" spans="13:14" ht="14.25" customHeight="1">
      <c r="M2585"/>
      <c r="N2585"/>
    </row>
    <row r="2586" spans="13:14" ht="14.25" customHeight="1">
      <c r="M2586"/>
      <c r="N2586"/>
    </row>
    <row r="2587" spans="13:14" ht="14.25" customHeight="1">
      <c r="M2587"/>
      <c r="N2587"/>
    </row>
    <row r="2588" spans="13:14" ht="14.25" customHeight="1">
      <c r="M2588"/>
      <c r="N2588"/>
    </row>
    <row r="2589" spans="13:14" ht="14.25" customHeight="1">
      <c r="M2589"/>
      <c r="N2589"/>
    </row>
    <row r="2590" spans="13:14" ht="14.25" customHeight="1">
      <c r="M2590"/>
      <c r="N2590"/>
    </row>
    <row r="2591" spans="13:14" ht="14.25" customHeight="1">
      <c r="M2591"/>
      <c r="N2591"/>
    </row>
    <row r="2592" spans="13:14" ht="14.25" customHeight="1">
      <c r="M2592"/>
      <c r="N2592"/>
    </row>
    <row r="2593" spans="13:14" ht="14.25" customHeight="1">
      <c r="M2593"/>
      <c r="N2593"/>
    </row>
    <row r="2594" spans="13:14" ht="14.25" customHeight="1">
      <c r="M2594"/>
      <c r="N2594"/>
    </row>
    <row r="2595" spans="13:14" ht="14.25" customHeight="1">
      <c r="M2595"/>
      <c r="N2595"/>
    </row>
    <row r="2596" spans="13:14" ht="14.25" customHeight="1">
      <c r="M2596"/>
      <c r="N2596"/>
    </row>
    <row r="2597" spans="13:14" ht="14.25" customHeight="1">
      <c r="M2597"/>
      <c r="N2597"/>
    </row>
    <row r="2598" spans="13:14" ht="14.25" customHeight="1">
      <c r="M2598"/>
      <c r="N2598"/>
    </row>
    <row r="2599" spans="13:14" ht="14.25" customHeight="1">
      <c r="M2599"/>
      <c r="N2599"/>
    </row>
    <row r="2600" spans="13:14" ht="14.25" customHeight="1">
      <c r="M2600"/>
      <c r="N2600"/>
    </row>
    <row r="2601" spans="13:14" ht="14.25" customHeight="1">
      <c r="M2601"/>
      <c r="N2601"/>
    </row>
    <row r="2602" spans="13:14" ht="14.25" customHeight="1">
      <c r="M2602"/>
      <c r="N2602"/>
    </row>
    <row r="2603" spans="13:14" ht="14.25" customHeight="1">
      <c r="M2603"/>
      <c r="N2603"/>
    </row>
    <row r="2604" spans="13:14" ht="14.25" customHeight="1">
      <c r="M2604"/>
      <c r="N2604"/>
    </row>
    <row r="2605" spans="13:14" ht="14.25" customHeight="1">
      <c r="M2605"/>
      <c r="N2605"/>
    </row>
    <row r="2606" spans="13:14" ht="14.25" customHeight="1">
      <c r="M2606"/>
      <c r="N2606"/>
    </row>
    <row r="2607" spans="13:14" ht="14.25" customHeight="1">
      <c r="M2607"/>
      <c r="N2607"/>
    </row>
    <row r="2608" spans="13:14" ht="14.25" customHeight="1">
      <c r="M2608"/>
      <c r="N2608"/>
    </row>
    <row r="2609" spans="13:14" ht="14.25" customHeight="1">
      <c r="M2609"/>
      <c r="N2609"/>
    </row>
    <row r="2610" spans="13:14" ht="14.25" customHeight="1">
      <c r="M2610"/>
      <c r="N2610"/>
    </row>
    <row r="2611" spans="13:14" ht="14.25" customHeight="1">
      <c r="M2611"/>
      <c r="N2611"/>
    </row>
    <row r="2612" spans="13:14" ht="14.25" customHeight="1">
      <c r="M2612"/>
      <c r="N2612"/>
    </row>
    <row r="2613" spans="13:14" ht="14.25" customHeight="1">
      <c r="M2613"/>
      <c r="N2613"/>
    </row>
    <row r="2614" spans="13:14" ht="14.25" customHeight="1">
      <c r="M2614"/>
      <c r="N2614"/>
    </row>
    <row r="2615" spans="13:14" ht="14.25" customHeight="1">
      <c r="M2615"/>
      <c r="N2615"/>
    </row>
    <row r="2616" spans="13:14" ht="14.25" customHeight="1">
      <c r="M2616"/>
      <c r="N2616"/>
    </row>
    <row r="2617" spans="13:14" ht="14.25" customHeight="1">
      <c r="M2617"/>
      <c r="N2617"/>
    </row>
    <row r="2618" spans="13:14" ht="14.25" customHeight="1">
      <c r="M2618"/>
      <c r="N2618"/>
    </row>
    <row r="2619" spans="13:14" ht="14.25" customHeight="1">
      <c r="M2619"/>
      <c r="N2619"/>
    </row>
    <row r="2620" spans="13:14" ht="14.25" customHeight="1">
      <c r="M2620"/>
      <c r="N2620"/>
    </row>
    <row r="2621" spans="13:14" ht="14.25" customHeight="1">
      <c r="M2621"/>
      <c r="N2621"/>
    </row>
    <row r="2622" spans="13:14" ht="14.25" customHeight="1">
      <c r="M2622"/>
      <c r="N2622"/>
    </row>
    <row r="2623" spans="13:14" ht="14.25" customHeight="1">
      <c r="M2623"/>
      <c r="N2623"/>
    </row>
    <row r="2624" spans="13:14" ht="14.25" customHeight="1">
      <c r="M2624"/>
      <c r="N2624"/>
    </row>
    <row r="2625" spans="13:14" ht="14.25" customHeight="1">
      <c r="M2625"/>
      <c r="N2625"/>
    </row>
    <row r="2626" spans="13:14" ht="14.25" customHeight="1">
      <c r="M2626"/>
      <c r="N2626"/>
    </row>
    <row r="2627" spans="13:14" ht="14.25" customHeight="1">
      <c r="M2627"/>
      <c r="N2627"/>
    </row>
    <row r="2628" spans="13:14" ht="14.25" customHeight="1">
      <c r="M2628"/>
      <c r="N2628"/>
    </row>
    <row r="2629" spans="13:14" ht="14.25" customHeight="1">
      <c r="M2629"/>
      <c r="N2629"/>
    </row>
    <row r="2630" spans="13:14" ht="14.25" customHeight="1">
      <c r="M2630"/>
      <c r="N2630"/>
    </row>
    <row r="2631" spans="13:14" ht="14.25" customHeight="1">
      <c r="M2631"/>
      <c r="N2631"/>
    </row>
    <row r="2632" spans="13:14" ht="14.25" customHeight="1">
      <c r="M2632"/>
      <c r="N2632"/>
    </row>
    <row r="2633" spans="13:14" ht="14.25" customHeight="1">
      <c r="M2633"/>
      <c r="N2633"/>
    </row>
    <row r="2634" spans="13:14" ht="14.25" customHeight="1">
      <c r="M2634"/>
      <c r="N2634"/>
    </row>
    <row r="2635" spans="13:14" ht="14.25" customHeight="1">
      <c r="M2635"/>
      <c r="N2635"/>
    </row>
    <row r="2636" spans="13:14" ht="14.25" customHeight="1">
      <c r="M2636"/>
      <c r="N2636"/>
    </row>
    <row r="2637" spans="13:14" ht="14.25" customHeight="1">
      <c r="M2637"/>
      <c r="N2637"/>
    </row>
    <row r="2638" spans="13:14" ht="14.25" customHeight="1">
      <c r="M2638"/>
      <c r="N2638"/>
    </row>
    <row r="2639" spans="13:14" ht="14.25" customHeight="1">
      <c r="M2639"/>
      <c r="N2639"/>
    </row>
    <row r="2640" spans="13:14" ht="14.25" customHeight="1">
      <c r="M2640"/>
      <c r="N2640"/>
    </row>
    <row r="2641" spans="13:14" ht="14.25" customHeight="1">
      <c r="M2641"/>
      <c r="N2641"/>
    </row>
    <row r="2642" spans="13:14" ht="14.25" customHeight="1">
      <c r="M2642"/>
      <c r="N2642"/>
    </row>
    <row r="2643" spans="13:14" ht="14.25" customHeight="1">
      <c r="M2643"/>
      <c r="N2643"/>
    </row>
    <row r="2644" spans="13:14" ht="14.25" customHeight="1">
      <c r="M2644"/>
      <c r="N2644"/>
    </row>
    <row r="2645" spans="13:14" ht="14.25" customHeight="1">
      <c r="M2645"/>
      <c r="N2645"/>
    </row>
    <row r="2646" spans="13:14" ht="14.25" customHeight="1">
      <c r="M2646"/>
      <c r="N2646"/>
    </row>
    <row r="2647" spans="13:14" ht="14.25" customHeight="1">
      <c r="M2647"/>
      <c r="N2647"/>
    </row>
    <row r="2648" spans="13:14" ht="14.25" customHeight="1">
      <c r="M2648"/>
      <c r="N2648"/>
    </row>
    <row r="2649" spans="13:14" ht="14.25" customHeight="1">
      <c r="M2649"/>
      <c r="N2649"/>
    </row>
    <row r="2650" spans="13:14" ht="14.25" customHeight="1">
      <c r="M2650"/>
      <c r="N2650"/>
    </row>
    <row r="2651" spans="13:14" ht="14.25" customHeight="1">
      <c r="M2651"/>
      <c r="N2651"/>
    </row>
    <row r="2652" spans="13:14" ht="14.25" customHeight="1">
      <c r="M2652"/>
      <c r="N2652"/>
    </row>
    <row r="2653" spans="13:14" ht="14.25" customHeight="1">
      <c r="M2653"/>
      <c r="N2653"/>
    </row>
    <row r="2654" spans="13:14" ht="14.25" customHeight="1">
      <c r="M2654"/>
      <c r="N2654"/>
    </row>
    <row r="2655" spans="13:14" ht="14.25" customHeight="1">
      <c r="M2655"/>
      <c r="N2655"/>
    </row>
    <row r="2656" spans="13:14" ht="14.25" customHeight="1">
      <c r="M2656"/>
      <c r="N2656"/>
    </row>
    <row r="2657" spans="13:14" ht="14.25" customHeight="1">
      <c r="M2657"/>
      <c r="N2657"/>
    </row>
    <row r="2658" spans="13:14" ht="14.25" customHeight="1">
      <c r="M2658"/>
      <c r="N2658"/>
    </row>
    <row r="2659" spans="13:14" ht="14.25" customHeight="1">
      <c r="M2659"/>
      <c r="N2659"/>
    </row>
    <row r="2660" spans="13:14" ht="14.25" customHeight="1">
      <c r="M2660"/>
      <c r="N2660"/>
    </row>
    <row r="2661" spans="13:14" ht="14.25" customHeight="1">
      <c r="M2661"/>
      <c r="N2661"/>
    </row>
    <row r="2662" spans="13:14" ht="14.25" customHeight="1">
      <c r="M2662"/>
      <c r="N2662"/>
    </row>
    <row r="2663" spans="13:14" ht="14.25" customHeight="1">
      <c r="M2663"/>
      <c r="N2663"/>
    </row>
    <row r="2664" spans="13:14" ht="14.25" customHeight="1">
      <c r="M2664"/>
      <c r="N2664"/>
    </row>
    <row r="2665" spans="13:14" ht="14.25" customHeight="1">
      <c r="M2665"/>
      <c r="N2665"/>
    </row>
    <row r="2666" spans="13:14" ht="14.25" customHeight="1">
      <c r="M2666"/>
      <c r="N2666"/>
    </row>
    <row r="2667" spans="13:14" ht="14.25" customHeight="1">
      <c r="M2667"/>
      <c r="N2667"/>
    </row>
    <row r="2668" spans="13:14" ht="14.25" customHeight="1">
      <c r="M2668"/>
      <c r="N2668"/>
    </row>
    <row r="2669" spans="13:14" ht="14.25" customHeight="1">
      <c r="M2669"/>
      <c r="N2669"/>
    </row>
    <row r="2670" spans="13:14" ht="14.25" customHeight="1">
      <c r="M2670"/>
      <c r="N2670"/>
    </row>
    <row r="2671" spans="13:14" ht="14.25" customHeight="1">
      <c r="M2671"/>
      <c r="N2671"/>
    </row>
    <row r="2672" spans="13:14" ht="14.25" customHeight="1">
      <c r="M2672"/>
      <c r="N2672"/>
    </row>
    <row r="2673" spans="13:14" ht="14.25" customHeight="1">
      <c r="M2673"/>
      <c r="N2673"/>
    </row>
    <row r="2674" spans="13:14" ht="14.25" customHeight="1">
      <c r="M2674"/>
      <c r="N2674"/>
    </row>
    <row r="2675" spans="13:14" ht="14.25" customHeight="1">
      <c r="M2675"/>
      <c r="N2675"/>
    </row>
    <row r="2676" spans="13:14" ht="14.25" customHeight="1">
      <c r="M2676"/>
      <c r="N2676"/>
    </row>
    <row r="2677" spans="13:14" ht="14.25" customHeight="1">
      <c r="M2677"/>
      <c r="N2677"/>
    </row>
    <row r="2678" spans="13:14" ht="14.25" customHeight="1">
      <c r="M2678"/>
      <c r="N2678"/>
    </row>
    <row r="2679" spans="13:14" ht="14.25" customHeight="1">
      <c r="M2679"/>
      <c r="N2679"/>
    </row>
    <row r="2680" spans="13:14" ht="14.25" customHeight="1">
      <c r="M2680"/>
      <c r="N2680"/>
    </row>
    <row r="2681" spans="13:14" ht="14.25" customHeight="1">
      <c r="M2681"/>
      <c r="N2681"/>
    </row>
    <row r="2682" spans="13:14" ht="14.25" customHeight="1">
      <c r="M2682"/>
      <c r="N2682"/>
    </row>
    <row r="2683" spans="13:14" ht="14.25" customHeight="1">
      <c r="M2683"/>
      <c r="N2683"/>
    </row>
    <row r="2684" spans="13:14" ht="14.25" customHeight="1">
      <c r="M2684"/>
      <c r="N2684"/>
    </row>
    <row r="2685" spans="13:14" ht="14.25" customHeight="1">
      <c r="M2685"/>
      <c r="N2685"/>
    </row>
    <row r="2686" spans="13:14" ht="14.25" customHeight="1">
      <c r="M2686"/>
      <c r="N2686"/>
    </row>
    <row r="2687" spans="13:14" ht="14.25" customHeight="1">
      <c r="M2687"/>
      <c r="N2687"/>
    </row>
    <row r="2688" spans="13:14" ht="14.25" customHeight="1">
      <c r="M2688"/>
      <c r="N2688"/>
    </row>
    <row r="2689" spans="13:14" ht="14.25" customHeight="1">
      <c r="M2689"/>
      <c r="N2689"/>
    </row>
    <row r="2690" spans="13:14" ht="14.25" customHeight="1">
      <c r="M2690"/>
      <c r="N2690"/>
    </row>
    <row r="2691" spans="13:14" ht="14.25" customHeight="1">
      <c r="M2691"/>
      <c r="N2691"/>
    </row>
    <row r="2692" spans="13:14" ht="14.25" customHeight="1">
      <c r="M2692"/>
      <c r="N2692"/>
    </row>
    <row r="2693" spans="13:14" ht="14.25" customHeight="1">
      <c r="M2693"/>
      <c r="N2693"/>
    </row>
    <row r="2694" spans="13:14" ht="14.25" customHeight="1">
      <c r="M2694"/>
      <c r="N2694"/>
    </row>
    <row r="2695" spans="13:14" ht="14.25" customHeight="1">
      <c r="M2695"/>
      <c r="N2695"/>
    </row>
    <row r="2696" spans="13:14" ht="14.25" customHeight="1">
      <c r="M2696"/>
      <c r="N2696"/>
    </row>
    <row r="2697" spans="13:14" ht="14.25" customHeight="1">
      <c r="M2697"/>
      <c r="N2697"/>
    </row>
    <row r="2698" spans="13:14" ht="14.25" customHeight="1">
      <c r="M2698"/>
      <c r="N2698"/>
    </row>
    <row r="2699" spans="13:14" ht="14.25" customHeight="1">
      <c r="M2699"/>
      <c r="N2699"/>
    </row>
    <row r="2700" spans="13:14" ht="14.25" customHeight="1">
      <c r="M2700"/>
      <c r="N2700"/>
    </row>
    <row r="2701" spans="13:14" ht="14.25" customHeight="1">
      <c r="M2701"/>
      <c r="N2701"/>
    </row>
    <row r="2702" spans="13:14" ht="14.25" customHeight="1">
      <c r="M2702"/>
      <c r="N2702"/>
    </row>
    <row r="2703" spans="13:14" ht="14.25" customHeight="1">
      <c r="M2703"/>
      <c r="N2703"/>
    </row>
    <row r="2704" spans="13:14" ht="14.25" customHeight="1">
      <c r="M2704"/>
      <c r="N2704"/>
    </row>
    <row r="2705" spans="13:14" ht="14.25" customHeight="1">
      <c r="M2705"/>
      <c r="N2705"/>
    </row>
    <row r="2706" spans="13:14" ht="14.25" customHeight="1">
      <c r="M2706"/>
      <c r="N2706"/>
    </row>
    <row r="2707" spans="13:14" ht="14.25" customHeight="1">
      <c r="M2707"/>
      <c r="N2707"/>
    </row>
    <row r="2708" spans="13:14" ht="14.25" customHeight="1">
      <c r="M2708"/>
      <c r="N2708"/>
    </row>
    <row r="2709" spans="13:14" ht="14.25" customHeight="1">
      <c r="M2709"/>
      <c r="N2709"/>
    </row>
    <row r="2710" spans="13:14" ht="14.25" customHeight="1">
      <c r="M2710"/>
      <c r="N2710"/>
    </row>
    <row r="2711" spans="13:14" ht="14.25" customHeight="1">
      <c r="M2711"/>
      <c r="N2711"/>
    </row>
    <row r="2712" spans="13:14" ht="14.25" customHeight="1">
      <c r="M2712"/>
      <c r="N2712"/>
    </row>
    <row r="2713" spans="13:14" ht="14.25" customHeight="1">
      <c r="M2713"/>
      <c r="N2713"/>
    </row>
    <row r="2714" spans="13:14" ht="14.25" customHeight="1">
      <c r="M2714"/>
      <c r="N2714"/>
    </row>
    <row r="2715" spans="13:14" ht="14.25" customHeight="1">
      <c r="M2715"/>
      <c r="N2715"/>
    </row>
    <row r="2716" spans="13:14" ht="14.25" customHeight="1">
      <c r="M2716"/>
      <c r="N2716"/>
    </row>
    <row r="2717" spans="13:14" ht="14.25" customHeight="1">
      <c r="M2717"/>
      <c r="N2717"/>
    </row>
    <row r="2718" spans="13:14" ht="14.25" customHeight="1">
      <c r="M2718"/>
      <c r="N2718"/>
    </row>
    <row r="2719" spans="13:14" ht="14.25" customHeight="1">
      <c r="M2719"/>
      <c r="N2719"/>
    </row>
    <row r="2720" spans="13:14" ht="14.25" customHeight="1">
      <c r="M2720"/>
      <c r="N2720"/>
    </row>
    <row r="2721" spans="13:14" ht="14.25" customHeight="1">
      <c r="M2721"/>
      <c r="N2721"/>
    </row>
    <row r="2722" spans="13:14" ht="14.25" customHeight="1">
      <c r="M2722"/>
      <c r="N2722"/>
    </row>
    <row r="2723" spans="13:14" ht="14.25" customHeight="1">
      <c r="M2723"/>
      <c r="N2723"/>
    </row>
    <row r="2724" spans="13:14" ht="14.25" customHeight="1">
      <c r="M2724"/>
      <c r="N2724"/>
    </row>
    <row r="2725" spans="13:14" ht="14.25" customHeight="1">
      <c r="M2725"/>
      <c r="N2725"/>
    </row>
    <row r="2726" spans="13:14" ht="14.25" customHeight="1">
      <c r="M2726"/>
      <c r="N2726"/>
    </row>
    <row r="2727" spans="13:14" ht="14.25" customHeight="1">
      <c r="M2727"/>
      <c r="N2727"/>
    </row>
    <row r="2728" spans="13:14" ht="14.25" customHeight="1">
      <c r="M2728"/>
      <c r="N2728"/>
    </row>
    <row r="2729" spans="13:14" ht="14.25" customHeight="1">
      <c r="M2729"/>
      <c r="N2729"/>
    </row>
    <row r="2730" spans="13:14" ht="14.25" customHeight="1">
      <c r="M2730"/>
      <c r="N2730"/>
    </row>
    <row r="2731" spans="13:14" ht="14.25" customHeight="1">
      <c r="M2731"/>
      <c r="N2731"/>
    </row>
    <row r="2732" spans="13:14" ht="14.25" customHeight="1">
      <c r="M2732"/>
      <c r="N2732"/>
    </row>
    <row r="2733" spans="13:14" ht="14.25" customHeight="1">
      <c r="M2733"/>
      <c r="N2733"/>
    </row>
    <row r="2734" spans="13:14" ht="14.25" customHeight="1">
      <c r="M2734"/>
      <c r="N2734"/>
    </row>
    <row r="2735" spans="13:14" ht="14.25" customHeight="1">
      <c r="M2735"/>
      <c r="N2735"/>
    </row>
    <row r="2736" spans="13:14" ht="14.25" customHeight="1">
      <c r="M2736"/>
      <c r="N2736"/>
    </row>
    <row r="2737" spans="13:14" ht="14.25" customHeight="1">
      <c r="M2737"/>
      <c r="N2737"/>
    </row>
    <row r="2738" spans="13:14" ht="14.25" customHeight="1">
      <c r="M2738"/>
      <c r="N2738"/>
    </row>
    <row r="2739" spans="13:14" ht="14.25" customHeight="1">
      <c r="M2739"/>
      <c r="N2739"/>
    </row>
    <row r="2740" spans="13:14" ht="14.25" customHeight="1">
      <c r="M2740"/>
      <c r="N2740"/>
    </row>
    <row r="2741" spans="13:14" ht="14.25" customHeight="1">
      <c r="M2741"/>
      <c r="N2741"/>
    </row>
    <row r="2742" spans="13:14" ht="14.25" customHeight="1">
      <c r="M2742"/>
      <c r="N2742"/>
    </row>
    <row r="2743" spans="13:14" ht="14.25" customHeight="1">
      <c r="M2743"/>
      <c r="N2743"/>
    </row>
    <row r="2744" spans="13:14" ht="14.25" customHeight="1">
      <c r="M2744"/>
      <c r="N2744"/>
    </row>
    <row r="2745" spans="13:14" ht="14.25" customHeight="1">
      <c r="M2745"/>
      <c r="N2745"/>
    </row>
    <row r="2746" spans="13:14" ht="14.25" customHeight="1">
      <c r="M2746"/>
      <c r="N2746"/>
    </row>
    <row r="2747" spans="13:14" ht="14.25" customHeight="1">
      <c r="M2747"/>
      <c r="N2747"/>
    </row>
    <row r="2748" spans="13:14" ht="14.25" customHeight="1">
      <c r="M2748"/>
      <c r="N2748"/>
    </row>
    <row r="2749" spans="13:14" ht="14.25" customHeight="1">
      <c r="M2749"/>
      <c r="N2749"/>
    </row>
    <row r="2750" spans="13:14" ht="14.25" customHeight="1">
      <c r="M2750"/>
      <c r="N2750"/>
    </row>
    <row r="2751" spans="13:14" ht="14.25" customHeight="1">
      <c r="M2751"/>
      <c r="N2751"/>
    </row>
    <row r="2752" spans="13:14" ht="14.25" customHeight="1">
      <c r="M2752"/>
      <c r="N2752"/>
    </row>
    <row r="2753" spans="13:14" ht="14.25" customHeight="1">
      <c r="M2753"/>
      <c r="N2753"/>
    </row>
    <row r="2754" spans="13:14" ht="14.25" customHeight="1">
      <c r="M2754"/>
      <c r="N2754"/>
    </row>
    <row r="2755" spans="13:14" ht="14.25" customHeight="1">
      <c r="M2755"/>
      <c r="N2755"/>
    </row>
    <row r="2756" spans="13:14" ht="14.25" customHeight="1">
      <c r="M2756"/>
      <c r="N2756"/>
    </row>
    <row r="2757" spans="13:14" ht="14.25" customHeight="1">
      <c r="M2757"/>
      <c r="N2757"/>
    </row>
    <row r="2758" spans="13:14" ht="14.25" customHeight="1">
      <c r="M2758"/>
      <c r="N2758"/>
    </row>
    <row r="2759" spans="13:14" ht="14.25" customHeight="1">
      <c r="M2759"/>
      <c r="N2759"/>
    </row>
    <row r="2760" spans="13:14" ht="14.25" customHeight="1">
      <c r="M2760"/>
      <c r="N2760"/>
    </row>
    <row r="2761" spans="13:14" ht="14.25" customHeight="1">
      <c r="M2761"/>
      <c r="N2761"/>
    </row>
    <row r="2762" spans="13:14" ht="14.25" customHeight="1">
      <c r="M2762"/>
      <c r="N2762"/>
    </row>
    <row r="2763" spans="13:14" ht="14.25" customHeight="1">
      <c r="M2763"/>
      <c r="N2763"/>
    </row>
    <row r="2764" spans="13:14" ht="14.25" customHeight="1">
      <c r="M2764"/>
      <c r="N2764"/>
    </row>
    <row r="2765" spans="13:14" ht="14.25" customHeight="1">
      <c r="M2765"/>
      <c r="N2765"/>
    </row>
    <row r="2766" spans="13:14" ht="14.25" customHeight="1">
      <c r="M2766"/>
      <c r="N2766"/>
    </row>
    <row r="2767" spans="13:14" ht="14.25" customHeight="1">
      <c r="M2767"/>
      <c r="N2767"/>
    </row>
    <row r="2768" spans="13:14" ht="14.25" customHeight="1">
      <c r="M2768"/>
      <c r="N2768"/>
    </row>
    <row r="2769" spans="13:14" ht="14.25" customHeight="1">
      <c r="M2769"/>
      <c r="N2769"/>
    </row>
    <row r="2770" spans="13:14" ht="14.25" customHeight="1">
      <c r="M2770"/>
      <c r="N2770"/>
    </row>
    <row r="2771" spans="13:14" ht="14.25" customHeight="1">
      <c r="M2771"/>
      <c r="N2771"/>
    </row>
    <row r="2772" spans="13:14" ht="14.25" customHeight="1">
      <c r="M2772"/>
      <c r="N2772"/>
    </row>
    <row r="2773" spans="13:14" ht="14.25" customHeight="1">
      <c r="M2773"/>
      <c r="N2773"/>
    </row>
    <row r="2774" spans="13:14" ht="14.25" customHeight="1">
      <c r="M2774"/>
      <c r="N2774"/>
    </row>
    <row r="2775" spans="13:14" ht="14.25" customHeight="1">
      <c r="M2775"/>
      <c r="N2775"/>
    </row>
    <row r="2776" spans="13:14" ht="14.25" customHeight="1">
      <c r="M2776"/>
      <c r="N2776"/>
    </row>
    <row r="2777" spans="13:14" ht="14.25" customHeight="1">
      <c r="M2777"/>
      <c r="N2777"/>
    </row>
    <row r="2778" spans="13:14" ht="14.25" customHeight="1">
      <c r="M2778"/>
      <c r="N2778"/>
    </row>
    <row r="2779" spans="13:14" ht="14.25" customHeight="1">
      <c r="M2779"/>
      <c r="N2779"/>
    </row>
    <row r="2780" spans="13:14" ht="14.25" customHeight="1">
      <c r="M2780"/>
      <c r="N2780"/>
    </row>
    <row r="2781" spans="13:14" ht="14.25" customHeight="1">
      <c r="M2781"/>
      <c r="N2781"/>
    </row>
    <row r="2782" spans="13:14" ht="14.25" customHeight="1">
      <c r="M2782"/>
      <c r="N2782"/>
    </row>
    <row r="2783" spans="13:14" ht="14.25" customHeight="1">
      <c r="M2783"/>
      <c r="N2783"/>
    </row>
    <row r="2784" spans="13:14" ht="14.25" customHeight="1">
      <c r="M2784"/>
      <c r="N2784"/>
    </row>
    <row r="2785" spans="13:14" ht="14.25" customHeight="1">
      <c r="M2785"/>
      <c r="N2785"/>
    </row>
    <row r="2786" spans="13:14" ht="14.25" customHeight="1">
      <c r="M2786"/>
      <c r="N2786"/>
    </row>
    <row r="2787" spans="13:14" ht="14.25" customHeight="1">
      <c r="M2787"/>
      <c r="N2787"/>
    </row>
    <row r="2788" spans="13:14" ht="14.25" customHeight="1">
      <c r="M2788"/>
      <c r="N2788"/>
    </row>
    <row r="2789" spans="13:14" ht="14.25" customHeight="1">
      <c r="M2789"/>
      <c r="N2789"/>
    </row>
    <row r="2790" spans="13:14" ht="14.25" customHeight="1">
      <c r="M2790"/>
      <c r="N2790"/>
    </row>
    <row r="2791" spans="13:14" ht="14.25" customHeight="1">
      <c r="M2791"/>
      <c r="N2791"/>
    </row>
    <row r="2792" spans="13:14" ht="14.25" customHeight="1">
      <c r="M2792"/>
      <c r="N2792"/>
    </row>
    <row r="2793" spans="13:14" ht="14.25" customHeight="1">
      <c r="M2793"/>
      <c r="N2793"/>
    </row>
    <row r="2794" spans="13:14" ht="14.25" customHeight="1">
      <c r="M2794"/>
      <c r="N2794"/>
    </row>
    <row r="2795" spans="13:14" ht="14.25" customHeight="1">
      <c r="M2795"/>
      <c r="N2795"/>
    </row>
    <row r="2796" spans="13:14" ht="14.25" customHeight="1">
      <c r="M2796"/>
      <c r="N2796"/>
    </row>
    <row r="2797" spans="13:14" ht="14.25" customHeight="1">
      <c r="M2797"/>
      <c r="N2797"/>
    </row>
    <row r="2798" spans="13:14" ht="14.25" customHeight="1">
      <c r="M2798"/>
      <c r="N2798"/>
    </row>
    <row r="2799" spans="13:14" ht="14.25" customHeight="1">
      <c r="M2799"/>
      <c r="N2799"/>
    </row>
    <row r="2800" spans="13:14" ht="14.25" customHeight="1">
      <c r="M2800"/>
      <c r="N2800"/>
    </row>
    <row r="2801" spans="13:14" ht="14.25" customHeight="1">
      <c r="M2801"/>
      <c r="N2801"/>
    </row>
    <row r="2802" spans="13:14" ht="14.25" customHeight="1">
      <c r="M2802"/>
      <c r="N2802"/>
    </row>
    <row r="2803" spans="13:14" ht="14.25" customHeight="1">
      <c r="M2803"/>
      <c r="N2803"/>
    </row>
    <row r="2804" spans="13:14" ht="14.25" customHeight="1">
      <c r="M2804"/>
      <c r="N2804"/>
    </row>
    <row r="2805" spans="13:14" ht="14.25" customHeight="1">
      <c r="M2805"/>
      <c r="N2805"/>
    </row>
    <row r="2806" spans="13:14" ht="14.25" customHeight="1">
      <c r="M2806"/>
      <c r="N2806"/>
    </row>
    <row r="2807" spans="13:14" ht="14.25" customHeight="1">
      <c r="M2807"/>
      <c r="N2807"/>
    </row>
    <row r="2808" spans="13:14" ht="14.25" customHeight="1">
      <c r="M2808"/>
      <c r="N2808"/>
    </row>
    <row r="2809" spans="13:14" ht="14.25" customHeight="1">
      <c r="M2809"/>
      <c r="N2809"/>
    </row>
    <row r="2810" spans="13:14" ht="14.25" customHeight="1">
      <c r="M2810"/>
      <c r="N2810"/>
    </row>
    <row r="2811" spans="13:14" ht="14.25" customHeight="1">
      <c r="M2811"/>
      <c r="N2811"/>
    </row>
    <row r="2812" spans="13:14" ht="14.25" customHeight="1">
      <c r="M2812"/>
      <c r="N2812"/>
    </row>
    <row r="2813" spans="13:14" ht="14.25" customHeight="1">
      <c r="M2813"/>
      <c r="N2813"/>
    </row>
    <row r="2814" spans="13:14" ht="14.25" customHeight="1">
      <c r="M2814"/>
      <c r="N2814"/>
    </row>
    <row r="2815" spans="13:14" ht="14.25" customHeight="1">
      <c r="M2815"/>
      <c r="N2815"/>
    </row>
    <row r="2816" spans="13:14" ht="14.25" customHeight="1">
      <c r="M2816"/>
      <c r="N2816"/>
    </row>
    <row r="2817" spans="13:14" ht="14.25" customHeight="1">
      <c r="M2817"/>
      <c r="N2817"/>
    </row>
    <row r="2818" spans="13:14" ht="14.25" customHeight="1">
      <c r="M2818"/>
      <c r="N2818"/>
    </row>
    <row r="2819" spans="13:14" ht="14.25" customHeight="1">
      <c r="M2819"/>
      <c r="N2819"/>
    </row>
    <row r="2820" spans="13:14" ht="14.25" customHeight="1">
      <c r="M2820"/>
      <c r="N2820"/>
    </row>
    <row r="2821" spans="13:14" ht="14.25" customHeight="1">
      <c r="M2821"/>
      <c r="N2821"/>
    </row>
    <row r="2822" spans="13:14" ht="14.25" customHeight="1">
      <c r="M2822"/>
      <c r="N2822"/>
    </row>
    <row r="2823" spans="13:14" ht="14.25" customHeight="1">
      <c r="M2823"/>
      <c r="N2823"/>
    </row>
    <row r="2824" spans="13:14" ht="14.25" customHeight="1">
      <c r="M2824"/>
      <c r="N2824"/>
    </row>
    <row r="2825" spans="13:14" ht="14.25" customHeight="1">
      <c r="M2825"/>
      <c r="N2825"/>
    </row>
    <row r="2826" spans="13:14" ht="14.25" customHeight="1">
      <c r="M2826"/>
      <c r="N2826"/>
    </row>
    <row r="2827" spans="13:14" ht="14.25" customHeight="1">
      <c r="M2827"/>
      <c r="N2827"/>
    </row>
    <row r="2828" spans="13:14" ht="14.25" customHeight="1">
      <c r="M2828"/>
      <c r="N2828"/>
    </row>
    <row r="2829" spans="13:14" ht="14.25" customHeight="1">
      <c r="M2829"/>
      <c r="N2829"/>
    </row>
    <row r="2830" spans="13:14" ht="14.25" customHeight="1">
      <c r="M2830"/>
      <c r="N2830"/>
    </row>
    <row r="2831" spans="13:14" ht="14.25" customHeight="1">
      <c r="M2831"/>
      <c r="N2831"/>
    </row>
    <row r="2832" spans="13:14" ht="14.25" customHeight="1">
      <c r="M2832"/>
      <c r="N2832"/>
    </row>
    <row r="2833" spans="13:14" ht="14.25" customHeight="1">
      <c r="M2833"/>
      <c r="N2833"/>
    </row>
    <row r="2834" spans="13:14" ht="14.25" customHeight="1">
      <c r="M2834"/>
      <c r="N2834"/>
    </row>
    <row r="2835" spans="13:14" ht="14.25" customHeight="1">
      <c r="M2835"/>
      <c r="N2835"/>
    </row>
    <row r="2836" spans="13:14" ht="14.25" customHeight="1">
      <c r="M2836"/>
      <c r="N2836"/>
    </row>
    <row r="2837" spans="13:14" ht="14.25" customHeight="1">
      <c r="M2837"/>
      <c r="N2837"/>
    </row>
    <row r="2838" spans="13:14" ht="14.25" customHeight="1">
      <c r="M2838"/>
      <c r="N2838"/>
    </row>
    <row r="2839" spans="13:14" ht="14.25" customHeight="1">
      <c r="M2839"/>
      <c r="N2839"/>
    </row>
    <row r="2840" spans="13:14" ht="14.25" customHeight="1">
      <c r="M2840"/>
      <c r="N2840"/>
    </row>
    <row r="2841" spans="13:14" ht="14.25" customHeight="1">
      <c r="M2841"/>
      <c r="N2841"/>
    </row>
    <row r="2842" spans="13:14" ht="14.25" customHeight="1">
      <c r="M2842"/>
      <c r="N2842"/>
    </row>
    <row r="2843" spans="13:14" ht="14.25" customHeight="1">
      <c r="M2843"/>
      <c r="N2843"/>
    </row>
    <row r="2844" spans="13:14" ht="14.25" customHeight="1">
      <c r="M2844"/>
      <c r="N2844"/>
    </row>
    <row r="2845" spans="13:14" ht="14.25" customHeight="1">
      <c r="M2845"/>
      <c r="N2845"/>
    </row>
    <row r="2846" spans="13:14" ht="14.25" customHeight="1">
      <c r="M2846"/>
      <c r="N2846"/>
    </row>
    <row r="2847" spans="13:14" ht="14.25" customHeight="1">
      <c r="M2847"/>
      <c r="N2847"/>
    </row>
    <row r="2848" spans="13:14" ht="14.25" customHeight="1">
      <c r="M2848"/>
      <c r="N2848"/>
    </row>
    <row r="2849" spans="13:14" ht="14.25" customHeight="1">
      <c r="M2849"/>
      <c r="N2849"/>
    </row>
    <row r="2850" spans="13:14" ht="14.25" customHeight="1">
      <c r="M2850"/>
      <c r="N2850"/>
    </row>
    <row r="2851" spans="13:14" ht="14.25" customHeight="1">
      <c r="M2851"/>
      <c r="N2851"/>
    </row>
    <row r="2852" spans="13:14" ht="14.25" customHeight="1">
      <c r="M2852"/>
      <c r="N2852"/>
    </row>
    <row r="2853" spans="13:14" ht="14.25" customHeight="1">
      <c r="M2853"/>
      <c r="N2853"/>
    </row>
    <row r="2854" spans="13:14" ht="14.25" customHeight="1">
      <c r="M2854"/>
      <c r="N2854"/>
    </row>
    <row r="2855" spans="13:14" ht="14.25" customHeight="1">
      <c r="M2855"/>
      <c r="N2855"/>
    </row>
    <row r="2856" spans="13:14" ht="14.25" customHeight="1">
      <c r="M2856"/>
      <c r="N2856"/>
    </row>
    <row r="2857" spans="13:14" ht="14.25" customHeight="1">
      <c r="M2857"/>
      <c r="N2857"/>
    </row>
    <row r="2858" spans="13:14" ht="14.25" customHeight="1">
      <c r="M2858"/>
      <c r="N2858"/>
    </row>
    <row r="2859" spans="13:14" ht="14.25" customHeight="1">
      <c r="M2859"/>
      <c r="N2859"/>
    </row>
    <row r="2860" spans="13:14" ht="14.25" customHeight="1">
      <c r="M2860"/>
      <c r="N2860"/>
    </row>
    <row r="2861" spans="13:14" ht="14.25" customHeight="1">
      <c r="M2861"/>
      <c r="N2861"/>
    </row>
    <row r="2862" spans="13:14" ht="14.25" customHeight="1">
      <c r="M2862"/>
      <c r="N2862"/>
    </row>
    <row r="2863" spans="13:14" ht="14.25" customHeight="1">
      <c r="M2863"/>
      <c r="N2863"/>
    </row>
    <row r="2864" spans="13:14" ht="14.25" customHeight="1">
      <c r="M2864"/>
      <c r="N2864"/>
    </row>
    <row r="2865" spans="13:14" ht="14.25" customHeight="1">
      <c r="M2865"/>
      <c r="N2865"/>
    </row>
    <row r="2866" spans="13:14" ht="14.25" customHeight="1">
      <c r="M2866"/>
      <c r="N2866"/>
    </row>
    <row r="2867" spans="13:14" ht="14.25" customHeight="1">
      <c r="M2867"/>
      <c r="N2867"/>
    </row>
    <row r="2868" spans="13:14" ht="14.25" customHeight="1">
      <c r="M2868"/>
      <c r="N2868"/>
    </row>
    <row r="2869" spans="13:14" ht="14.25" customHeight="1">
      <c r="M2869"/>
      <c r="N2869"/>
    </row>
    <row r="2870" spans="13:14" ht="14.25" customHeight="1">
      <c r="M2870"/>
      <c r="N2870"/>
    </row>
    <row r="2871" spans="13:14" ht="14.25" customHeight="1">
      <c r="M2871"/>
      <c r="N2871"/>
    </row>
    <row r="2872" spans="13:14" ht="14.25" customHeight="1">
      <c r="M2872"/>
      <c r="N2872"/>
    </row>
    <row r="2873" spans="13:14" ht="14.25" customHeight="1">
      <c r="M2873"/>
      <c r="N2873"/>
    </row>
    <row r="2874" spans="13:14" ht="14.25" customHeight="1">
      <c r="M2874"/>
      <c r="N2874"/>
    </row>
    <row r="2875" spans="13:14" ht="14.25" customHeight="1">
      <c r="M2875"/>
      <c r="N2875"/>
    </row>
    <row r="2876" spans="13:14" ht="14.25" customHeight="1">
      <c r="M2876"/>
      <c r="N2876"/>
    </row>
    <row r="2877" spans="13:14" ht="14.25" customHeight="1">
      <c r="M2877"/>
      <c r="N2877"/>
    </row>
    <row r="2878" spans="13:14" ht="14.25" customHeight="1">
      <c r="M2878"/>
      <c r="N2878"/>
    </row>
    <row r="2879" spans="13:14" ht="14.25" customHeight="1">
      <c r="M2879"/>
      <c r="N2879"/>
    </row>
    <row r="2880" spans="13:14" ht="14.25" customHeight="1">
      <c r="M2880"/>
      <c r="N2880"/>
    </row>
    <row r="2881" spans="13:14" ht="14.25" customHeight="1">
      <c r="M2881"/>
      <c r="N2881"/>
    </row>
    <row r="2882" spans="13:14" ht="14.25" customHeight="1">
      <c r="M2882"/>
      <c r="N2882"/>
    </row>
    <row r="2883" spans="13:14" ht="14.25" customHeight="1">
      <c r="M2883"/>
      <c r="N2883"/>
    </row>
    <row r="2884" spans="13:14" ht="14.25" customHeight="1">
      <c r="M2884"/>
      <c r="N2884"/>
    </row>
    <row r="2885" spans="13:14" ht="14.25" customHeight="1">
      <c r="M2885"/>
      <c r="N2885"/>
    </row>
    <row r="2886" spans="13:14" ht="14.25" customHeight="1">
      <c r="M2886"/>
      <c r="N2886"/>
    </row>
    <row r="2887" spans="13:14" ht="14.25" customHeight="1">
      <c r="M2887"/>
      <c r="N2887"/>
    </row>
    <row r="2888" spans="13:14" ht="14.25" customHeight="1">
      <c r="M2888"/>
      <c r="N2888"/>
    </row>
    <row r="2889" spans="13:14" ht="14.25" customHeight="1">
      <c r="M2889"/>
      <c r="N2889"/>
    </row>
    <row r="2890" spans="13:14" ht="14.25" customHeight="1">
      <c r="M2890"/>
      <c r="N2890"/>
    </row>
    <row r="2891" spans="13:14" ht="14.25" customHeight="1">
      <c r="M2891"/>
      <c r="N2891"/>
    </row>
    <row r="2892" spans="13:14" ht="14.25" customHeight="1">
      <c r="M2892"/>
      <c r="N2892"/>
    </row>
    <row r="2893" spans="13:14" ht="14.25" customHeight="1">
      <c r="M2893"/>
      <c r="N2893"/>
    </row>
    <row r="2894" spans="13:14" ht="14.25" customHeight="1">
      <c r="M2894"/>
      <c r="N2894"/>
    </row>
    <row r="2895" spans="13:14" ht="14.25" customHeight="1">
      <c r="M2895"/>
      <c r="N2895"/>
    </row>
    <row r="2896" spans="13:14" ht="14.25" customHeight="1">
      <c r="M2896"/>
      <c r="N2896"/>
    </row>
    <row r="2897" spans="13:14" ht="14.25" customHeight="1">
      <c r="M2897"/>
      <c r="N2897"/>
    </row>
    <row r="2898" spans="13:14" ht="14.25" customHeight="1">
      <c r="M2898"/>
      <c r="N2898"/>
    </row>
    <row r="2899" spans="13:14" ht="14.25" customHeight="1">
      <c r="M2899"/>
      <c r="N2899"/>
    </row>
    <row r="2900" spans="13:14" ht="14.25" customHeight="1">
      <c r="M2900"/>
      <c r="N2900"/>
    </row>
    <row r="2901" spans="13:14" ht="14.25" customHeight="1">
      <c r="M2901"/>
      <c r="N2901"/>
    </row>
    <row r="2902" spans="13:14" ht="14.25" customHeight="1">
      <c r="M2902"/>
      <c r="N2902"/>
    </row>
    <row r="2903" spans="13:14" ht="14.25" customHeight="1">
      <c r="M2903"/>
      <c r="N2903"/>
    </row>
    <row r="2904" spans="13:14" ht="14.25" customHeight="1">
      <c r="M2904"/>
      <c r="N2904"/>
    </row>
    <row r="2905" spans="13:14" ht="14.25" customHeight="1">
      <c r="M2905"/>
      <c r="N2905"/>
    </row>
    <row r="2906" spans="13:14" ht="14.25" customHeight="1">
      <c r="M2906"/>
      <c r="N2906"/>
    </row>
    <row r="2907" spans="13:14" ht="14.25" customHeight="1">
      <c r="M2907"/>
      <c r="N2907"/>
    </row>
    <row r="2908" spans="13:14" ht="14.25" customHeight="1">
      <c r="M2908"/>
      <c r="N2908"/>
    </row>
    <row r="2909" spans="13:14" ht="14.25" customHeight="1">
      <c r="M2909"/>
      <c r="N2909"/>
    </row>
    <row r="2910" spans="13:14" ht="14.25" customHeight="1">
      <c r="M2910"/>
      <c r="N2910"/>
    </row>
    <row r="2911" spans="13:14" ht="14.25" customHeight="1">
      <c r="M2911"/>
      <c r="N2911"/>
    </row>
    <row r="2912" spans="13:14" ht="14.25" customHeight="1">
      <c r="M2912"/>
      <c r="N2912"/>
    </row>
    <row r="2913" spans="13:14" ht="14.25" customHeight="1">
      <c r="M2913"/>
      <c r="N2913"/>
    </row>
    <row r="2914" spans="13:14" ht="14.25" customHeight="1">
      <c r="M2914"/>
      <c r="N2914"/>
    </row>
    <row r="2915" spans="13:14" ht="14.25" customHeight="1">
      <c r="M2915"/>
      <c r="N2915"/>
    </row>
    <row r="2916" spans="13:14" ht="14.25" customHeight="1">
      <c r="M2916"/>
      <c r="N2916"/>
    </row>
    <row r="2917" spans="13:14" ht="14.25" customHeight="1">
      <c r="M2917"/>
      <c r="N2917"/>
    </row>
    <row r="2918" spans="13:14" ht="14.25" customHeight="1">
      <c r="M2918"/>
      <c r="N2918"/>
    </row>
    <row r="2919" spans="13:14" ht="14.25" customHeight="1">
      <c r="M2919"/>
      <c r="N2919"/>
    </row>
    <row r="2920" spans="13:14" ht="14.25" customHeight="1">
      <c r="M2920"/>
      <c r="N2920"/>
    </row>
    <row r="2921" spans="13:14" ht="14.25" customHeight="1">
      <c r="M2921"/>
      <c r="N2921"/>
    </row>
    <row r="2922" spans="13:14" ht="14.25" customHeight="1">
      <c r="M2922"/>
      <c r="N2922"/>
    </row>
    <row r="2923" spans="13:14" ht="14.25" customHeight="1">
      <c r="M2923"/>
      <c r="N2923"/>
    </row>
    <row r="2924" spans="13:14" ht="14.25" customHeight="1">
      <c r="M2924"/>
      <c r="N2924"/>
    </row>
    <row r="2925" spans="13:14" ht="14.25" customHeight="1">
      <c r="M2925"/>
      <c r="N2925"/>
    </row>
    <row r="2926" spans="13:14" ht="14.25" customHeight="1">
      <c r="M2926"/>
      <c r="N2926"/>
    </row>
    <row r="2927" spans="13:14" ht="14.25" customHeight="1">
      <c r="M2927"/>
      <c r="N2927"/>
    </row>
    <row r="2928" spans="13:14" ht="14.25" customHeight="1">
      <c r="M2928"/>
      <c r="N2928"/>
    </row>
    <row r="2929" spans="13:14" ht="14.25" customHeight="1">
      <c r="M2929"/>
      <c r="N2929"/>
    </row>
    <row r="2930" spans="13:14" ht="14.25" customHeight="1">
      <c r="M2930"/>
      <c r="N2930"/>
    </row>
    <row r="2931" spans="13:14" ht="14.25" customHeight="1">
      <c r="M2931"/>
      <c r="N2931"/>
    </row>
    <row r="2932" spans="13:14" ht="14.25" customHeight="1">
      <c r="M2932"/>
      <c r="N2932"/>
    </row>
    <row r="2933" spans="13:14" ht="14.25" customHeight="1">
      <c r="M2933"/>
      <c r="N2933"/>
    </row>
    <row r="2934" spans="13:14" ht="14.25" customHeight="1">
      <c r="M2934"/>
      <c r="N2934"/>
    </row>
    <row r="2935" spans="13:14" ht="14.25" customHeight="1">
      <c r="M2935"/>
      <c r="N2935"/>
    </row>
    <row r="2936" spans="13:14" ht="14.25" customHeight="1">
      <c r="M2936"/>
      <c r="N2936"/>
    </row>
    <row r="2937" spans="13:14" ht="14.25" customHeight="1">
      <c r="M2937"/>
      <c r="N2937"/>
    </row>
    <row r="2938" spans="13:14" ht="14.25" customHeight="1">
      <c r="M2938"/>
      <c r="N2938"/>
    </row>
    <row r="2939" spans="13:14" ht="14.25" customHeight="1">
      <c r="M2939"/>
      <c r="N2939"/>
    </row>
    <row r="2940" spans="13:14" ht="14.25" customHeight="1">
      <c r="M2940"/>
      <c r="N2940"/>
    </row>
    <row r="2941" spans="13:14" ht="14.25" customHeight="1">
      <c r="M2941"/>
      <c r="N2941"/>
    </row>
    <row r="2942" spans="13:14" ht="14.25" customHeight="1">
      <c r="M2942"/>
      <c r="N2942"/>
    </row>
    <row r="2943" spans="13:14" ht="14.25" customHeight="1">
      <c r="M2943"/>
      <c r="N2943"/>
    </row>
    <row r="2944" spans="13:14" ht="14.25" customHeight="1">
      <c r="M2944"/>
      <c r="N2944"/>
    </row>
    <row r="2945" spans="13:14" ht="14.25" customHeight="1">
      <c r="M2945"/>
      <c r="N2945"/>
    </row>
    <row r="2946" spans="13:14" ht="14.25" customHeight="1">
      <c r="M2946"/>
      <c r="N2946"/>
    </row>
    <row r="2947" spans="13:14" ht="14.25" customHeight="1">
      <c r="M2947"/>
      <c r="N2947"/>
    </row>
    <row r="2948" spans="13:14" ht="14.25" customHeight="1">
      <c r="M2948"/>
      <c r="N2948"/>
    </row>
    <row r="2949" spans="13:14" ht="14.25" customHeight="1">
      <c r="M2949"/>
      <c r="N2949"/>
    </row>
    <row r="2950" spans="13:14" ht="14.25" customHeight="1">
      <c r="M2950"/>
      <c r="N2950"/>
    </row>
    <row r="2951" spans="13:14" ht="14.25" customHeight="1">
      <c r="M2951"/>
      <c r="N2951"/>
    </row>
    <row r="2952" spans="13:14" ht="14.25" customHeight="1">
      <c r="M2952"/>
      <c r="N2952"/>
    </row>
    <row r="2953" spans="13:14" ht="14.25" customHeight="1">
      <c r="M2953"/>
      <c r="N2953"/>
    </row>
    <row r="2954" spans="13:14" ht="14.25" customHeight="1">
      <c r="M2954"/>
      <c r="N2954"/>
    </row>
    <row r="2955" spans="13:14" ht="14.25" customHeight="1">
      <c r="M2955"/>
      <c r="N2955"/>
    </row>
    <row r="2956" spans="13:14" ht="14.25" customHeight="1">
      <c r="M2956"/>
      <c r="N2956"/>
    </row>
    <row r="2957" spans="13:14" ht="14.25" customHeight="1">
      <c r="M2957"/>
      <c r="N2957"/>
    </row>
    <row r="2958" spans="13:14" ht="14.25" customHeight="1">
      <c r="M2958"/>
      <c r="N2958"/>
    </row>
    <row r="2959" spans="13:14" ht="14.25" customHeight="1">
      <c r="M2959"/>
      <c r="N2959"/>
    </row>
    <row r="2960" spans="13:14" ht="14.25" customHeight="1">
      <c r="M2960"/>
      <c r="N2960"/>
    </row>
    <row r="2961" spans="13:14" ht="14.25" customHeight="1">
      <c r="M2961"/>
      <c r="N2961"/>
    </row>
    <row r="2962" spans="13:14" ht="14.25" customHeight="1">
      <c r="M2962"/>
      <c r="N2962"/>
    </row>
    <row r="2963" spans="13:14" ht="14.25" customHeight="1">
      <c r="M2963"/>
      <c r="N2963"/>
    </row>
    <row r="2964" spans="13:14" ht="14.25" customHeight="1">
      <c r="M2964"/>
      <c r="N2964"/>
    </row>
    <row r="2965" spans="13:14" ht="14.25" customHeight="1">
      <c r="M2965"/>
      <c r="N2965"/>
    </row>
    <row r="2966" spans="13:14" ht="14.25" customHeight="1">
      <c r="M2966"/>
      <c r="N2966"/>
    </row>
    <row r="2967" spans="13:14" ht="14.25" customHeight="1">
      <c r="M2967"/>
      <c r="N2967"/>
    </row>
    <row r="2968" spans="13:14" ht="14.25" customHeight="1">
      <c r="M2968"/>
      <c r="N2968"/>
    </row>
    <row r="2969" spans="13:14" ht="14.25" customHeight="1">
      <c r="M2969"/>
      <c r="N2969"/>
    </row>
    <row r="2970" spans="13:14" ht="14.25" customHeight="1">
      <c r="M2970"/>
      <c r="N2970"/>
    </row>
    <row r="2971" spans="13:14" ht="14.25" customHeight="1">
      <c r="M2971"/>
      <c r="N2971"/>
    </row>
    <row r="2972" spans="13:14" ht="14.25" customHeight="1">
      <c r="M2972"/>
      <c r="N2972"/>
    </row>
    <row r="2973" spans="13:14" ht="14.25" customHeight="1">
      <c r="M2973"/>
      <c r="N2973"/>
    </row>
    <row r="2974" spans="13:14" ht="14.25" customHeight="1">
      <c r="M2974"/>
      <c r="N2974"/>
    </row>
    <row r="2975" spans="13:14" ht="14.25" customHeight="1">
      <c r="M2975"/>
      <c r="N2975"/>
    </row>
    <row r="2976" spans="13:14" ht="14.25" customHeight="1">
      <c r="M2976"/>
      <c r="N2976"/>
    </row>
    <row r="2977" spans="13:14" ht="14.25" customHeight="1">
      <c r="M2977"/>
      <c r="N2977"/>
    </row>
    <row r="2978" spans="13:14" ht="14.25" customHeight="1">
      <c r="M2978"/>
      <c r="N2978"/>
    </row>
    <row r="2979" spans="13:14" ht="14.25" customHeight="1">
      <c r="M2979"/>
      <c r="N2979"/>
    </row>
    <row r="2980" spans="13:14" ht="14.25" customHeight="1">
      <c r="M2980"/>
      <c r="N2980"/>
    </row>
    <row r="2981" spans="13:14" ht="14.25" customHeight="1">
      <c r="M2981"/>
      <c r="N2981"/>
    </row>
    <row r="2982" spans="13:14" ht="14.25" customHeight="1">
      <c r="M2982"/>
      <c r="N2982"/>
    </row>
    <row r="2983" spans="13:14" ht="14.25" customHeight="1">
      <c r="M2983"/>
      <c r="N2983"/>
    </row>
    <row r="2984" spans="13:14" ht="14.25" customHeight="1">
      <c r="M2984"/>
      <c r="N2984"/>
    </row>
    <row r="2985" spans="13:14" ht="14.25" customHeight="1">
      <c r="M2985"/>
      <c r="N2985"/>
    </row>
    <row r="2986" spans="13:14" ht="14.25" customHeight="1">
      <c r="M2986"/>
      <c r="N2986"/>
    </row>
    <row r="2987" spans="13:14" ht="14.25" customHeight="1">
      <c r="M2987"/>
      <c r="N2987"/>
    </row>
    <row r="2988" spans="13:14" ht="14.25" customHeight="1">
      <c r="M2988"/>
      <c r="N2988"/>
    </row>
    <row r="2989" spans="13:14" ht="14.25" customHeight="1">
      <c r="M2989"/>
      <c r="N2989"/>
    </row>
    <row r="2990" spans="13:14" ht="14.25" customHeight="1">
      <c r="M2990"/>
      <c r="N2990"/>
    </row>
    <row r="2991" spans="13:14" ht="14.25" customHeight="1">
      <c r="M2991"/>
      <c r="N2991"/>
    </row>
    <row r="2992" spans="13:14" ht="14.25" customHeight="1">
      <c r="M2992"/>
      <c r="N2992"/>
    </row>
    <row r="2993" spans="13:14" ht="14.25" customHeight="1">
      <c r="M2993"/>
      <c r="N2993"/>
    </row>
    <row r="2994" spans="13:14" ht="14.25" customHeight="1">
      <c r="M2994"/>
      <c r="N2994"/>
    </row>
    <row r="2995" spans="13:14" ht="14.25" customHeight="1">
      <c r="M2995"/>
      <c r="N2995"/>
    </row>
    <row r="2996" spans="13:14" ht="14.25" customHeight="1">
      <c r="M2996"/>
      <c r="N2996"/>
    </row>
    <row r="2997" spans="13:14" ht="14.25" customHeight="1">
      <c r="M2997"/>
      <c r="N2997"/>
    </row>
    <row r="2998" spans="13:14" ht="14.25" customHeight="1">
      <c r="M2998"/>
      <c r="N2998"/>
    </row>
    <row r="2999" spans="13:14" ht="14.25" customHeight="1">
      <c r="M2999"/>
      <c r="N2999"/>
    </row>
    <row r="3000" spans="13:14" ht="14.25" customHeight="1">
      <c r="M3000"/>
      <c r="N3000"/>
    </row>
    <row r="3001" spans="13:14" ht="14.25" customHeight="1">
      <c r="M3001"/>
      <c r="N3001"/>
    </row>
    <row r="3002" spans="13:14" ht="14.25" customHeight="1">
      <c r="M3002"/>
      <c r="N3002"/>
    </row>
    <row r="3003" spans="13:14" ht="14.25" customHeight="1">
      <c r="M3003"/>
      <c r="N3003"/>
    </row>
    <row r="3004" spans="13:14" ht="14.25" customHeight="1">
      <c r="M3004"/>
      <c r="N3004"/>
    </row>
    <row r="3005" spans="13:14" ht="14.25" customHeight="1">
      <c r="M3005"/>
      <c r="N3005"/>
    </row>
    <row r="3006" spans="13:14" ht="14.25" customHeight="1">
      <c r="M3006"/>
      <c r="N3006"/>
    </row>
    <row r="3007" spans="13:14" ht="14.25" customHeight="1">
      <c r="M3007"/>
      <c r="N3007"/>
    </row>
    <row r="3008" spans="13:14" ht="14.25" customHeight="1">
      <c r="M3008"/>
      <c r="N3008"/>
    </row>
    <row r="3009" spans="13:14" ht="14.25" customHeight="1">
      <c r="M3009"/>
      <c r="N3009"/>
    </row>
    <row r="3010" spans="13:14" ht="14.25" customHeight="1">
      <c r="M3010"/>
      <c r="N3010"/>
    </row>
    <row r="3011" spans="13:14" ht="14.25" customHeight="1">
      <c r="M3011"/>
      <c r="N3011"/>
    </row>
    <row r="3012" spans="13:14" ht="14.25" customHeight="1">
      <c r="M3012"/>
      <c r="N3012"/>
    </row>
    <row r="3013" spans="13:14" ht="14.25" customHeight="1">
      <c r="M3013"/>
      <c r="N3013"/>
    </row>
    <row r="3014" spans="13:14" ht="14.25" customHeight="1">
      <c r="M3014"/>
      <c r="N3014"/>
    </row>
    <row r="3015" spans="13:14" ht="14.25" customHeight="1">
      <c r="M3015"/>
      <c r="N3015"/>
    </row>
    <row r="3016" spans="13:14" ht="14.25" customHeight="1">
      <c r="M3016"/>
      <c r="N3016"/>
    </row>
    <row r="3017" spans="13:14" ht="14.25" customHeight="1">
      <c r="M3017"/>
      <c r="N3017"/>
    </row>
    <row r="3018" spans="13:14" ht="14.25" customHeight="1">
      <c r="M3018"/>
      <c r="N3018"/>
    </row>
    <row r="3019" spans="13:14" ht="14.25" customHeight="1">
      <c r="M3019"/>
      <c r="N3019"/>
    </row>
    <row r="3020" spans="13:14" ht="14.25" customHeight="1">
      <c r="M3020"/>
      <c r="N3020"/>
    </row>
    <row r="3021" spans="13:14" ht="14.25" customHeight="1">
      <c r="M3021"/>
      <c r="N3021"/>
    </row>
    <row r="3022" spans="13:14" ht="14.25" customHeight="1">
      <c r="M3022"/>
      <c r="N3022"/>
    </row>
    <row r="3023" spans="13:14" ht="14.25" customHeight="1">
      <c r="M3023"/>
      <c r="N3023"/>
    </row>
    <row r="3024" spans="13:14" ht="14.25" customHeight="1">
      <c r="M3024"/>
      <c r="N3024"/>
    </row>
    <row r="3025" spans="13:14" ht="14.25" customHeight="1">
      <c r="M3025"/>
      <c r="N3025"/>
    </row>
    <row r="3026" spans="13:14" ht="14.25" customHeight="1">
      <c r="M3026"/>
      <c r="N3026"/>
    </row>
    <row r="3027" spans="13:14" ht="14.25" customHeight="1">
      <c r="M3027"/>
      <c r="N3027"/>
    </row>
    <row r="3028" spans="13:14" ht="14.25" customHeight="1">
      <c r="M3028"/>
      <c r="N3028"/>
    </row>
    <row r="3029" spans="13:14" ht="14.25" customHeight="1">
      <c r="M3029"/>
      <c r="N3029"/>
    </row>
    <row r="3030" spans="13:14" ht="14.25" customHeight="1">
      <c r="M3030"/>
      <c r="N3030"/>
    </row>
    <row r="3031" spans="13:14" ht="14.25" customHeight="1">
      <c r="M3031"/>
      <c r="N3031"/>
    </row>
    <row r="3032" spans="13:14" ht="14.25" customHeight="1">
      <c r="M3032"/>
      <c r="N3032"/>
    </row>
    <row r="3033" spans="13:14" ht="14.25" customHeight="1">
      <c r="M3033"/>
      <c r="N3033"/>
    </row>
    <row r="3034" spans="13:14" ht="14.25" customHeight="1">
      <c r="M3034"/>
      <c r="N3034"/>
    </row>
    <row r="3035" spans="13:14" ht="14.25" customHeight="1">
      <c r="M3035"/>
      <c r="N3035"/>
    </row>
    <row r="3036" spans="13:14" ht="14.25" customHeight="1">
      <c r="M3036"/>
      <c r="N3036"/>
    </row>
    <row r="3037" spans="13:14" ht="14.25" customHeight="1">
      <c r="M3037"/>
      <c r="N3037"/>
    </row>
    <row r="3038" spans="13:14" ht="14.25" customHeight="1">
      <c r="M3038"/>
      <c r="N3038"/>
    </row>
    <row r="3039" spans="13:14" ht="14.25" customHeight="1">
      <c r="M3039"/>
      <c r="N3039"/>
    </row>
    <row r="3040" spans="13:14" ht="14.25" customHeight="1">
      <c r="M3040"/>
      <c r="N3040"/>
    </row>
    <row r="3041" spans="13:14" ht="14.25" customHeight="1">
      <c r="M3041"/>
      <c r="N3041"/>
    </row>
    <row r="3042" spans="13:14" ht="14.25" customHeight="1">
      <c r="M3042"/>
      <c r="N3042"/>
    </row>
    <row r="3043" spans="13:14" ht="14.25" customHeight="1">
      <c r="M3043"/>
      <c r="N3043"/>
    </row>
    <row r="3044" spans="13:14" ht="14.25" customHeight="1">
      <c r="M3044"/>
      <c r="N3044"/>
    </row>
    <row r="3045" spans="13:14" ht="14.25" customHeight="1">
      <c r="M3045"/>
      <c r="N3045"/>
    </row>
    <row r="3046" spans="13:14" ht="14.25" customHeight="1">
      <c r="M3046"/>
      <c r="N3046"/>
    </row>
    <row r="3047" spans="13:14" ht="14.25" customHeight="1">
      <c r="M3047"/>
      <c r="N3047"/>
    </row>
    <row r="3048" spans="13:14" ht="14.25" customHeight="1">
      <c r="M3048"/>
      <c r="N3048"/>
    </row>
    <row r="3049" spans="13:14" ht="14.25" customHeight="1">
      <c r="M3049"/>
      <c r="N3049"/>
    </row>
    <row r="3050" spans="13:14" ht="14.25" customHeight="1">
      <c r="M3050"/>
      <c r="N3050"/>
    </row>
    <row r="3051" spans="13:14" ht="14.25" customHeight="1">
      <c r="M3051"/>
      <c r="N3051"/>
    </row>
    <row r="3052" spans="13:14" ht="14.25" customHeight="1">
      <c r="M3052"/>
      <c r="N3052"/>
    </row>
    <row r="3053" spans="13:14" ht="14.25" customHeight="1">
      <c r="M3053"/>
      <c r="N3053"/>
    </row>
    <row r="3054" spans="13:14" ht="14.25" customHeight="1">
      <c r="M3054"/>
      <c r="N3054"/>
    </row>
    <row r="3055" spans="13:14" ht="14.25" customHeight="1">
      <c r="M3055"/>
      <c r="N3055"/>
    </row>
    <row r="3056" spans="13:14" ht="14.25" customHeight="1">
      <c r="M3056"/>
      <c r="N3056"/>
    </row>
    <row r="3057" spans="13:14" ht="14.25" customHeight="1">
      <c r="M3057"/>
      <c r="N3057"/>
    </row>
    <row r="3058" spans="13:14" ht="14.25" customHeight="1">
      <c r="M3058"/>
      <c r="N3058"/>
    </row>
    <row r="3059" spans="13:14" ht="14.25" customHeight="1">
      <c r="M3059"/>
      <c r="N3059"/>
    </row>
    <row r="3060" spans="13:14" ht="14.25" customHeight="1">
      <c r="M3060"/>
      <c r="N3060"/>
    </row>
    <row r="3061" spans="13:14" ht="14.25" customHeight="1">
      <c r="M3061"/>
      <c r="N3061"/>
    </row>
    <row r="3062" spans="13:14" ht="14.25" customHeight="1">
      <c r="M3062"/>
      <c r="N3062"/>
    </row>
    <row r="3063" spans="13:14" ht="14.25" customHeight="1">
      <c r="M3063"/>
      <c r="N3063"/>
    </row>
    <row r="3064" spans="13:14" ht="14.25" customHeight="1">
      <c r="M3064"/>
      <c r="N3064"/>
    </row>
    <row r="3065" spans="13:14" ht="14.25" customHeight="1">
      <c r="M3065"/>
      <c r="N3065"/>
    </row>
    <row r="3066" spans="13:14" ht="14.25" customHeight="1">
      <c r="M3066"/>
      <c r="N3066"/>
    </row>
    <row r="3067" spans="13:14" ht="14.25" customHeight="1">
      <c r="M3067"/>
      <c r="N3067"/>
    </row>
    <row r="3068" spans="13:14" ht="14.25" customHeight="1">
      <c r="M3068"/>
      <c r="N3068"/>
    </row>
    <row r="3069" spans="13:14" ht="14.25" customHeight="1">
      <c r="M3069"/>
      <c r="N3069"/>
    </row>
    <row r="3070" spans="13:14" ht="14.25" customHeight="1">
      <c r="M3070"/>
      <c r="N3070"/>
    </row>
    <row r="3071" spans="13:14" ht="14.25" customHeight="1">
      <c r="M3071"/>
      <c r="N3071"/>
    </row>
    <row r="3072" spans="13:14" ht="14.25" customHeight="1">
      <c r="M3072"/>
      <c r="N3072"/>
    </row>
    <row r="3073" spans="13:14" ht="14.25" customHeight="1">
      <c r="M3073"/>
      <c r="N3073"/>
    </row>
    <row r="3074" spans="13:14" ht="14.25" customHeight="1">
      <c r="M3074"/>
      <c r="N3074"/>
    </row>
    <row r="3075" spans="13:14" ht="14.25" customHeight="1">
      <c r="M3075"/>
      <c r="N3075"/>
    </row>
    <row r="3076" spans="13:14" ht="14.25" customHeight="1">
      <c r="M3076"/>
      <c r="N3076"/>
    </row>
    <row r="3077" spans="13:14" ht="14.25" customHeight="1">
      <c r="M3077"/>
      <c r="N3077"/>
    </row>
    <row r="3078" spans="13:14" ht="14.25" customHeight="1">
      <c r="M3078"/>
      <c r="N3078"/>
    </row>
    <row r="3079" spans="13:14" ht="14.25" customHeight="1">
      <c r="M3079"/>
      <c r="N3079"/>
    </row>
    <row r="3080" spans="13:14" ht="14.25" customHeight="1">
      <c r="M3080"/>
      <c r="N3080"/>
    </row>
    <row r="3081" spans="13:14" ht="14.25" customHeight="1">
      <c r="M3081"/>
      <c r="N3081"/>
    </row>
    <row r="3082" spans="13:14" ht="14.25" customHeight="1">
      <c r="M3082"/>
      <c r="N3082"/>
    </row>
    <row r="3083" spans="13:14" ht="14.25" customHeight="1">
      <c r="M3083"/>
      <c r="N3083"/>
    </row>
    <row r="3084" spans="13:14" ht="14.25" customHeight="1">
      <c r="M3084"/>
      <c r="N3084"/>
    </row>
    <row r="3085" spans="13:14" ht="14.25" customHeight="1">
      <c r="M3085"/>
      <c r="N3085"/>
    </row>
    <row r="3086" spans="13:14" ht="14.25" customHeight="1">
      <c r="M3086"/>
      <c r="N3086"/>
    </row>
    <row r="3087" spans="13:14" ht="14.25" customHeight="1">
      <c r="M3087"/>
      <c r="N3087"/>
    </row>
    <row r="3088" spans="13:14" ht="14.25" customHeight="1">
      <c r="M3088"/>
      <c r="N3088"/>
    </row>
    <row r="3089" spans="13:14" ht="14.25" customHeight="1">
      <c r="M3089"/>
      <c r="N3089"/>
    </row>
    <row r="3090" spans="13:14" ht="14.25" customHeight="1">
      <c r="M3090"/>
      <c r="N3090"/>
    </row>
    <row r="3091" spans="13:14" ht="14.25" customHeight="1">
      <c r="M3091"/>
      <c r="N3091"/>
    </row>
    <row r="3092" spans="13:14" ht="14.25" customHeight="1">
      <c r="M3092"/>
      <c r="N3092"/>
    </row>
    <row r="3093" spans="13:14" ht="14.25" customHeight="1">
      <c r="M3093"/>
      <c r="N3093"/>
    </row>
    <row r="3094" spans="13:14" ht="14.25" customHeight="1">
      <c r="M3094"/>
      <c r="N3094"/>
    </row>
    <row r="3095" spans="13:14" ht="14.25" customHeight="1">
      <c r="M3095"/>
      <c r="N3095"/>
    </row>
    <row r="3096" spans="13:14" ht="14.25" customHeight="1">
      <c r="M3096"/>
      <c r="N3096"/>
    </row>
    <row r="3097" spans="13:14" ht="14.25" customHeight="1">
      <c r="M3097"/>
      <c r="N3097"/>
    </row>
    <row r="3098" spans="13:14" ht="14.25" customHeight="1">
      <c r="M3098"/>
      <c r="N3098"/>
    </row>
    <row r="3099" spans="13:14" ht="14.25" customHeight="1">
      <c r="M3099"/>
      <c r="N3099"/>
    </row>
    <row r="3100" spans="13:14" ht="14.25" customHeight="1">
      <c r="M3100"/>
      <c r="N3100"/>
    </row>
    <row r="3101" spans="13:14" ht="14.25" customHeight="1">
      <c r="M3101"/>
      <c r="N3101"/>
    </row>
    <row r="3102" spans="13:14" ht="14.25" customHeight="1">
      <c r="M3102"/>
      <c r="N3102"/>
    </row>
    <row r="3103" spans="13:14" ht="14.25" customHeight="1">
      <c r="M3103"/>
      <c r="N3103"/>
    </row>
    <row r="3104" spans="13:14" ht="14.25" customHeight="1">
      <c r="M3104"/>
      <c r="N3104"/>
    </row>
    <row r="3105" spans="13:14" ht="14.25" customHeight="1">
      <c r="M3105"/>
      <c r="N3105"/>
    </row>
    <row r="3106" spans="13:14" ht="14.25" customHeight="1">
      <c r="M3106"/>
      <c r="N3106"/>
    </row>
    <row r="3107" spans="13:14" ht="14.25" customHeight="1">
      <c r="M3107"/>
      <c r="N3107"/>
    </row>
    <row r="3108" spans="13:14" ht="14.25" customHeight="1">
      <c r="M3108"/>
      <c r="N3108"/>
    </row>
    <row r="3109" spans="13:14" ht="14.25" customHeight="1">
      <c r="M3109"/>
      <c r="N3109"/>
    </row>
    <row r="3110" spans="13:14" ht="14.25" customHeight="1">
      <c r="M3110"/>
      <c r="N3110"/>
    </row>
    <row r="3111" spans="13:14" ht="14.25" customHeight="1">
      <c r="M3111"/>
      <c r="N3111"/>
    </row>
    <row r="3112" spans="13:14" ht="14.25" customHeight="1">
      <c r="M3112"/>
      <c r="N3112"/>
    </row>
    <row r="3113" spans="13:14" ht="14.25" customHeight="1">
      <c r="M3113"/>
      <c r="N3113"/>
    </row>
    <row r="3114" spans="13:14" ht="14.25" customHeight="1">
      <c r="M3114"/>
      <c r="N3114"/>
    </row>
    <row r="3115" spans="13:14" ht="14.25" customHeight="1">
      <c r="M3115"/>
      <c r="N3115"/>
    </row>
    <row r="3116" spans="13:14" ht="14.25" customHeight="1">
      <c r="M3116"/>
      <c r="N3116"/>
    </row>
    <row r="3117" spans="13:14" ht="14.25" customHeight="1">
      <c r="M3117"/>
      <c r="N3117"/>
    </row>
    <row r="3118" spans="13:14" ht="14.25" customHeight="1">
      <c r="M3118"/>
      <c r="N3118"/>
    </row>
    <row r="3119" spans="13:14" ht="14.25" customHeight="1">
      <c r="M3119"/>
      <c r="N3119"/>
    </row>
    <row r="3120" spans="13:14" ht="14.25" customHeight="1">
      <c r="M3120"/>
      <c r="N3120"/>
    </row>
    <row r="3121" spans="13:14" ht="14.25" customHeight="1">
      <c r="M3121"/>
      <c r="N3121"/>
    </row>
    <row r="3122" spans="13:14" ht="14.25" customHeight="1">
      <c r="M3122"/>
      <c r="N3122"/>
    </row>
    <row r="3123" spans="13:14" ht="14.25" customHeight="1">
      <c r="M3123"/>
      <c r="N3123"/>
    </row>
    <row r="3124" spans="13:14" ht="14.25" customHeight="1">
      <c r="M3124"/>
      <c r="N3124"/>
    </row>
    <row r="3125" spans="13:14" ht="14.25" customHeight="1">
      <c r="M3125"/>
      <c r="N3125"/>
    </row>
    <row r="3126" spans="13:14" ht="14.25" customHeight="1">
      <c r="M3126"/>
      <c r="N3126"/>
    </row>
    <row r="3127" spans="13:14" ht="14.25" customHeight="1">
      <c r="M3127"/>
      <c r="N3127"/>
    </row>
    <row r="3128" spans="13:14" ht="14.25" customHeight="1">
      <c r="M3128"/>
      <c r="N3128"/>
    </row>
    <row r="3129" spans="13:14" ht="14.25" customHeight="1">
      <c r="M3129"/>
      <c r="N3129"/>
    </row>
    <row r="3130" spans="13:14" ht="14.25" customHeight="1">
      <c r="M3130"/>
      <c r="N3130"/>
    </row>
    <row r="3131" spans="13:14" ht="14.25" customHeight="1">
      <c r="M3131"/>
      <c r="N3131"/>
    </row>
    <row r="3132" spans="13:14" ht="14.25" customHeight="1">
      <c r="M3132"/>
      <c r="N3132"/>
    </row>
    <row r="3133" spans="13:14" ht="14.25" customHeight="1">
      <c r="M3133"/>
      <c r="N3133"/>
    </row>
    <row r="3134" spans="13:14" ht="14.25" customHeight="1">
      <c r="M3134"/>
      <c r="N3134"/>
    </row>
    <row r="3135" spans="13:14" ht="14.25" customHeight="1">
      <c r="M3135"/>
      <c r="N3135"/>
    </row>
    <row r="3136" spans="13:14" ht="14.25" customHeight="1">
      <c r="M3136"/>
      <c r="N3136"/>
    </row>
    <row r="3137" spans="13:14" ht="14.25" customHeight="1">
      <c r="M3137"/>
      <c r="N3137"/>
    </row>
    <row r="3138" spans="13:14" ht="14.25" customHeight="1">
      <c r="M3138"/>
      <c r="N3138"/>
    </row>
    <row r="3139" spans="13:14" ht="14.25" customHeight="1">
      <c r="M3139"/>
      <c r="N3139"/>
    </row>
    <row r="3140" spans="13:14" ht="14.25" customHeight="1">
      <c r="M3140"/>
      <c r="N3140"/>
    </row>
    <row r="3141" spans="13:14" ht="14.25" customHeight="1">
      <c r="M3141"/>
      <c r="N3141"/>
    </row>
    <row r="3142" spans="13:14" ht="14.25" customHeight="1">
      <c r="M3142"/>
      <c r="N3142"/>
    </row>
    <row r="3143" spans="13:14" ht="14.25" customHeight="1">
      <c r="M3143"/>
      <c r="N3143"/>
    </row>
    <row r="3144" spans="13:14" ht="14.25" customHeight="1">
      <c r="M3144"/>
      <c r="N3144"/>
    </row>
    <row r="3145" spans="13:14" ht="14.25" customHeight="1">
      <c r="M3145"/>
      <c r="N3145"/>
    </row>
    <row r="3146" spans="13:14" ht="14.25" customHeight="1">
      <c r="M3146"/>
      <c r="N3146"/>
    </row>
    <row r="3147" spans="13:14" ht="14.25" customHeight="1">
      <c r="M3147"/>
      <c r="N3147"/>
    </row>
    <row r="3148" spans="13:14" ht="14.25" customHeight="1">
      <c r="M3148"/>
      <c r="N3148"/>
    </row>
    <row r="3149" spans="13:14" ht="14.25" customHeight="1">
      <c r="M3149"/>
      <c r="N3149"/>
    </row>
    <row r="3150" spans="13:14" ht="14.25" customHeight="1">
      <c r="M3150"/>
      <c r="N3150"/>
    </row>
    <row r="3151" spans="13:14" ht="14.25" customHeight="1">
      <c r="M3151"/>
      <c r="N3151"/>
    </row>
    <row r="3152" spans="13:14" ht="14.25" customHeight="1">
      <c r="M3152"/>
      <c r="N3152"/>
    </row>
    <row r="3153" spans="13:14" ht="14.25" customHeight="1">
      <c r="M3153"/>
      <c r="N3153"/>
    </row>
    <row r="3154" spans="13:14" ht="14.25" customHeight="1">
      <c r="M3154"/>
      <c r="N3154"/>
    </row>
    <row r="3155" spans="13:14" ht="14.25" customHeight="1">
      <c r="M3155"/>
      <c r="N3155"/>
    </row>
    <row r="3156" spans="13:14" ht="14.25" customHeight="1">
      <c r="M3156"/>
      <c r="N3156"/>
    </row>
    <row r="3157" spans="13:14" ht="14.25" customHeight="1">
      <c r="M3157"/>
      <c r="N3157"/>
    </row>
    <row r="3158" spans="13:14" ht="14.25" customHeight="1">
      <c r="M3158"/>
      <c r="N3158"/>
    </row>
    <row r="3159" spans="13:14" ht="14.25" customHeight="1">
      <c r="M3159"/>
      <c r="N3159"/>
    </row>
    <row r="3160" spans="13:14" ht="14.25" customHeight="1">
      <c r="M3160"/>
      <c r="N3160"/>
    </row>
    <row r="3161" spans="13:14" ht="14.25" customHeight="1">
      <c r="M3161"/>
      <c r="N3161"/>
    </row>
    <row r="3162" spans="13:14" ht="14.25" customHeight="1">
      <c r="M3162"/>
      <c r="N3162"/>
    </row>
    <row r="3163" spans="13:14" ht="14.25" customHeight="1">
      <c r="M3163"/>
      <c r="N3163"/>
    </row>
    <row r="3164" spans="13:14" ht="14.25" customHeight="1">
      <c r="M3164"/>
      <c r="N3164"/>
    </row>
    <row r="3165" spans="13:14" ht="14.25" customHeight="1">
      <c r="M3165"/>
      <c r="N3165"/>
    </row>
    <row r="3166" spans="13:14" ht="14.25" customHeight="1">
      <c r="M3166"/>
      <c r="N3166"/>
    </row>
    <row r="3167" spans="13:14" ht="14.25" customHeight="1">
      <c r="M3167"/>
      <c r="N3167"/>
    </row>
    <row r="3168" spans="13:14" ht="14.25" customHeight="1">
      <c r="M3168"/>
      <c r="N3168"/>
    </row>
    <row r="3169" spans="13:14" ht="14.25" customHeight="1">
      <c r="M3169"/>
      <c r="N3169"/>
    </row>
    <row r="3170" spans="13:14" ht="14.25" customHeight="1">
      <c r="M3170"/>
      <c r="N3170"/>
    </row>
    <row r="3171" spans="13:14" ht="14.25" customHeight="1">
      <c r="M3171"/>
      <c r="N3171"/>
    </row>
    <row r="3172" spans="13:14" ht="14.25" customHeight="1">
      <c r="M3172"/>
      <c r="N3172"/>
    </row>
    <row r="3173" spans="13:14" ht="14.25" customHeight="1">
      <c r="M3173"/>
      <c r="N3173"/>
    </row>
    <row r="3174" spans="13:14" ht="14.25" customHeight="1">
      <c r="M3174"/>
      <c r="N3174"/>
    </row>
    <row r="3175" spans="13:14" ht="14.25" customHeight="1">
      <c r="M3175"/>
      <c r="N3175"/>
    </row>
    <row r="3176" spans="13:14" ht="14.25" customHeight="1">
      <c r="M3176"/>
      <c r="N3176"/>
    </row>
    <row r="3177" spans="13:14" ht="14.25" customHeight="1">
      <c r="M3177"/>
      <c r="N3177"/>
    </row>
    <row r="3178" spans="13:14" ht="14.25" customHeight="1">
      <c r="M3178"/>
      <c r="N3178"/>
    </row>
    <row r="3179" spans="13:14" ht="14.25" customHeight="1">
      <c r="M3179"/>
      <c r="N3179"/>
    </row>
    <row r="3180" spans="13:14" ht="14.25" customHeight="1">
      <c r="M3180"/>
      <c r="N3180"/>
    </row>
    <row r="3181" spans="13:14" ht="14.25" customHeight="1">
      <c r="M3181"/>
      <c r="N3181"/>
    </row>
    <row r="3182" spans="13:14" ht="14.25" customHeight="1">
      <c r="M3182"/>
      <c r="N3182"/>
    </row>
    <row r="3183" spans="13:14" ht="14.25" customHeight="1">
      <c r="M3183"/>
      <c r="N3183"/>
    </row>
    <row r="3184" spans="13:14" ht="14.25" customHeight="1">
      <c r="M3184"/>
      <c r="N3184"/>
    </row>
    <row r="3185" spans="13:14" ht="14.25" customHeight="1">
      <c r="M3185"/>
      <c r="N3185"/>
    </row>
    <row r="3186" spans="13:14" ht="14.25" customHeight="1">
      <c r="M3186"/>
      <c r="N3186"/>
    </row>
    <row r="3187" spans="13:14" ht="14.25" customHeight="1">
      <c r="M3187"/>
      <c r="N3187"/>
    </row>
    <row r="3188" spans="13:14" ht="14.25" customHeight="1">
      <c r="M3188"/>
      <c r="N3188"/>
    </row>
    <row r="3189" spans="13:14" ht="14.25" customHeight="1">
      <c r="M3189"/>
      <c r="N3189"/>
    </row>
    <row r="3190" spans="13:14" ht="14.25" customHeight="1">
      <c r="M3190"/>
      <c r="N3190"/>
    </row>
    <row r="3191" spans="13:14" ht="14.25" customHeight="1">
      <c r="M3191"/>
      <c r="N3191"/>
    </row>
    <row r="3192" spans="13:14" ht="14.25" customHeight="1">
      <c r="M3192"/>
      <c r="N3192"/>
    </row>
    <row r="3193" spans="13:14" ht="14.25" customHeight="1">
      <c r="M3193"/>
      <c r="N3193"/>
    </row>
    <row r="3194" spans="13:14" ht="14.25" customHeight="1">
      <c r="M3194"/>
      <c r="N3194"/>
    </row>
    <row r="3195" spans="13:14" ht="14.25" customHeight="1">
      <c r="M3195"/>
      <c r="N3195"/>
    </row>
    <row r="3196" spans="13:14" ht="14.25" customHeight="1">
      <c r="M3196"/>
      <c r="N3196"/>
    </row>
    <row r="3197" spans="13:14" ht="14.25" customHeight="1">
      <c r="M3197"/>
      <c r="N3197"/>
    </row>
    <row r="3198" spans="13:14" ht="14.25" customHeight="1">
      <c r="M3198"/>
      <c r="N3198"/>
    </row>
    <row r="3199" spans="13:14" ht="14.25" customHeight="1">
      <c r="M3199"/>
      <c r="N3199"/>
    </row>
    <row r="3200" spans="13:14" ht="14.25" customHeight="1">
      <c r="M3200"/>
      <c r="N3200"/>
    </row>
    <row r="3201" spans="13:14" ht="14.25" customHeight="1">
      <c r="M3201"/>
      <c r="N3201"/>
    </row>
    <row r="3202" spans="13:14" ht="14.25" customHeight="1">
      <c r="M3202"/>
      <c r="N3202"/>
    </row>
    <row r="3203" spans="13:14" ht="14.25" customHeight="1">
      <c r="M3203"/>
      <c r="N3203"/>
    </row>
    <row r="3204" spans="13:14" ht="14.25" customHeight="1">
      <c r="M3204"/>
      <c r="N3204"/>
    </row>
    <row r="3205" spans="13:14" ht="14.25" customHeight="1">
      <c r="M3205"/>
      <c r="N3205"/>
    </row>
    <row r="3206" spans="13:14" ht="14.25" customHeight="1">
      <c r="M3206"/>
      <c r="N3206"/>
    </row>
    <row r="3207" spans="13:14" ht="14.25" customHeight="1">
      <c r="M3207"/>
      <c r="N3207"/>
    </row>
    <row r="3208" spans="13:14" ht="14.25" customHeight="1">
      <c r="M3208"/>
      <c r="N3208"/>
    </row>
    <row r="3209" spans="13:14" ht="14.25" customHeight="1">
      <c r="M3209"/>
      <c r="N3209"/>
    </row>
    <row r="3210" spans="13:14" ht="14.25" customHeight="1">
      <c r="M3210"/>
      <c r="N3210"/>
    </row>
    <row r="3211" spans="13:14" ht="14.25" customHeight="1">
      <c r="M3211"/>
      <c r="N3211"/>
    </row>
    <row r="3212" spans="13:14" ht="14.25" customHeight="1">
      <c r="M3212"/>
      <c r="N3212"/>
    </row>
    <row r="3213" spans="13:14" ht="14.25" customHeight="1">
      <c r="M3213"/>
      <c r="N3213"/>
    </row>
    <row r="3214" spans="13:14" ht="14.25" customHeight="1">
      <c r="M3214"/>
      <c r="N3214"/>
    </row>
    <row r="3215" spans="13:14" ht="14.25" customHeight="1">
      <c r="M3215"/>
      <c r="N3215"/>
    </row>
    <row r="3216" spans="13:14" ht="14.25" customHeight="1">
      <c r="M3216"/>
      <c r="N3216"/>
    </row>
    <row r="3217" spans="13:14" ht="14.25" customHeight="1">
      <c r="M3217"/>
      <c r="N3217"/>
    </row>
    <row r="3218" spans="13:14" ht="14.25" customHeight="1">
      <c r="M3218"/>
      <c r="N3218"/>
    </row>
    <row r="3219" spans="13:14" ht="14.25" customHeight="1">
      <c r="M3219"/>
      <c r="N3219"/>
    </row>
    <row r="3220" spans="13:14" ht="14.25" customHeight="1">
      <c r="M3220"/>
      <c r="N3220"/>
    </row>
    <row r="3221" spans="13:14" ht="14.25" customHeight="1">
      <c r="M3221"/>
      <c r="N3221"/>
    </row>
    <row r="3222" spans="13:14" ht="14.25" customHeight="1">
      <c r="M3222"/>
      <c r="N3222"/>
    </row>
    <row r="3223" spans="13:14" ht="14.25" customHeight="1">
      <c r="M3223"/>
      <c r="N3223"/>
    </row>
    <row r="3224" spans="13:14" ht="14.25" customHeight="1">
      <c r="M3224"/>
      <c r="N3224"/>
    </row>
    <row r="3225" spans="13:14" ht="14.25" customHeight="1">
      <c r="M3225"/>
      <c r="N3225"/>
    </row>
    <row r="3226" spans="13:14" ht="14.25" customHeight="1">
      <c r="M3226"/>
      <c r="N3226"/>
    </row>
    <row r="3227" spans="13:14" ht="14.25" customHeight="1">
      <c r="M3227"/>
      <c r="N3227"/>
    </row>
    <row r="3228" spans="13:14" ht="14.25" customHeight="1">
      <c r="M3228"/>
      <c r="N3228"/>
    </row>
    <row r="3229" spans="13:14" ht="14.25" customHeight="1">
      <c r="M3229"/>
      <c r="N3229"/>
    </row>
    <row r="3230" spans="13:14" ht="14.25" customHeight="1">
      <c r="M3230"/>
      <c r="N3230"/>
    </row>
    <row r="3231" spans="13:14" ht="14.25" customHeight="1">
      <c r="M3231"/>
      <c r="N3231"/>
    </row>
    <row r="3232" spans="13:14" ht="14.25" customHeight="1">
      <c r="M3232"/>
      <c r="N3232"/>
    </row>
    <row r="3233" spans="13:14" ht="14.25" customHeight="1">
      <c r="M3233"/>
      <c r="N3233"/>
    </row>
    <row r="3234" spans="13:14" ht="14.25" customHeight="1">
      <c r="M3234"/>
      <c r="N3234"/>
    </row>
    <row r="3235" spans="13:14" ht="14.25" customHeight="1">
      <c r="M3235"/>
      <c r="N3235"/>
    </row>
    <row r="3236" spans="13:14" ht="14.25" customHeight="1">
      <c r="M3236"/>
      <c r="N3236"/>
    </row>
    <row r="3237" spans="13:14" ht="14.25" customHeight="1">
      <c r="M3237"/>
      <c r="N3237"/>
    </row>
    <row r="3238" spans="13:14" ht="14.25" customHeight="1">
      <c r="M3238"/>
      <c r="N3238"/>
    </row>
    <row r="3239" spans="13:14" ht="14.25" customHeight="1">
      <c r="M3239"/>
      <c r="N3239"/>
    </row>
    <row r="3240" spans="13:14" ht="14.25" customHeight="1">
      <c r="M3240"/>
      <c r="N3240"/>
    </row>
    <row r="3241" spans="13:14" ht="14.25" customHeight="1">
      <c r="M3241"/>
      <c r="N3241"/>
    </row>
    <row r="3242" spans="13:14" ht="14.25" customHeight="1">
      <c r="M3242"/>
      <c r="N3242"/>
    </row>
    <row r="3243" spans="13:14" ht="14.25" customHeight="1">
      <c r="M3243"/>
      <c r="N3243"/>
    </row>
    <row r="3244" spans="13:14" ht="14.25" customHeight="1">
      <c r="M3244"/>
      <c r="N3244"/>
    </row>
    <row r="3245" spans="13:14" ht="14.25" customHeight="1">
      <c r="M3245"/>
      <c r="N3245"/>
    </row>
    <row r="3246" spans="13:14" ht="14.25" customHeight="1">
      <c r="M3246"/>
      <c r="N3246"/>
    </row>
    <row r="3247" spans="13:14" ht="14.25" customHeight="1">
      <c r="M3247"/>
      <c r="N3247"/>
    </row>
    <row r="3248" spans="13:14" ht="14.25" customHeight="1">
      <c r="M3248"/>
      <c r="N3248"/>
    </row>
    <row r="3249" spans="13:14" ht="14.25" customHeight="1">
      <c r="M3249"/>
      <c r="N3249"/>
    </row>
    <row r="3250" spans="13:14" ht="14.25" customHeight="1">
      <c r="M3250"/>
      <c r="N3250"/>
    </row>
    <row r="3251" spans="13:14" ht="14.25" customHeight="1">
      <c r="M3251"/>
      <c r="N3251"/>
    </row>
    <row r="3252" spans="13:14" ht="14.25" customHeight="1">
      <c r="M3252"/>
      <c r="N3252"/>
    </row>
    <row r="3253" spans="13:14" ht="14.25" customHeight="1">
      <c r="M3253"/>
      <c r="N3253"/>
    </row>
    <row r="3254" spans="13:14" ht="14.25" customHeight="1">
      <c r="M3254"/>
      <c r="N3254"/>
    </row>
    <row r="3255" spans="13:14" ht="14.25" customHeight="1">
      <c r="M3255"/>
      <c r="N3255"/>
    </row>
    <row r="3256" spans="13:14" ht="14.25" customHeight="1">
      <c r="M3256"/>
      <c r="N3256"/>
    </row>
    <row r="3257" spans="13:14" ht="14.25" customHeight="1">
      <c r="M3257"/>
      <c r="N3257"/>
    </row>
    <row r="3258" spans="13:14" ht="14.25" customHeight="1">
      <c r="M3258"/>
      <c r="N3258"/>
    </row>
    <row r="3259" spans="13:14" ht="14.25" customHeight="1">
      <c r="M3259"/>
      <c r="N3259"/>
    </row>
    <row r="3260" spans="13:14" ht="14.25" customHeight="1">
      <c r="M3260"/>
      <c r="N3260"/>
    </row>
    <row r="3261" spans="13:14" ht="14.25" customHeight="1">
      <c r="M3261"/>
      <c r="N3261"/>
    </row>
    <row r="3262" spans="13:14" ht="14.25" customHeight="1">
      <c r="M3262"/>
      <c r="N3262"/>
    </row>
    <row r="3263" spans="13:14" ht="14.25" customHeight="1">
      <c r="M3263"/>
      <c r="N3263"/>
    </row>
    <row r="3264" spans="13:14" ht="14.25" customHeight="1">
      <c r="M3264"/>
      <c r="N3264"/>
    </row>
    <row r="3265" spans="13:14" ht="14.25" customHeight="1">
      <c r="M3265"/>
      <c r="N3265"/>
    </row>
    <row r="3266" spans="13:14" ht="14.25" customHeight="1">
      <c r="M3266"/>
      <c r="N3266"/>
    </row>
    <row r="3267" spans="13:14" ht="14.25" customHeight="1">
      <c r="M3267"/>
      <c r="N3267"/>
    </row>
    <row r="3268" spans="13:14" ht="14.25" customHeight="1">
      <c r="M3268"/>
      <c r="N3268"/>
    </row>
    <row r="3269" spans="13:14" ht="14.25" customHeight="1">
      <c r="M3269"/>
      <c r="N3269"/>
    </row>
    <row r="3270" spans="13:14" ht="14.25" customHeight="1">
      <c r="M3270"/>
      <c r="N3270"/>
    </row>
    <row r="3271" spans="13:14" ht="14.25" customHeight="1">
      <c r="M3271"/>
      <c r="N3271"/>
    </row>
    <row r="3272" spans="13:14" ht="14.25" customHeight="1">
      <c r="M3272"/>
      <c r="N3272"/>
    </row>
    <row r="3273" spans="13:14" ht="14.25" customHeight="1">
      <c r="M3273"/>
      <c r="N3273"/>
    </row>
    <row r="3274" spans="13:14" ht="14.25" customHeight="1">
      <c r="M3274"/>
      <c r="N3274"/>
    </row>
    <row r="3275" spans="13:14" ht="14.25" customHeight="1">
      <c r="M3275"/>
      <c r="N3275"/>
    </row>
    <row r="3276" spans="13:14" ht="14.25" customHeight="1">
      <c r="M3276"/>
      <c r="N3276"/>
    </row>
    <row r="3277" spans="13:14" ht="14.25" customHeight="1">
      <c r="M3277"/>
      <c r="N3277"/>
    </row>
    <row r="3278" spans="13:14" ht="14.25" customHeight="1">
      <c r="M3278"/>
      <c r="N3278"/>
    </row>
    <row r="3279" spans="13:14" ht="14.25" customHeight="1">
      <c r="M3279"/>
      <c r="N3279"/>
    </row>
    <row r="3280" spans="13:14" ht="14.25" customHeight="1">
      <c r="M3280"/>
      <c r="N3280"/>
    </row>
    <row r="3281" spans="13:14" ht="14.25" customHeight="1">
      <c r="M3281"/>
      <c r="N3281"/>
    </row>
    <row r="3282" spans="13:14" ht="14.25" customHeight="1">
      <c r="M3282"/>
      <c r="N3282"/>
    </row>
    <row r="3283" spans="13:14" ht="14.25" customHeight="1">
      <c r="M3283"/>
      <c r="N3283"/>
    </row>
    <row r="3284" spans="13:14" ht="14.25" customHeight="1">
      <c r="M3284"/>
      <c r="N3284"/>
    </row>
    <row r="3285" spans="13:14" ht="14.25" customHeight="1">
      <c r="M3285"/>
      <c r="N3285"/>
    </row>
    <row r="3286" spans="13:14" ht="14.25" customHeight="1">
      <c r="M3286"/>
      <c r="N3286"/>
    </row>
    <row r="3287" spans="13:14" ht="14.25" customHeight="1">
      <c r="M3287"/>
      <c r="N3287"/>
    </row>
    <row r="3288" spans="13:14" ht="14.25" customHeight="1">
      <c r="M3288"/>
      <c r="N3288"/>
    </row>
    <row r="3289" spans="13:14" ht="14.25" customHeight="1">
      <c r="M3289"/>
      <c r="N3289"/>
    </row>
    <row r="3290" spans="13:14" ht="14.25" customHeight="1">
      <c r="M3290"/>
      <c r="N3290"/>
    </row>
    <row r="3291" spans="13:14" ht="14.25" customHeight="1">
      <c r="M3291"/>
      <c r="N3291"/>
    </row>
    <row r="3292" spans="13:14" ht="14.25" customHeight="1">
      <c r="M3292"/>
      <c r="N3292"/>
    </row>
    <row r="3293" spans="13:14" ht="14.25" customHeight="1">
      <c r="M3293"/>
      <c r="N3293"/>
    </row>
    <row r="3294" spans="13:14" ht="14.25" customHeight="1">
      <c r="M3294"/>
      <c r="N3294"/>
    </row>
    <row r="3295" spans="13:14" ht="14.25" customHeight="1">
      <c r="M3295"/>
      <c r="N3295"/>
    </row>
    <row r="3296" spans="13:14" ht="14.25" customHeight="1">
      <c r="M3296"/>
      <c r="N3296"/>
    </row>
    <row r="3297" spans="13:14" ht="14.25" customHeight="1">
      <c r="M3297"/>
      <c r="N3297"/>
    </row>
    <row r="3298" spans="13:14" ht="14.25" customHeight="1">
      <c r="M3298"/>
      <c r="N3298"/>
    </row>
    <row r="3299" spans="13:14" ht="14.25" customHeight="1">
      <c r="M3299"/>
      <c r="N3299"/>
    </row>
    <row r="3300" spans="13:14" ht="14.25" customHeight="1">
      <c r="M3300"/>
      <c r="N3300"/>
    </row>
    <row r="3301" spans="13:14" ht="14.25" customHeight="1">
      <c r="M3301"/>
      <c r="N3301"/>
    </row>
    <row r="3302" spans="13:14" ht="14.25" customHeight="1">
      <c r="M3302"/>
      <c r="N3302"/>
    </row>
    <row r="3303" spans="13:14" ht="14.25" customHeight="1">
      <c r="M3303"/>
      <c r="N3303"/>
    </row>
    <row r="3304" spans="13:14" ht="14.25" customHeight="1">
      <c r="M3304"/>
      <c r="N3304"/>
    </row>
    <row r="3305" spans="13:14" ht="14.25" customHeight="1">
      <c r="M3305"/>
      <c r="N3305"/>
    </row>
    <row r="3306" spans="13:14" ht="14.25" customHeight="1">
      <c r="M3306"/>
      <c r="N3306"/>
    </row>
    <row r="3307" spans="13:14" ht="14.25" customHeight="1">
      <c r="M3307"/>
      <c r="N3307"/>
    </row>
    <row r="3308" spans="13:14" ht="14.25" customHeight="1">
      <c r="M3308"/>
      <c r="N3308"/>
    </row>
    <row r="3309" spans="13:14" ht="14.25" customHeight="1">
      <c r="M3309"/>
      <c r="N3309"/>
    </row>
    <row r="3310" spans="13:14" ht="14.25" customHeight="1">
      <c r="M3310"/>
      <c r="N3310"/>
    </row>
    <row r="3311" spans="13:14" ht="14.25" customHeight="1">
      <c r="M3311"/>
      <c r="N3311"/>
    </row>
    <row r="3312" spans="13:14" ht="14.25" customHeight="1">
      <c r="M3312"/>
      <c r="N3312"/>
    </row>
    <row r="3313" spans="13:14" ht="14.25" customHeight="1">
      <c r="M3313"/>
      <c r="N3313"/>
    </row>
    <row r="3314" spans="13:14" ht="14.25" customHeight="1">
      <c r="M3314"/>
      <c r="N3314"/>
    </row>
    <row r="3315" spans="13:14" ht="14.25" customHeight="1">
      <c r="M3315"/>
      <c r="N3315"/>
    </row>
    <row r="3316" spans="13:14" ht="14.25" customHeight="1">
      <c r="M3316"/>
      <c r="N3316"/>
    </row>
    <row r="3317" spans="13:14" ht="14.25" customHeight="1">
      <c r="M3317"/>
      <c r="N3317"/>
    </row>
    <row r="3318" spans="13:14" ht="14.25" customHeight="1">
      <c r="M3318"/>
      <c r="N3318"/>
    </row>
    <row r="3319" spans="13:14" ht="14.25" customHeight="1">
      <c r="M3319"/>
      <c r="N3319"/>
    </row>
    <row r="3320" spans="13:14" ht="14.25" customHeight="1">
      <c r="M3320"/>
      <c r="N3320"/>
    </row>
    <row r="3321" spans="13:14" ht="14.25" customHeight="1">
      <c r="M3321"/>
      <c r="N3321"/>
    </row>
    <row r="3322" spans="13:14" ht="14.25" customHeight="1">
      <c r="M3322"/>
      <c r="N3322"/>
    </row>
    <row r="3323" spans="13:14" ht="14.25" customHeight="1">
      <c r="M3323"/>
      <c r="N3323"/>
    </row>
    <row r="3324" spans="13:14" ht="14.25" customHeight="1">
      <c r="M3324"/>
      <c r="N3324"/>
    </row>
    <row r="3325" spans="13:14" ht="14.25" customHeight="1">
      <c r="M3325"/>
      <c r="N3325"/>
    </row>
    <row r="3326" spans="13:14" ht="14.25" customHeight="1">
      <c r="M3326"/>
      <c r="N3326"/>
    </row>
    <row r="3327" spans="13:14" ht="14.25" customHeight="1">
      <c r="M3327"/>
      <c r="N3327"/>
    </row>
    <row r="3328" spans="13:14" ht="14.25" customHeight="1">
      <c r="M3328"/>
      <c r="N3328"/>
    </row>
    <row r="3329" spans="13:14" ht="14.25" customHeight="1">
      <c r="M3329"/>
      <c r="N3329"/>
    </row>
    <row r="3330" spans="13:14" ht="14.25" customHeight="1">
      <c r="M3330"/>
      <c r="N3330"/>
    </row>
    <row r="3331" spans="13:14" ht="14.25" customHeight="1">
      <c r="M3331"/>
      <c r="N3331"/>
    </row>
    <row r="3332" spans="13:14" ht="14.25" customHeight="1">
      <c r="M3332"/>
      <c r="N3332"/>
    </row>
    <row r="3333" spans="13:14" ht="14.25" customHeight="1">
      <c r="M3333"/>
      <c r="N3333"/>
    </row>
    <row r="3334" spans="13:14" ht="14.25" customHeight="1">
      <c r="M3334"/>
      <c r="N3334"/>
    </row>
    <row r="3335" spans="13:14" ht="14.25" customHeight="1">
      <c r="M3335"/>
      <c r="N3335"/>
    </row>
    <row r="3336" spans="13:14" ht="14.25" customHeight="1">
      <c r="M3336"/>
      <c r="N3336"/>
    </row>
    <row r="3337" spans="13:14" ht="14.25" customHeight="1">
      <c r="M3337"/>
      <c r="N3337"/>
    </row>
    <row r="3338" spans="13:14" ht="14.25" customHeight="1">
      <c r="M3338"/>
      <c r="N3338"/>
    </row>
    <row r="3339" spans="13:14" ht="14.25" customHeight="1">
      <c r="M3339"/>
      <c r="N3339"/>
    </row>
    <row r="3340" spans="13:14" ht="14.25" customHeight="1">
      <c r="M3340"/>
      <c r="N3340"/>
    </row>
    <row r="3341" spans="13:14" ht="14.25" customHeight="1">
      <c r="M3341"/>
      <c r="N3341"/>
    </row>
    <row r="3342" spans="13:14" ht="14.25" customHeight="1">
      <c r="M3342"/>
      <c r="N3342"/>
    </row>
    <row r="3343" spans="13:14" ht="14.25" customHeight="1">
      <c r="M3343"/>
      <c r="N3343"/>
    </row>
    <row r="3344" spans="13:14" ht="14.25" customHeight="1">
      <c r="M3344"/>
      <c r="N3344"/>
    </row>
    <row r="3345" spans="13:14" ht="14.25" customHeight="1">
      <c r="M3345"/>
      <c r="N3345"/>
    </row>
    <row r="3346" spans="13:14" ht="14.25" customHeight="1">
      <c r="M3346"/>
      <c r="N3346"/>
    </row>
    <row r="3347" spans="13:14" ht="14.25" customHeight="1">
      <c r="M3347"/>
      <c r="N3347"/>
    </row>
    <row r="3348" spans="13:14" ht="14.25" customHeight="1">
      <c r="M3348"/>
      <c r="N3348"/>
    </row>
    <row r="3349" spans="13:14" ht="14.25" customHeight="1">
      <c r="M3349"/>
      <c r="N3349"/>
    </row>
    <row r="3350" spans="13:14" ht="14.25" customHeight="1">
      <c r="M3350"/>
      <c r="N3350"/>
    </row>
    <row r="3351" spans="13:14" ht="14.25" customHeight="1">
      <c r="M3351"/>
      <c r="N3351"/>
    </row>
    <row r="3352" spans="13:14" ht="14.25" customHeight="1">
      <c r="M3352"/>
      <c r="N3352"/>
    </row>
    <row r="3353" spans="13:14" ht="14.25" customHeight="1">
      <c r="M3353"/>
      <c r="N3353"/>
    </row>
    <row r="3354" spans="13:14" ht="14.25" customHeight="1">
      <c r="M3354"/>
      <c r="N3354"/>
    </row>
    <row r="3355" spans="13:14" ht="14.25" customHeight="1">
      <c r="M3355"/>
      <c r="N3355"/>
    </row>
    <row r="3356" spans="13:14" ht="14.25" customHeight="1">
      <c r="M3356"/>
      <c r="N3356"/>
    </row>
    <row r="3357" spans="13:14" ht="14.25" customHeight="1">
      <c r="M3357"/>
      <c r="N3357"/>
    </row>
    <row r="3358" spans="13:14" ht="14.25" customHeight="1">
      <c r="M3358"/>
      <c r="N3358"/>
    </row>
    <row r="3359" spans="13:14" ht="14.25" customHeight="1">
      <c r="M3359"/>
      <c r="N3359"/>
    </row>
    <row r="3360" spans="13:14" ht="14.25" customHeight="1">
      <c r="M3360"/>
      <c r="N3360"/>
    </row>
    <row r="3361" spans="13:14" ht="14.25" customHeight="1">
      <c r="M3361"/>
      <c r="N3361"/>
    </row>
    <row r="3362" spans="13:14" ht="14.25" customHeight="1">
      <c r="M3362"/>
      <c r="N3362"/>
    </row>
    <row r="3363" spans="13:14" ht="14.25" customHeight="1">
      <c r="M3363"/>
      <c r="N3363"/>
    </row>
    <row r="3364" spans="13:14" ht="14.25" customHeight="1">
      <c r="M3364"/>
      <c r="N3364"/>
    </row>
    <row r="3365" spans="13:14" ht="14.25" customHeight="1">
      <c r="M3365"/>
      <c r="N3365"/>
    </row>
    <row r="3366" spans="13:14" ht="14.25" customHeight="1">
      <c r="M3366"/>
      <c r="N3366"/>
    </row>
    <row r="3367" spans="13:14" ht="14.25" customHeight="1">
      <c r="M3367"/>
      <c r="N3367"/>
    </row>
    <row r="3368" spans="13:14" ht="14.25" customHeight="1">
      <c r="M3368"/>
      <c r="N3368"/>
    </row>
    <row r="3369" spans="13:14" ht="14.25" customHeight="1">
      <c r="M3369"/>
      <c r="N3369"/>
    </row>
    <row r="3370" spans="13:14" ht="14.25" customHeight="1">
      <c r="M3370"/>
      <c r="N3370"/>
    </row>
    <row r="3371" spans="13:14" ht="14.25" customHeight="1">
      <c r="M3371"/>
      <c r="N3371"/>
    </row>
    <row r="3372" spans="13:14" ht="14.25" customHeight="1">
      <c r="M3372"/>
      <c r="N3372"/>
    </row>
    <row r="3373" spans="13:14" ht="14.25" customHeight="1">
      <c r="M3373"/>
      <c r="N3373"/>
    </row>
    <row r="3374" spans="13:14" ht="14.25" customHeight="1">
      <c r="M3374"/>
      <c r="N3374"/>
    </row>
    <row r="3375" spans="13:14" ht="14.25" customHeight="1">
      <c r="M3375"/>
      <c r="N3375"/>
    </row>
    <row r="3376" spans="13:14" ht="14.25" customHeight="1">
      <c r="M3376"/>
      <c r="N3376"/>
    </row>
    <row r="3377" spans="13:14" ht="14.25" customHeight="1">
      <c r="M3377"/>
      <c r="N3377"/>
    </row>
    <row r="3378" spans="13:14" ht="14.25" customHeight="1">
      <c r="M3378"/>
      <c r="N3378"/>
    </row>
    <row r="3379" spans="13:14" ht="14.25" customHeight="1">
      <c r="M3379"/>
      <c r="N3379"/>
    </row>
    <row r="3380" spans="13:14" ht="14.25" customHeight="1">
      <c r="M3380"/>
      <c r="N3380"/>
    </row>
    <row r="3381" spans="13:14" ht="14.25" customHeight="1">
      <c r="M3381"/>
      <c r="N3381"/>
    </row>
    <row r="3382" spans="13:14" ht="14.25" customHeight="1">
      <c r="M3382"/>
      <c r="N3382"/>
    </row>
    <row r="3383" spans="13:14" ht="14.25" customHeight="1">
      <c r="M3383"/>
      <c r="N3383"/>
    </row>
    <row r="3384" spans="13:14" ht="14.25" customHeight="1">
      <c r="M3384"/>
      <c r="N3384"/>
    </row>
    <row r="3385" spans="13:14" ht="14.25" customHeight="1">
      <c r="M3385"/>
      <c r="N3385"/>
    </row>
    <row r="3386" spans="13:14" ht="14.25" customHeight="1">
      <c r="M3386"/>
      <c r="N3386"/>
    </row>
    <row r="3387" spans="13:14" ht="14.25" customHeight="1">
      <c r="M3387"/>
      <c r="N3387"/>
    </row>
    <row r="3388" spans="13:14" ht="14.25" customHeight="1">
      <c r="M3388"/>
      <c r="N3388"/>
    </row>
    <row r="3389" spans="13:14" ht="14.25" customHeight="1">
      <c r="M3389"/>
      <c r="N3389"/>
    </row>
    <row r="3390" spans="13:14" ht="14.25" customHeight="1">
      <c r="M3390"/>
      <c r="N3390"/>
    </row>
    <row r="3391" spans="13:14" ht="14.25" customHeight="1">
      <c r="M3391"/>
      <c r="N3391"/>
    </row>
    <row r="3392" spans="13:14" ht="14.25" customHeight="1">
      <c r="M3392"/>
      <c r="N3392"/>
    </row>
    <row r="3393" spans="13:14" ht="14.25" customHeight="1">
      <c r="M3393"/>
      <c r="N3393"/>
    </row>
    <row r="3394" spans="13:14" ht="14.25" customHeight="1">
      <c r="M3394"/>
      <c r="N3394"/>
    </row>
    <row r="3395" spans="13:14" ht="14.25" customHeight="1">
      <c r="M3395"/>
      <c r="N3395"/>
    </row>
    <row r="3396" spans="13:14" ht="14.25" customHeight="1">
      <c r="M3396"/>
      <c r="N3396"/>
    </row>
    <row r="3397" spans="13:14" ht="14.25" customHeight="1">
      <c r="M3397"/>
      <c r="N3397"/>
    </row>
    <row r="3398" spans="13:14" ht="14.25" customHeight="1">
      <c r="M3398"/>
      <c r="N3398"/>
    </row>
    <row r="3399" spans="13:14" ht="14.25" customHeight="1">
      <c r="M3399"/>
      <c r="N3399"/>
    </row>
    <row r="3400" spans="13:14" ht="14.25" customHeight="1">
      <c r="M3400"/>
      <c r="N3400"/>
    </row>
    <row r="3401" spans="13:14" ht="14.25" customHeight="1">
      <c r="M3401"/>
      <c r="N3401"/>
    </row>
    <row r="3402" spans="13:14" ht="14.25" customHeight="1">
      <c r="M3402"/>
      <c r="N3402"/>
    </row>
    <row r="3403" spans="13:14" ht="14.25" customHeight="1">
      <c r="M3403"/>
      <c r="N3403"/>
    </row>
    <row r="3404" spans="13:14" ht="14.25" customHeight="1">
      <c r="M3404"/>
      <c r="N3404"/>
    </row>
    <row r="3405" spans="13:14" ht="14.25" customHeight="1">
      <c r="M3405"/>
      <c r="N3405"/>
    </row>
    <row r="3406" spans="13:14" ht="14.25" customHeight="1">
      <c r="M3406"/>
      <c r="N3406"/>
    </row>
    <row r="3407" spans="13:14" ht="14.25" customHeight="1">
      <c r="M3407"/>
      <c r="N3407"/>
    </row>
    <row r="3408" spans="13:14" ht="14.25" customHeight="1">
      <c r="M3408"/>
      <c r="N3408"/>
    </row>
    <row r="3409" spans="13:14" ht="14.25" customHeight="1">
      <c r="M3409"/>
      <c r="N3409"/>
    </row>
    <row r="3410" spans="13:14" ht="14.25" customHeight="1">
      <c r="M3410"/>
      <c r="N3410"/>
    </row>
    <row r="3411" spans="13:14" ht="14.25" customHeight="1">
      <c r="M3411"/>
      <c r="N3411"/>
    </row>
    <row r="3412" spans="13:14" ht="14.25" customHeight="1">
      <c r="M3412"/>
      <c r="N3412"/>
    </row>
    <row r="3413" spans="13:14" ht="14.25" customHeight="1">
      <c r="M3413"/>
      <c r="N3413"/>
    </row>
    <row r="3414" spans="13:14" ht="14.25" customHeight="1">
      <c r="M3414"/>
      <c r="N3414"/>
    </row>
    <row r="3415" spans="13:14" ht="14.25" customHeight="1">
      <c r="M3415"/>
      <c r="N3415"/>
    </row>
    <row r="3416" spans="13:14" ht="14.25" customHeight="1">
      <c r="M3416"/>
      <c r="N3416"/>
    </row>
    <row r="3417" spans="13:14" ht="14.25" customHeight="1">
      <c r="M3417"/>
      <c r="N3417"/>
    </row>
    <row r="3418" spans="13:14" ht="14.25" customHeight="1">
      <c r="M3418"/>
      <c r="N3418"/>
    </row>
    <row r="3419" spans="13:14" ht="14.25" customHeight="1">
      <c r="M3419"/>
      <c r="N3419"/>
    </row>
    <row r="3420" spans="13:14" ht="14.25" customHeight="1">
      <c r="M3420"/>
      <c r="N3420"/>
    </row>
    <row r="3421" spans="13:14" ht="14.25" customHeight="1">
      <c r="M3421"/>
      <c r="N3421"/>
    </row>
    <row r="3422" spans="13:14" ht="14.25" customHeight="1">
      <c r="M3422"/>
      <c r="N3422"/>
    </row>
    <row r="3423" spans="13:14" ht="14.25" customHeight="1">
      <c r="M3423"/>
      <c r="N3423"/>
    </row>
    <row r="3424" spans="13:14" ht="14.25" customHeight="1">
      <c r="M3424"/>
      <c r="N3424"/>
    </row>
    <row r="3425" spans="13:14" ht="14.25" customHeight="1">
      <c r="M3425"/>
      <c r="N3425"/>
    </row>
    <row r="3426" spans="13:14" ht="14.25" customHeight="1">
      <c r="M3426"/>
      <c r="N3426"/>
    </row>
    <row r="3427" spans="13:14" ht="14.25" customHeight="1">
      <c r="M3427"/>
      <c r="N3427"/>
    </row>
    <row r="3428" spans="13:14" ht="14.25" customHeight="1">
      <c r="M3428"/>
      <c r="N3428"/>
    </row>
    <row r="3429" spans="13:14" ht="14.25" customHeight="1">
      <c r="M3429"/>
      <c r="N3429"/>
    </row>
    <row r="3430" spans="13:14" ht="14.25" customHeight="1">
      <c r="M3430"/>
      <c r="N3430"/>
    </row>
    <row r="3431" spans="13:14" ht="14.25" customHeight="1">
      <c r="M3431"/>
      <c r="N3431"/>
    </row>
    <row r="3432" spans="13:14" ht="14.25" customHeight="1">
      <c r="M3432"/>
      <c r="N3432"/>
    </row>
    <row r="3433" spans="13:14" ht="14.25" customHeight="1">
      <c r="M3433"/>
      <c r="N3433"/>
    </row>
    <row r="3434" spans="13:14" ht="14.25" customHeight="1">
      <c r="M3434"/>
      <c r="N3434"/>
    </row>
    <row r="3435" spans="13:14" ht="14.25" customHeight="1">
      <c r="M3435"/>
      <c r="N3435"/>
    </row>
    <row r="3436" spans="13:14" ht="14.25" customHeight="1">
      <c r="M3436"/>
      <c r="N3436"/>
    </row>
    <row r="3437" spans="13:14" ht="14.25" customHeight="1">
      <c r="M3437"/>
      <c r="N3437"/>
    </row>
    <row r="3438" spans="13:14" ht="14.25" customHeight="1">
      <c r="M3438"/>
      <c r="N3438"/>
    </row>
    <row r="3439" spans="13:14" ht="14.25" customHeight="1">
      <c r="M3439"/>
      <c r="N3439"/>
    </row>
    <row r="3440" spans="13:14" ht="14.25" customHeight="1">
      <c r="M3440"/>
      <c r="N3440"/>
    </row>
    <row r="3441" spans="13:14" ht="14.25" customHeight="1">
      <c r="M3441"/>
      <c r="N3441"/>
    </row>
    <row r="3442" spans="13:14" ht="14.25" customHeight="1">
      <c r="M3442"/>
      <c r="N3442"/>
    </row>
    <row r="3443" spans="13:14" ht="14.25" customHeight="1">
      <c r="M3443"/>
      <c r="N3443"/>
    </row>
    <row r="3444" spans="13:14" ht="14.25" customHeight="1">
      <c r="M3444"/>
      <c r="N3444"/>
    </row>
    <row r="3445" spans="13:14" ht="14.25" customHeight="1">
      <c r="M3445"/>
      <c r="N3445"/>
    </row>
    <row r="3446" spans="13:14" ht="14.25" customHeight="1">
      <c r="M3446"/>
      <c r="N3446"/>
    </row>
    <row r="3447" spans="13:14" ht="14.25" customHeight="1">
      <c r="M3447"/>
      <c r="N3447"/>
    </row>
    <row r="3448" spans="13:14" ht="14.25" customHeight="1">
      <c r="M3448"/>
      <c r="N3448"/>
    </row>
    <row r="3449" spans="13:14" ht="14.25" customHeight="1">
      <c r="M3449"/>
      <c r="N3449"/>
    </row>
    <row r="3450" spans="13:14" ht="14.25" customHeight="1">
      <c r="M3450"/>
      <c r="N3450"/>
    </row>
    <row r="3451" spans="13:14" ht="14.25" customHeight="1">
      <c r="M3451"/>
      <c r="N3451"/>
    </row>
    <row r="3452" spans="13:14" ht="14.25" customHeight="1">
      <c r="M3452"/>
      <c r="N3452"/>
    </row>
    <row r="3453" spans="13:14" ht="14.25" customHeight="1">
      <c r="M3453"/>
      <c r="N3453"/>
    </row>
    <row r="3454" spans="13:14" ht="14.25" customHeight="1">
      <c r="M3454"/>
      <c r="N3454"/>
    </row>
    <row r="3455" spans="13:14" ht="14.25" customHeight="1">
      <c r="M3455"/>
      <c r="N3455"/>
    </row>
    <row r="3456" spans="13:14" ht="14.25" customHeight="1">
      <c r="M3456"/>
      <c r="N3456"/>
    </row>
    <row r="3457" spans="13:14" ht="14.25" customHeight="1">
      <c r="M3457"/>
      <c r="N3457"/>
    </row>
    <row r="3458" spans="13:14" ht="14.25" customHeight="1">
      <c r="M3458"/>
      <c r="N3458"/>
    </row>
    <row r="3459" spans="13:14" ht="14.25" customHeight="1">
      <c r="M3459"/>
      <c r="N3459"/>
    </row>
    <row r="3460" spans="13:14" ht="14.25" customHeight="1">
      <c r="M3460"/>
      <c r="N3460"/>
    </row>
    <row r="3461" spans="13:14" ht="14.25" customHeight="1">
      <c r="M3461"/>
      <c r="N3461"/>
    </row>
    <row r="3462" spans="13:14" ht="14.25" customHeight="1">
      <c r="M3462"/>
      <c r="N3462"/>
    </row>
    <row r="3463" spans="13:14" ht="14.25" customHeight="1">
      <c r="M3463"/>
      <c r="N3463"/>
    </row>
    <row r="3464" spans="13:14" ht="14.25" customHeight="1">
      <c r="M3464"/>
      <c r="N3464"/>
    </row>
    <row r="3465" spans="13:14" ht="14.25" customHeight="1">
      <c r="M3465"/>
      <c r="N3465"/>
    </row>
    <row r="3466" spans="13:14" ht="14.25" customHeight="1">
      <c r="M3466"/>
      <c r="N3466"/>
    </row>
    <row r="3467" spans="13:14" ht="14.25" customHeight="1">
      <c r="M3467"/>
      <c r="N3467"/>
    </row>
    <row r="3468" spans="13:14" ht="14.25" customHeight="1">
      <c r="M3468"/>
      <c r="N3468"/>
    </row>
    <row r="3469" spans="13:14" ht="14.25" customHeight="1">
      <c r="M3469"/>
      <c r="N3469"/>
    </row>
    <row r="3470" spans="13:14" ht="14.25" customHeight="1">
      <c r="M3470"/>
      <c r="N3470"/>
    </row>
    <row r="3471" spans="13:14" ht="14.25" customHeight="1">
      <c r="M3471"/>
      <c r="N3471"/>
    </row>
    <row r="3472" spans="13:14" ht="14.25" customHeight="1">
      <c r="M3472"/>
      <c r="N3472"/>
    </row>
    <row r="3473" spans="13:14" ht="14.25" customHeight="1">
      <c r="M3473"/>
      <c r="N3473"/>
    </row>
    <row r="3474" spans="13:14" ht="14.25" customHeight="1">
      <c r="M3474"/>
      <c r="N3474"/>
    </row>
    <row r="3475" spans="13:14" ht="14.25" customHeight="1">
      <c r="M3475"/>
      <c r="N3475"/>
    </row>
    <row r="3476" spans="13:14" ht="14.25" customHeight="1">
      <c r="M3476"/>
      <c r="N3476"/>
    </row>
    <row r="3477" spans="13:14" ht="14.25" customHeight="1">
      <c r="M3477"/>
      <c r="N3477"/>
    </row>
    <row r="3478" spans="13:14" ht="14.25" customHeight="1">
      <c r="M3478"/>
      <c r="N3478"/>
    </row>
    <row r="3479" spans="13:14" ht="14.25" customHeight="1">
      <c r="M3479"/>
      <c r="N3479"/>
    </row>
    <row r="3480" spans="13:14" ht="14.25" customHeight="1">
      <c r="M3480"/>
      <c r="N3480"/>
    </row>
    <row r="3481" spans="13:14" ht="14.25" customHeight="1">
      <c r="M3481"/>
      <c r="N3481"/>
    </row>
    <row r="3482" spans="13:14" ht="14.25" customHeight="1">
      <c r="M3482"/>
      <c r="N3482"/>
    </row>
    <row r="3483" spans="13:14" ht="14.25" customHeight="1">
      <c r="M3483"/>
      <c r="N3483"/>
    </row>
    <row r="3484" spans="13:14" ht="14.25" customHeight="1">
      <c r="M3484"/>
      <c r="N3484"/>
    </row>
    <row r="3485" spans="13:14" ht="14.25" customHeight="1">
      <c r="M3485"/>
      <c r="N3485"/>
    </row>
    <row r="3486" spans="13:14" ht="14.25" customHeight="1">
      <c r="M3486"/>
      <c r="N3486"/>
    </row>
    <row r="3487" spans="13:14" ht="14.25" customHeight="1">
      <c r="M3487"/>
      <c r="N3487"/>
    </row>
    <row r="3488" spans="13:14" ht="14.25" customHeight="1">
      <c r="M3488"/>
      <c r="N3488"/>
    </row>
    <row r="3489" spans="13:14" ht="14.25" customHeight="1">
      <c r="M3489"/>
      <c r="N3489"/>
    </row>
    <row r="3490" spans="13:14" ht="14.25" customHeight="1">
      <c r="M3490"/>
      <c r="N3490"/>
    </row>
    <row r="3491" spans="13:14" ht="14.25" customHeight="1">
      <c r="M3491"/>
      <c r="N3491"/>
    </row>
    <row r="3492" spans="13:14" ht="14.25" customHeight="1">
      <c r="M3492"/>
      <c r="N3492"/>
    </row>
    <row r="3493" spans="13:14" ht="14.25" customHeight="1">
      <c r="M3493"/>
      <c r="N3493"/>
    </row>
    <row r="3494" spans="13:14" ht="14.25" customHeight="1">
      <c r="M3494"/>
      <c r="N3494"/>
    </row>
    <row r="3495" spans="13:14" ht="14.25" customHeight="1">
      <c r="M3495"/>
      <c r="N3495"/>
    </row>
    <row r="3496" spans="13:14" ht="14.25" customHeight="1">
      <c r="M3496"/>
      <c r="N3496"/>
    </row>
    <row r="3497" spans="13:14" ht="14.25" customHeight="1">
      <c r="M3497"/>
      <c r="N3497"/>
    </row>
    <row r="3498" spans="13:14" ht="14.25" customHeight="1">
      <c r="M3498"/>
      <c r="N3498"/>
    </row>
    <row r="3499" spans="13:14" ht="14.25" customHeight="1">
      <c r="M3499"/>
      <c r="N3499"/>
    </row>
    <row r="3500" spans="13:14" ht="14.25" customHeight="1">
      <c r="M3500"/>
      <c r="N3500"/>
    </row>
    <row r="3501" spans="13:14" ht="14.25" customHeight="1">
      <c r="M3501"/>
      <c r="N3501"/>
    </row>
    <row r="3502" spans="13:14" ht="14.25" customHeight="1">
      <c r="M3502"/>
      <c r="N3502"/>
    </row>
    <row r="3503" spans="13:14" ht="14.25" customHeight="1">
      <c r="M3503"/>
      <c r="N3503"/>
    </row>
    <row r="3504" spans="13:14" ht="14.25" customHeight="1">
      <c r="M3504"/>
      <c r="N3504"/>
    </row>
    <row r="3505" spans="13:14" ht="14.25" customHeight="1">
      <c r="M3505"/>
      <c r="N3505"/>
    </row>
    <row r="3506" spans="13:14" ht="14.25" customHeight="1">
      <c r="M3506"/>
      <c r="N3506"/>
    </row>
    <row r="3507" spans="13:14" ht="14.25" customHeight="1">
      <c r="M3507"/>
      <c r="N3507"/>
    </row>
    <row r="3508" spans="13:14" ht="14.25" customHeight="1">
      <c r="M3508"/>
      <c r="N3508"/>
    </row>
    <row r="3509" spans="13:14" ht="14.25" customHeight="1">
      <c r="M3509"/>
      <c r="N3509"/>
    </row>
    <row r="3510" spans="13:14" ht="14.25" customHeight="1">
      <c r="M3510"/>
      <c r="N3510"/>
    </row>
    <row r="3511" spans="13:14" ht="14.25" customHeight="1">
      <c r="M3511"/>
      <c r="N3511"/>
    </row>
    <row r="3512" spans="13:14" ht="14.25" customHeight="1">
      <c r="M3512"/>
      <c r="N3512"/>
    </row>
    <row r="3513" spans="13:14" ht="14.25" customHeight="1">
      <c r="M3513"/>
      <c r="N3513"/>
    </row>
    <row r="3514" spans="13:14" ht="14.25" customHeight="1">
      <c r="M3514"/>
      <c r="N3514"/>
    </row>
    <row r="3515" spans="13:14" ht="14.25" customHeight="1">
      <c r="M3515"/>
      <c r="N3515"/>
    </row>
    <row r="3516" spans="13:14" ht="14.25" customHeight="1">
      <c r="M3516"/>
      <c r="N3516"/>
    </row>
    <row r="3517" spans="13:14" ht="14.25" customHeight="1">
      <c r="M3517"/>
      <c r="N3517"/>
    </row>
    <row r="3518" spans="13:14" ht="14.25" customHeight="1">
      <c r="M3518"/>
      <c r="N3518"/>
    </row>
    <row r="3519" spans="13:14" ht="14.25" customHeight="1">
      <c r="M3519"/>
      <c r="N3519"/>
    </row>
    <row r="3520" spans="13:14" ht="14.25" customHeight="1">
      <c r="M3520"/>
      <c r="N3520"/>
    </row>
    <row r="3521" spans="13:14" ht="14.25" customHeight="1">
      <c r="M3521"/>
      <c r="N3521"/>
    </row>
    <row r="3522" spans="13:14" ht="14.25" customHeight="1">
      <c r="M3522"/>
      <c r="N3522"/>
    </row>
    <row r="3523" spans="13:14" ht="14.25" customHeight="1">
      <c r="M3523"/>
      <c r="N3523"/>
    </row>
    <row r="3524" spans="13:14" ht="14.25" customHeight="1">
      <c r="M3524"/>
      <c r="N3524"/>
    </row>
    <row r="3525" spans="13:14" ht="14.25" customHeight="1">
      <c r="M3525"/>
      <c r="N3525"/>
    </row>
    <row r="3526" spans="13:14" ht="14.25" customHeight="1">
      <c r="M3526"/>
      <c r="N3526"/>
    </row>
    <row r="3527" spans="13:14" ht="14.25" customHeight="1">
      <c r="M3527"/>
      <c r="N3527"/>
    </row>
    <row r="3528" spans="13:14" ht="14.25" customHeight="1">
      <c r="M3528"/>
      <c r="N3528"/>
    </row>
    <row r="3529" spans="13:14" ht="14.25" customHeight="1">
      <c r="M3529"/>
      <c r="N3529"/>
    </row>
    <row r="3530" spans="13:14" ht="14.25" customHeight="1">
      <c r="M3530"/>
      <c r="N3530"/>
    </row>
    <row r="3531" spans="13:14" ht="14.25" customHeight="1">
      <c r="M3531"/>
      <c r="N3531"/>
    </row>
    <row r="3532" spans="13:14" ht="14.25" customHeight="1">
      <c r="M3532"/>
      <c r="N3532"/>
    </row>
    <row r="3533" spans="13:14" ht="14.25" customHeight="1">
      <c r="M3533"/>
      <c r="N3533"/>
    </row>
    <row r="3534" spans="13:14" ht="14.25" customHeight="1">
      <c r="M3534"/>
      <c r="N3534"/>
    </row>
    <row r="3535" spans="13:14" ht="14.25" customHeight="1">
      <c r="M3535"/>
      <c r="N3535"/>
    </row>
    <row r="3536" spans="13:14" ht="14.25" customHeight="1">
      <c r="M3536"/>
      <c r="N3536"/>
    </row>
    <row r="3537" spans="13:14" ht="14.25" customHeight="1">
      <c r="M3537"/>
      <c r="N3537"/>
    </row>
    <row r="3538" spans="13:14" ht="14.25" customHeight="1">
      <c r="M3538"/>
      <c r="N3538"/>
    </row>
    <row r="3539" spans="13:14" ht="14.25" customHeight="1">
      <c r="M3539"/>
      <c r="N3539"/>
    </row>
    <row r="3540" spans="13:14" ht="14.25" customHeight="1">
      <c r="M3540"/>
      <c r="N3540"/>
    </row>
    <row r="3541" spans="13:14" ht="14.25" customHeight="1">
      <c r="M3541"/>
      <c r="N3541"/>
    </row>
    <row r="3542" spans="13:14" ht="14.25" customHeight="1">
      <c r="M3542"/>
      <c r="N3542"/>
    </row>
    <row r="3543" spans="13:14" ht="14.25" customHeight="1">
      <c r="M3543"/>
      <c r="N3543"/>
    </row>
    <row r="3544" spans="13:14" ht="14.25" customHeight="1">
      <c r="M3544"/>
      <c r="N3544"/>
    </row>
    <row r="3545" spans="13:14" ht="14.25" customHeight="1">
      <c r="M3545"/>
      <c r="N3545"/>
    </row>
    <row r="3546" spans="13:14" ht="14.25" customHeight="1">
      <c r="M3546"/>
      <c r="N3546"/>
    </row>
    <row r="3547" spans="13:14" ht="14.25" customHeight="1">
      <c r="M3547"/>
      <c r="N3547"/>
    </row>
    <row r="3548" spans="13:14" ht="14.25" customHeight="1">
      <c r="M3548"/>
      <c r="N3548"/>
    </row>
    <row r="3549" spans="13:14" ht="14.25" customHeight="1">
      <c r="M3549"/>
      <c r="N3549"/>
    </row>
    <row r="3550" spans="13:14" ht="14.25" customHeight="1">
      <c r="M3550"/>
      <c r="N3550"/>
    </row>
    <row r="3551" spans="13:14" ht="14.25" customHeight="1">
      <c r="M3551"/>
      <c r="N3551"/>
    </row>
    <row r="3552" spans="13:14" ht="14.25" customHeight="1">
      <c r="M3552"/>
      <c r="N3552"/>
    </row>
    <row r="3553" spans="13:14" ht="14.25" customHeight="1">
      <c r="M3553"/>
      <c r="N3553"/>
    </row>
    <row r="3554" spans="13:14" ht="14.25" customHeight="1">
      <c r="M3554"/>
      <c r="N3554"/>
    </row>
    <row r="3555" spans="13:14" ht="14.25" customHeight="1">
      <c r="M3555"/>
      <c r="N3555"/>
    </row>
    <row r="3556" spans="13:14" ht="14.25" customHeight="1">
      <c r="M3556"/>
      <c r="N3556"/>
    </row>
    <row r="3557" spans="13:14" ht="14.25" customHeight="1">
      <c r="M3557"/>
      <c r="N3557"/>
    </row>
    <row r="3558" spans="13:14" ht="14.25" customHeight="1">
      <c r="M3558"/>
      <c r="N3558"/>
    </row>
    <row r="3559" spans="13:14" ht="14.25" customHeight="1">
      <c r="M3559"/>
      <c r="N3559"/>
    </row>
    <row r="3560" spans="13:14" ht="14.25" customHeight="1">
      <c r="M3560"/>
      <c r="N3560"/>
    </row>
    <row r="3561" spans="13:14" ht="14.25" customHeight="1">
      <c r="M3561"/>
      <c r="N3561"/>
    </row>
    <row r="3562" spans="13:14" ht="14.25" customHeight="1">
      <c r="M3562"/>
      <c r="N3562"/>
    </row>
    <row r="3563" spans="13:14" ht="14.25" customHeight="1">
      <c r="M3563"/>
      <c r="N3563"/>
    </row>
    <row r="3564" spans="13:14" ht="14.25" customHeight="1">
      <c r="M3564"/>
      <c r="N3564"/>
    </row>
    <row r="3565" spans="13:14" ht="14.25" customHeight="1">
      <c r="M3565"/>
      <c r="N3565"/>
    </row>
    <row r="3566" spans="13:14" ht="14.25" customHeight="1">
      <c r="M3566"/>
      <c r="N3566"/>
    </row>
    <row r="3567" spans="13:14" ht="14.25" customHeight="1">
      <c r="M3567"/>
      <c r="N3567"/>
    </row>
    <row r="3568" spans="13:14" ht="14.25" customHeight="1">
      <c r="M3568"/>
      <c r="N3568"/>
    </row>
    <row r="3569" spans="13:14" ht="14.25" customHeight="1">
      <c r="M3569"/>
      <c r="N3569"/>
    </row>
    <row r="3570" spans="13:14" ht="14.25" customHeight="1">
      <c r="M3570"/>
      <c r="N3570"/>
    </row>
    <row r="3571" spans="13:14" ht="14.25" customHeight="1">
      <c r="M3571"/>
      <c r="N3571"/>
    </row>
    <row r="3572" spans="13:14" ht="14.25" customHeight="1">
      <c r="M3572"/>
      <c r="N3572"/>
    </row>
    <row r="3573" spans="13:14" ht="14.25" customHeight="1">
      <c r="M3573"/>
      <c r="N3573"/>
    </row>
    <row r="3574" spans="13:14" ht="14.25" customHeight="1">
      <c r="M3574"/>
      <c r="N3574"/>
    </row>
    <row r="3575" spans="13:14" ht="14.25" customHeight="1">
      <c r="M3575"/>
      <c r="N3575"/>
    </row>
    <row r="3576" spans="13:14" ht="14.25" customHeight="1">
      <c r="M3576"/>
      <c r="N3576"/>
    </row>
    <row r="3577" spans="13:14" ht="14.25" customHeight="1">
      <c r="M3577"/>
      <c r="N3577"/>
    </row>
    <row r="3578" spans="13:14" ht="14.25" customHeight="1">
      <c r="M3578"/>
      <c r="N3578"/>
    </row>
    <row r="3579" spans="13:14" ht="14.25" customHeight="1">
      <c r="M3579"/>
      <c r="N3579"/>
    </row>
    <row r="3580" spans="13:14" ht="14.25" customHeight="1">
      <c r="M3580"/>
      <c r="N3580"/>
    </row>
    <row r="3581" spans="13:14" ht="14.25" customHeight="1">
      <c r="M3581"/>
      <c r="N3581"/>
    </row>
    <row r="3582" spans="13:14" ht="14.25" customHeight="1">
      <c r="M3582"/>
      <c r="N3582"/>
    </row>
    <row r="3583" spans="13:14" ht="14.25" customHeight="1">
      <c r="M3583"/>
      <c r="N3583"/>
    </row>
    <row r="3584" spans="13:14" ht="14.25" customHeight="1">
      <c r="M3584"/>
      <c r="N3584"/>
    </row>
    <row r="3585" spans="13:14" ht="14.25" customHeight="1">
      <c r="M3585"/>
      <c r="N3585"/>
    </row>
    <row r="3586" spans="13:14" ht="14.25" customHeight="1">
      <c r="M3586"/>
      <c r="N3586"/>
    </row>
    <row r="3587" spans="13:14" ht="14.25" customHeight="1">
      <c r="M3587"/>
      <c r="N3587"/>
    </row>
    <row r="3588" spans="13:14" ht="14.25" customHeight="1">
      <c r="M3588"/>
      <c r="N3588"/>
    </row>
    <row r="3589" spans="13:14" ht="14.25" customHeight="1">
      <c r="M3589"/>
      <c r="N3589"/>
    </row>
    <row r="3590" spans="13:14" ht="14.25" customHeight="1">
      <c r="M3590"/>
      <c r="N3590"/>
    </row>
    <row r="3591" spans="13:14" ht="14.25" customHeight="1">
      <c r="M3591"/>
      <c r="N3591"/>
    </row>
    <row r="3592" spans="13:14" ht="14.25" customHeight="1">
      <c r="M3592"/>
      <c r="N3592"/>
    </row>
    <row r="3593" spans="13:14" ht="14.25" customHeight="1">
      <c r="M3593"/>
      <c r="N3593"/>
    </row>
    <row r="3594" spans="13:14" ht="14.25" customHeight="1">
      <c r="M3594"/>
      <c r="N3594"/>
    </row>
    <row r="3595" spans="13:14" ht="14.25" customHeight="1">
      <c r="M3595"/>
      <c r="N3595"/>
    </row>
    <row r="3596" spans="13:14" ht="14.25" customHeight="1">
      <c r="M3596"/>
      <c r="N3596"/>
    </row>
    <row r="3597" spans="13:14" ht="14.25" customHeight="1">
      <c r="M3597"/>
      <c r="N3597"/>
    </row>
    <row r="3598" spans="13:14" ht="14.25" customHeight="1">
      <c r="M3598"/>
      <c r="N3598"/>
    </row>
    <row r="3599" spans="13:14" ht="14.25" customHeight="1">
      <c r="M3599"/>
      <c r="N3599"/>
    </row>
    <row r="3600" spans="13:14" ht="14.25" customHeight="1">
      <c r="M3600"/>
      <c r="N3600"/>
    </row>
    <row r="3601" spans="13:14" ht="14.25" customHeight="1">
      <c r="M3601"/>
      <c r="N3601"/>
    </row>
    <row r="3602" spans="13:14" ht="14.25" customHeight="1">
      <c r="M3602"/>
      <c r="N3602"/>
    </row>
    <row r="3603" spans="13:14" ht="14.25" customHeight="1">
      <c r="M3603"/>
      <c r="N3603"/>
    </row>
    <row r="3604" spans="13:14" ht="14.25" customHeight="1">
      <c r="M3604"/>
      <c r="N3604"/>
    </row>
    <row r="3605" spans="13:14" ht="14.25" customHeight="1">
      <c r="M3605"/>
      <c r="N3605"/>
    </row>
    <row r="3606" spans="13:14" ht="14.25" customHeight="1">
      <c r="M3606"/>
      <c r="N3606"/>
    </row>
    <row r="3607" spans="13:14" ht="14.25" customHeight="1">
      <c r="M3607"/>
      <c r="N3607"/>
    </row>
    <row r="3608" spans="13:14" ht="14.25" customHeight="1">
      <c r="M3608"/>
      <c r="N3608"/>
    </row>
    <row r="3609" spans="13:14" ht="14.25" customHeight="1">
      <c r="M3609"/>
      <c r="N3609"/>
    </row>
    <row r="3610" spans="13:14" ht="14.25" customHeight="1">
      <c r="M3610"/>
      <c r="N3610"/>
    </row>
    <row r="3611" spans="13:14" ht="14.25" customHeight="1">
      <c r="M3611"/>
      <c r="N3611"/>
    </row>
    <row r="3612" spans="13:14" ht="14.25" customHeight="1">
      <c r="M3612"/>
      <c r="N3612"/>
    </row>
    <row r="3613" spans="13:14" ht="14.25" customHeight="1">
      <c r="M3613"/>
      <c r="N3613"/>
    </row>
    <row r="3614" spans="13:14" ht="14.25" customHeight="1">
      <c r="M3614"/>
      <c r="N3614"/>
    </row>
    <row r="3615" spans="13:14" ht="14.25" customHeight="1">
      <c r="M3615"/>
      <c r="N3615"/>
    </row>
    <row r="3616" spans="13:14" ht="14.25" customHeight="1">
      <c r="M3616"/>
      <c r="N3616"/>
    </row>
    <row r="3617" spans="13:14" ht="14.25" customHeight="1">
      <c r="M3617"/>
      <c r="N3617"/>
    </row>
    <row r="3618" spans="13:14" ht="14.25" customHeight="1">
      <c r="M3618"/>
      <c r="N3618"/>
    </row>
    <row r="3619" spans="13:14" ht="14.25" customHeight="1">
      <c r="M3619"/>
      <c r="N3619"/>
    </row>
    <row r="3620" spans="13:14" ht="14.25" customHeight="1">
      <c r="M3620"/>
      <c r="N3620"/>
    </row>
    <row r="3621" spans="13:14" ht="14.25" customHeight="1">
      <c r="M3621"/>
      <c r="N3621"/>
    </row>
    <row r="3622" spans="13:14" ht="14.25" customHeight="1">
      <c r="M3622"/>
      <c r="N3622"/>
    </row>
    <row r="3623" spans="13:14" ht="14.25" customHeight="1">
      <c r="M3623"/>
      <c r="N3623"/>
    </row>
    <row r="3624" spans="13:14" ht="14.25" customHeight="1">
      <c r="M3624"/>
      <c r="N3624"/>
    </row>
    <row r="3625" spans="13:14" ht="14.25" customHeight="1">
      <c r="M3625"/>
      <c r="N3625"/>
    </row>
    <row r="3626" spans="13:14" ht="14.25" customHeight="1">
      <c r="M3626"/>
      <c r="N3626"/>
    </row>
    <row r="3627" spans="13:14" ht="14.25" customHeight="1">
      <c r="M3627"/>
      <c r="N3627"/>
    </row>
    <row r="3628" spans="13:14" ht="14.25" customHeight="1">
      <c r="M3628"/>
      <c r="N3628"/>
    </row>
    <row r="3629" spans="13:14" ht="14.25" customHeight="1">
      <c r="M3629"/>
      <c r="N3629"/>
    </row>
    <row r="3630" spans="13:14" ht="14.25" customHeight="1">
      <c r="M3630"/>
      <c r="N3630"/>
    </row>
    <row r="3631" spans="13:14" ht="14.25" customHeight="1">
      <c r="M3631"/>
      <c r="N3631"/>
    </row>
    <row r="3632" spans="13:14" ht="14.25" customHeight="1">
      <c r="M3632"/>
      <c r="N3632"/>
    </row>
    <row r="3633" spans="13:14" ht="14.25" customHeight="1">
      <c r="M3633"/>
      <c r="N3633"/>
    </row>
    <row r="3634" spans="13:14" ht="14.25" customHeight="1">
      <c r="M3634"/>
      <c r="N3634"/>
    </row>
    <row r="3635" spans="13:14" ht="14.25" customHeight="1">
      <c r="M3635"/>
      <c r="N3635"/>
    </row>
    <row r="3636" spans="13:14" ht="14.25" customHeight="1">
      <c r="M3636"/>
      <c r="N3636"/>
    </row>
    <row r="3637" spans="13:14" ht="14.25" customHeight="1">
      <c r="M3637"/>
      <c r="N3637"/>
    </row>
    <row r="3638" spans="13:14" ht="14.25" customHeight="1">
      <c r="M3638"/>
      <c r="N3638"/>
    </row>
    <row r="3639" spans="13:14" ht="14.25" customHeight="1">
      <c r="M3639"/>
      <c r="N3639"/>
    </row>
    <row r="3640" spans="13:14" ht="14.25" customHeight="1">
      <c r="M3640"/>
      <c r="N3640"/>
    </row>
    <row r="3641" spans="13:14" ht="14.25" customHeight="1">
      <c r="M3641"/>
      <c r="N3641"/>
    </row>
    <row r="3642" spans="13:14" ht="14.25" customHeight="1">
      <c r="M3642"/>
      <c r="N3642"/>
    </row>
    <row r="3643" spans="13:14" ht="14.25" customHeight="1">
      <c r="M3643"/>
      <c r="N3643"/>
    </row>
    <row r="3644" spans="13:14" ht="14.25" customHeight="1">
      <c r="M3644"/>
      <c r="N3644"/>
    </row>
    <row r="3645" spans="13:14" ht="14.25" customHeight="1">
      <c r="M3645"/>
      <c r="N3645"/>
    </row>
    <row r="3646" spans="13:14" ht="14.25" customHeight="1">
      <c r="M3646"/>
      <c r="N3646"/>
    </row>
    <row r="3647" spans="13:14" ht="14.25" customHeight="1">
      <c r="M3647"/>
      <c r="N3647"/>
    </row>
    <row r="3648" spans="13:14" ht="14.25" customHeight="1">
      <c r="M3648"/>
      <c r="N3648"/>
    </row>
    <row r="3649" spans="13:14" ht="14.25" customHeight="1">
      <c r="M3649"/>
      <c r="N3649"/>
    </row>
    <row r="3650" spans="13:14" ht="14.25" customHeight="1">
      <c r="M3650"/>
      <c r="N3650"/>
    </row>
    <row r="3651" spans="13:14" ht="14.25" customHeight="1">
      <c r="M3651"/>
      <c r="N3651"/>
    </row>
    <row r="3652" spans="13:14" ht="14.25" customHeight="1">
      <c r="M3652"/>
      <c r="N3652"/>
    </row>
    <row r="3653" spans="13:14" ht="14.25" customHeight="1">
      <c r="M3653"/>
      <c r="N3653"/>
    </row>
    <row r="3654" spans="13:14" ht="14.25" customHeight="1">
      <c r="M3654"/>
      <c r="N3654"/>
    </row>
    <row r="3655" spans="13:14" ht="14.25" customHeight="1">
      <c r="M3655"/>
      <c r="N3655"/>
    </row>
    <row r="3656" spans="13:14" ht="14.25" customHeight="1">
      <c r="M3656"/>
      <c r="N3656"/>
    </row>
    <row r="3657" spans="13:14" ht="14.25" customHeight="1">
      <c r="M3657"/>
      <c r="N3657"/>
    </row>
    <row r="3658" spans="13:14" ht="14.25" customHeight="1">
      <c r="M3658"/>
      <c r="N3658"/>
    </row>
    <row r="3659" spans="13:14" ht="14.25" customHeight="1">
      <c r="M3659"/>
      <c r="N3659"/>
    </row>
    <row r="3660" spans="13:14" ht="14.25" customHeight="1">
      <c r="M3660"/>
      <c r="N3660"/>
    </row>
    <row r="3661" spans="13:14" ht="14.25" customHeight="1">
      <c r="M3661"/>
      <c r="N3661"/>
    </row>
    <row r="3662" spans="13:14" ht="14.25" customHeight="1">
      <c r="M3662"/>
      <c r="N3662"/>
    </row>
    <row r="3663" spans="13:14" ht="14.25" customHeight="1">
      <c r="M3663"/>
      <c r="N3663"/>
    </row>
    <row r="3664" spans="13:14" ht="14.25" customHeight="1">
      <c r="M3664"/>
      <c r="N3664"/>
    </row>
    <row r="3665" spans="13:14" ht="14.25" customHeight="1">
      <c r="M3665"/>
      <c r="N3665"/>
    </row>
    <row r="3666" spans="13:14" ht="14.25" customHeight="1">
      <c r="M3666"/>
      <c r="N3666"/>
    </row>
    <row r="3667" spans="13:14" ht="14.25" customHeight="1">
      <c r="M3667"/>
      <c r="N3667"/>
    </row>
    <row r="3668" spans="13:14" ht="14.25" customHeight="1">
      <c r="M3668"/>
      <c r="N3668"/>
    </row>
    <row r="3669" spans="13:14" ht="14.25" customHeight="1">
      <c r="M3669"/>
      <c r="N3669"/>
    </row>
    <row r="3670" spans="13:14" ht="14.25" customHeight="1">
      <c r="M3670"/>
      <c r="N3670"/>
    </row>
    <row r="3671" spans="13:14" ht="14.25" customHeight="1">
      <c r="M3671"/>
      <c r="N3671"/>
    </row>
    <row r="3672" spans="13:14" ht="14.25" customHeight="1">
      <c r="M3672"/>
      <c r="N3672"/>
    </row>
    <row r="3673" spans="13:14" ht="14.25" customHeight="1">
      <c r="M3673"/>
      <c r="N3673"/>
    </row>
    <row r="3674" spans="13:14" ht="14.25" customHeight="1">
      <c r="M3674"/>
      <c r="N3674"/>
    </row>
    <row r="3675" spans="13:14" ht="14.25" customHeight="1">
      <c r="M3675"/>
      <c r="N3675"/>
    </row>
    <row r="3676" spans="13:14" ht="14.25" customHeight="1">
      <c r="M3676"/>
      <c r="N3676"/>
    </row>
    <row r="3677" spans="13:14" ht="14.25" customHeight="1">
      <c r="M3677"/>
      <c r="N3677"/>
    </row>
    <row r="3678" spans="13:14" ht="14.25" customHeight="1">
      <c r="M3678"/>
      <c r="N3678"/>
    </row>
    <row r="3679" spans="13:14" ht="14.25" customHeight="1">
      <c r="M3679"/>
      <c r="N3679"/>
    </row>
    <row r="3680" spans="13:14" ht="14.25" customHeight="1">
      <c r="M3680"/>
      <c r="N3680"/>
    </row>
    <row r="3681" spans="13:14" ht="14.25" customHeight="1">
      <c r="M3681"/>
      <c r="N3681"/>
    </row>
    <row r="3682" spans="13:14" ht="14.25" customHeight="1">
      <c r="M3682"/>
      <c r="N3682"/>
    </row>
    <row r="3683" spans="13:14" ht="14.25" customHeight="1">
      <c r="M3683"/>
      <c r="N3683"/>
    </row>
    <row r="3684" spans="13:14" ht="14.25" customHeight="1">
      <c r="M3684"/>
      <c r="N3684"/>
    </row>
    <row r="3685" spans="13:14" ht="14.25" customHeight="1">
      <c r="M3685"/>
      <c r="N3685"/>
    </row>
    <row r="3686" spans="13:14" ht="14.25" customHeight="1">
      <c r="M3686"/>
      <c r="N3686"/>
    </row>
    <row r="3687" spans="13:14" ht="14.25" customHeight="1">
      <c r="M3687"/>
      <c r="N3687"/>
    </row>
    <row r="3688" spans="13:14" ht="14.25" customHeight="1">
      <c r="M3688"/>
      <c r="N3688"/>
    </row>
    <row r="3689" spans="13:14" ht="14.25" customHeight="1">
      <c r="M3689"/>
      <c r="N3689"/>
    </row>
    <row r="3690" spans="13:14" ht="14.25" customHeight="1">
      <c r="M3690"/>
      <c r="N3690"/>
    </row>
    <row r="3691" spans="13:14" ht="14.25" customHeight="1">
      <c r="M3691"/>
      <c r="N3691"/>
    </row>
    <row r="3692" spans="13:14" ht="14.25" customHeight="1">
      <c r="M3692"/>
      <c r="N3692"/>
    </row>
    <row r="3693" spans="13:14" ht="14.25" customHeight="1">
      <c r="M3693"/>
      <c r="N3693"/>
    </row>
    <row r="3694" spans="13:14" ht="14.25" customHeight="1">
      <c r="M3694"/>
      <c r="N3694"/>
    </row>
    <row r="3695" spans="13:14" ht="14.25" customHeight="1">
      <c r="M3695"/>
      <c r="N3695"/>
    </row>
    <row r="3696" spans="13:14" ht="14.25" customHeight="1">
      <c r="M3696"/>
      <c r="N3696"/>
    </row>
    <row r="3697" spans="13:14" ht="14.25" customHeight="1">
      <c r="M3697"/>
      <c r="N3697"/>
    </row>
    <row r="3698" spans="13:14" ht="14.25" customHeight="1">
      <c r="M3698"/>
      <c r="N3698"/>
    </row>
    <row r="3699" spans="13:14" ht="14.25" customHeight="1">
      <c r="M3699"/>
      <c r="N3699"/>
    </row>
    <row r="3700" spans="13:14" ht="14.25" customHeight="1">
      <c r="M3700"/>
      <c r="N3700"/>
    </row>
    <row r="3701" spans="13:14" ht="14.25" customHeight="1">
      <c r="M3701"/>
      <c r="N3701"/>
    </row>
    <row r="3702" spans="13:14" ht="14.25" customHeight="1">
      <c r="M3702"/>
      <c r="N3702"/>
    </row>
    <row r="3703" spans="13:14" ht="14.25" customHeight="1">
      <c r="M3703"/>
      <c r="N3703"/>
    </row>
    <row r="3704" spans="13:14" ht="14.25" customHeight="1">
      <c r="M3704"/>
      <c r="N3704"/>
    </row>
    <row r="3705" spans="13:14" ht="14.25" customHeight="1">
      <c r="M3705"/>
      <c r="N3705"/>
    </row>
    <row r="3706" spans="13:14" ht="14.25" customHeight="1">
      <c r="M3706"/>
      <c r="N3706"/>
    </row>
    <row r="3707" spans="13:14" ht="14.25" customHeight="1">
      <c r="M3707"/>
      <c r="N3707"/>
    </row>
    <row r="3708" spans="13:14" ht="14.25" customHeight="1">
      <c r="M3708"/>
      <c r="N3708"/>
    </row>
    <row r="3709" spans="13:14" ht="14.25" customHeight="1">
      <c r="M3709"/>
      <c r="N3709"/>
    </row>
    <row r="3710" spans="13:14" ht="14.25" customHeight="1">
      <c r="M3710"/>
      <c r="N3710"/>
    </row>
    <row r="3711" spans="13:14" ht="14.25" customHeight="1">
      <c r="M3711"/>
      <c r="N3711"/>
    </row>
    <row r="3712" spans="13:14" ht="14.25" customHeight="1">
      <c r="M3712"/>
      <c r="N3712"/>
    </row>
    <row r="3713" spans="13:14" ht="14.25" customHeight="1">
      <c r="M3713"/>
      <c r="N3713"/>
    </row>
    <row r="3714" spans="13:14" ht="14.25" customHeight="1">
      <c r="M3714"/>
      <c r="N3714"/>
    </row>
    <row r="3715" spans="13:14" ht="14.25" customHeight="1">
      <c r="M3715"/>
      <c r="N3715"/>
    </row>
    <row r="3716" spans="13:14" ht="14.25" customHeight="1">
      <c r="M3716"/>
      <c r="N3716"/>
    </row>
    <row r="3717" spans="13:14" ht="14.25" customHeight="1">
      <c r="M3717"/>
      <c r="N3717"/>
    </row>
    <row r="3718" spans="13:14" ht="14.25" customHeight="1">
      <c r="M3718"/>
      <c r="N3718"/>
    </row>
    <row r="3719" spans="13:14" ht="14.25" customHeight="1">
      <c r="M3719"/>
      <c r="N3719"/>
    </row>
    <row r="3720" spans="13:14" ht="14.25" customHeight="1">
      <c r="M3720"/>
      <c r="N3720"/>
    </row>
    <row r="3721" spans="13:14" ht="14.25" customHeight="1">
      <c r="M3721"/>
      <c r="N3721"/>
    </row>
    <row r="3722" spans="13:14" ht="14.25" customHeight="1">
      <c r="M3722"/>
      <c r="N3722"/>
    </row>
    <row r="3723" spans="13:14" ht="14.25" customHeight="1">
      <c r="M3723"/>
      <c r="N3723"/>
    </row>
    <row r="3724" spans="13:14" ht="14.25" customHeight="1">
      <c r="M3724"/>
      <c r="N3724"/>
    </row>
    <row r="3725" spans="13:14" ht="14.25" customHeight="1">
      <c r="M3725"/>
      <c r="N3725"/>
    </row>
    <row r="3726" spans="13:14" ht="14.25" customHeight="1">
      <c r="M3726"/>
      <c r="N3726"/>
    </row>
    <row r="3727" spans="13:14" ht="14.25" customHeight="1">
      <c r="M3727"/>
      <c r="N3727"/>
    </row>
    <row r="3728" spans="13:14" ht="14.25" customHeight="1">
      <c r="M3728"/>
      <c r="N3728"/>
    </row>
    <row r="3729" spans="13:14" ht="14.25" customHeight="1">
      <c r="M3729"/>
      <c r="N3729"/>
    </row>
    <row r="3730" spans="13:14" ht="14.25" customHeight="1">
      <c r="M3730"/>
      <c r="N3730"/>
    </row>
    <row r="3731" spans="13:14" ht="14.25" customHeight="1">
      <c r="M3731"/>
      <c r="N3731"/>
    </row>
    <row r="3732" spans="13:14" ht="14.25" customHeight="1">
      <c r="M3732"/>
      <c r="N3732"/>
    </row>
    <row r="3733" spans="13:14" ht="14.25" customHeight="1">
      <c r="M3733"/>
      <c r="N3733"/>
    </row>
    <row r="3734" spans="13:14" ht="14.25" customHeight="1">
      <c r="M3734"/>
      <c r="N3734"/>
    </row>
    <row r="3735" spans="13:14" ht="14.25" customHeight="1">
      <c r="M3735"/>
      <c r="N3735"/>
    </row>
    <row r="3736" spans="13:14" ht="14.25" customHeight="1">
      <c r="M3736"/>
      <c r="N3736"/>
    </row>
    <row r="3737" spans="13:14" ht="14.25" customHeight="1">
      <c r="M3737"/>
      <c r="N3737"/>
    </row>
    <row r="3738" spans="13:14" ht="14.25" customHeight="1">
      <c r="M3738"/>
      <c r="N3738"/>
    </row>
    <row r="3739" spans="13:14" ht="14.25" customHeight="1">
      <c r="M3739"/>
      <c r="N3739"/>
    </row>
    <row r="3740" spans="13:14" ht="14.25" customHeight="1">
      <c r="M3740"/>
      <c r="N3740"/>
    </row>
    <row r="3741" spans="13:14" ht="14.25" customHeight="1">
      <c r="M3741"/>
      <c r="N3741"/>
    </row>
    <row r="3742" spans="13:14" ht="14.25" customHeight="1">
      <c r="M3742"/>
      <c r="N3742"/>
    </row>
    <row r="3743" spans="13:14" ht="14.25" customHeight="1">
      <c r="M3743"/>
      <c r="N3743"/>
    </row>
    <row r="3744" spans="13:14" ht="14.25" customHeight="1">
      <c r="M3744"/>
      <c r="N3744"/>
    </row>
    <row r="3745" spans="13:14" ht="14.25" customHeight="1">
      <c r="M3745"/>
      <c r="N3745"/>
    </row>
    <row r="3746" spans="13:14" ht="14.25" customHeight="1">
      <c r="M3746"/>
      <c r="N3746"/>
    </row>
    <row r="3747" spans="13:14" ht="14.25" customHeight="1">
      <c r="M3747"/>
      <c r="N3747"/>
    </row>
    <row r="3748" spans="13:14" ht="14.25" customHeight="1">
      <c r="M3748"/>
      <c r="N3748"/>
    </row>
    <row r="3749" spans="13:14" ht="14.25" customHeight="1">
      <c r="M3749"/>
      <c r="N3749"/>
    </row>
    <row r="3750" spans="13:14" ht="14.25" customHeight="1">
      <c r="M3750"/>
      <c r="N3750"/>
    </row>
    <row r="3751" spans="13:14" ht="14.25" customHeight="1">
      <c r="M3751"/>
      <c r="N3751"/>
    </row>
    <row r="3752" spans="13:14" ht="14.25" customHeight="1">
      <c r="M3752"/>
      <c r="N3752"/>
    </row>
    <row r="3753" spans="13:14" ht="14.25" customHeight="1">
      <c r="M3753"/>
      <c r="N3753"/>
    </row>
    <row r="3754" spans="13:14" ht="14.25" customHeight="1">
      <c r="M3754"/>
      <c r="N3754"/>
    </row>
    <row r="3755" spans="13:14" ht="14.25" customHeight="1">
      <c r="M3755"/>
      <c r="N3755"/>
    </row>
    <row r="3756" spans="13:14" ht="14.25" customHeight="1">
      <c r="M3756"/>
      <c r="N3756"/>
    </row>
    <row r="3757" spans="13:14" ht="14.25" customHeight="1">
      <c r="M3757"/>
      <c r="N3757"/>
    </row>
    <row r="3758" spans="13:14" ht="14.25" customHeight="1">
      <c r="M3758"/>
      <c r="N3758"/>
    </row>
    <row r="3759" spans="13:14" ht="14.25" customHeight="1">
      <c r="M3759"/>
      <c r="N3759"/>
    </row>
    <row r="3760" spans="13:14" ht="14.25" customHeight="1">
      <c r="M3760"/>
      <c r="N3760"/>
    </row>
    <row r="3761" spans="13:14" ht="14.25" customHeight="1">
      <c r="M3761"/>
      <c r="N3761"/>
    </row>
    <row r="3762" spans="13:14" ht="14.25" customHeight="1">
      <c r="M3762"/>
      <c r="N3762"/>
    </row>
    <row r="3763" spans="13:14" ht="14.25" customHeight="1">
      <c r="M3763"/>
      <c r="N3763"/>
    </row>
    <row r="3764" spans="13:14" ht="14.25" customHeight="1">
      <c r="M3764"/>
      <c r="N3764"/>
    </row>
    <row r="3765" spans="13:14" ht="14.25" customHeight="1">
      <c r="M3765"/>
      <c r="N3765"/>
    </row>
    <row r="3766" spans="13:14" ht="14.25" customHeight="1">
      <c r="M3766"/>
      <c r="N3766"/>
    </row>
    <row r="3767" spans="13:14" ht="14.25" customHeight="1">
      <c r="M3767"/>
      <c r="N3767"/>
    </row>
    <row r="3768" spans="13:14" ht="14.25" customHeight="1">
      <c r="M3768"/>
      <c r="N3768"/>
    </row>
    <row r="3769" spans="13:14" ht="14.25" customHeight="1">
      <c r="M3769"/>
      <c r="N3769"/>
    </row>
    <row r="3770" spans="13:14" ht="14.25" customHeight="1">
      <c r="M3770"/>
      <c r="N3770"/>
    </row>
    <row r="3771" spans="13:14" ht="14.25" customHeight="1">
      <c r="M3771"/>
      <c r="N3771"/>
    </row>
    <row r="3772" spans="13:14" ht="14.25" customHeight="1">
      <c r="M3772"/>
      <c r="N3772"/>
    </row>
    <row r="3773" spans="13:14" ht="14.25" customHeight="1">
      <c r="M3773"/>
      <c r="N3773"/>
    </row>
    <row r="3774" spans="13:14" ht="14.25" customHeight="1">
      <c r="M3774"/>
      <c r="N3774"/>
    </row>
    <row r="3775" spans="13:14" ht="14.25" customHeight="1">
      <c r="M3775"/>
      <c r="N3775"/>
    </row>
    <row r="3776" spans="13:14" ht="14.25" customHeight="1">
      <c r="M3776"/>
      <c r="N3776"/>
    </row>
    <row r="3777" spans="13:14" ht="14.25" customHeight="1">
      <c r="M3777"/>
      <c r="N3777"/>
    </row>
    <row r="3778" spans="13:14" ht="14.25" customHeight="1">
      <c r="M3778"/>
      <c r="N3778"/>
    </row>
    <row r="3779" spans="13:14" ht="14.25" customHeight="1">
      <c r="M3779"/>
      <c r="N3779"/>
    </row>
    <row r="3780" spans="13:14" ht="14.25" customHeight="1">
      <c r="M3780"/>
      <c r="N3780"/>
    </row>
    <row r="3781" spans="13:14" ht="14.25" customHeight="1">
      <c r="M3781"/>
      <c r="N3781"/>
    </row>
    <row r="3782" spans="13:14" ht="14.25" customHeight="1">
      <c r="M3782"/>
      <c r="N3782"/>
    </row>
    <row r="3783" spans="13:14" ht="14.25" customHeight="1">
      <c r="M3783"/>
      <c r="N3783"/>
    </row>
    <row r="3784" spans="13:14" ht="14.25" customHeight="1">
      <c r="M3784"/>
      <c r="N3784"/>
    </row>
    <row r="3785" spans="13:14" ht="14.25" customHeight="1">
      <c r="M3785"/>
      <c r="N3785"/>
    </row>
    <row r="3786" spans="13:14" ht="14.25" customHeight="1">
      <c r="M3786"/>
      <c r="N3786"/>
    </row>
    <row r="3787" spans="13:14" ht="14.25" customHeight="1">
      <c r="M3787"/>
      <c r="N3787"/>
    </row>
    <row r="3788" spans="13:14" ht="14.25" customHeight="1">
      <c r="M3788"/>
      <c r="N3788"/>
    </row>
    <row r="3789" spans="13:14" ht="14.25" customHeight="1">
      <c r="M3789"/>
      <c r="N3789"/>
    </row>
    <row r="3790" spans="13:14" ht="14.25" customHeight="1">
      <c r="M3790"/>
      <c r="N3790"/>
    </row>
    <row r="3791" spans="13:14" ht="14.25" customHeight="1">
      <c r="M3791"/>
      <c r="N3791"/>
    </row>
    <row r="3792" spans="13:14" ht="14.25" customHeight="1">
      <c r="M3792"/>
      <c r="N3792"/>
    </row>
    <row r="3793" spans="13:14" ht="14.25" customHeight="1">
      <c r="M3793"/>
      <c r="N3793"/>
    </row>
    <row r="3794" spans="13:14" ht="14.25" customHeight="1">
      <c r="M3794"/>
      <c r="N3794"/>
    </row>
    <row r="3795" spans="13:14" ht="14.25" customHeight="1">
      <c r="M3795"/>
      <c r="N3795"/>
    </row>
    <row r="3796" spans="13:14" ht="14.25" customHeight="1">
      <c r="M3796"/>
      <c r="N3796"/>
    </row>
    <row r="3797" spans="13:14" ht="14.25" customHeight="1">
      <c r="M3797"/>
      <c r="N3797"/>
    </row>
    <row r="3798" spans="13:14" ht="14.25" customHeight="1">
      <c r="M3798"/>
      <c r="N3798"/>
    </row>
    <row r="3799" spans="13:14" ht="14.25" customHeight="1">
      <c r="M3799"/>
      <c r="N3799"/>
    </row>
    <row r="3800" spans="13:14" ht="14.25" customHeight="1">
      <c r="M3800"/>
      <c r="N3800"/>
    </row>
    <row r="3801" spans="13:14" ht="14.25" customHeight="1">
      <c r="M3801"/>
      <c r="N3801"/>
    </row>
    <row r="3802" spans="13:14" ht="14.25" customHeight="1">
      <c r="M3802"/>
      <c r="N3802"/>
    </row>
    <row r="3803" spans="13:14" ht="14.25" customHeight="1">
      <c r="M3803"/>
      <c r="N3803"/>
    </row>
    <row r="3804" spans="13:14" ht="14.25" customHeight="1">
      <c r="M3804"/>
      <c r="N3804"/>
    </row>
    <row r="3805" spans="13:14" ht="14.25" customHeight="1">
      <c r="M3805"/>
      <c r="N3805"/>
    </row>
    <row r="3806" spans="13:14" ht="14.25" customHeight="1">
      <c r="M3806"/>
      <c r="N3806"/>
    </row>
    <row r="3807" spans="13:14" ht="14.25" customHeight="1">
      <c r="M3807"/>
      <c r="N3807"/>
    </row>
    <row r="3808" spans="13:14" ht="14.25" customHeight="1">
      <c r="M3808"/>
      <c r="N3808"/>
    </row>
    <row r="3809" spans="13:14" ht="14.25" customHeight="1">
      <c r="M3809"/>
      <c r="N3809"/>
    </row>
    <row r="3810" spans="13:14" ht="14.25" customHeight="1">
      <c r="M3810"/>
      <c r="N3810"/>
    </row>
    <row r="3811" spans="13:14" ht="14.25" customHeight="1">
      <c r="M3811"/>
      <c r="N3811"/>
    </row>
    <row r="3812" spans="13:14" ht="14.25" customHeight="1">
      <c r="M3812"/>
      <c r="N3812"/>
    </row>
    <row r="3813" spans="13:14" ht="14.25" customHeight="1">
      <c r="M3813"/>
      <c r="N3813"/>
    </row>
    <row r="3814" spans="13:14" ht="14.25" customHeight="1">
      <c r="M3814"/>
      <c r="N3814"/>
    </row>
    <row r="3815" spans="13:14" ht="14.25" customHeight="1">
      <c r="M3815"/>
      <c r="N3815"/>
    </row>
    <row r="3816" spans="13:14" ht="14.25" customHeight="1">
      <c r="M3816"/>
      <c r="N3816"/>
    </row>
    <row r="3817" spans="13:14" ht="14.25" customHeight="1">
      <c r="M3817"/>
      <c r="N3817"/>
    </row>
    <row r="3818" spans="13:14" ht="14.25" customHeight="1">
      <c r="M3818"/>
      <c r="N3818"/>
    </row>
    <row r="3819" spans="13:14" ht="14.25" customHeight="1">
      <c r="M3819"/>
      <c r="N3819"/>
    </row>
    <row r="3820" spans="13:14" ht="14.25" customHeight="1">
      <c r="M3820"/>
      <c r="N3820"/>
    </row>
    <row r="3821" spans="13:14" ht="14.25" customHeight="1">
      <c r="M3821"/>
      <c r="N3821"/>
    </row>
    <row r="3822" spans="13:14" ht="14.25" customHeight="1">
      <c r="M3822"/>
      <c r="N3822"/>
    </row>
    <row r="3823" spans="13:14" ht="14.25" customHeight="1">
      <c r="M3823"/>
      <c r="N3823"/>
    </row>
    <row r="3824" spans="13:14" ht="14.25" customHeight="1">
      <c r="M3824"/>
      <c r="N3824"/>
    </row>
    <row r="3825" spans="13:14" ht="14.25" customHeight="1">
      <c r="M3825"/>
      <c r="N3825"/>
    </row>
    <row r="3826" spans="13:14" ht="14.25" customHeight="1">
      <c r="M3826"/>
      <c r="N3826"/>
    </row>
    <row r="3827" spans="13:14" ht="14.25" customHeight="1">
      <c r="M3827"/>
      <c r="N3827"/>
    </row>
    <row r="3828" spans="13:14" ht="14.25" customHeight="1">
      <c r="M3828"/>
      <c r="N3828"/>
    </row>
    <row r="3829" spans="13:14" ht="14.25" customHeight="1">
      <c r="M3829"/>
      <c r="N3829"/>
    </row>
    <row r="3830" spans="13:14" ht="14.25" customHeight="1">
      <c r="M3830"/>
      <c r="N3830"/>
    </row>
    <row r="3831" spans="13:14" ht="14.25" customHeight="1">
      <c r="M3831"/>
      <c r="N3831"/>
    </row>
    <row r="3832" spans="13:14" ht="14.25" customHeight="1">
      <c r="M3832"/>
      <c r="N3832"/>
    </row>
    <row r="3833" spans="13:14" ht="14.25" customHeight="1">
      <c r="M3833"/>
      <c r="N3833"/>
    </row>
    <row r="3834" spans="13:14" ht="14.25" customHeight="1">
      <c r="M3834"/>
      <c r="N3834"/>
    </row>
    <row r="3835" spans="13:14" ht="14.25" customHeight="1">
      <c r="M3835"/>
      <c r="N3835"/>
    </row>
    <row r="3836" spans="13:14" ht="14.25" customHeight="1">
      <c r="M3836"/>
      <c r="N3836"/>
    </row>
    <row r="3837" spans="13:14" ht="14.25" customHeight="1">
      <c r="M3837"/>
      <c r="N3837"/>
    </row>
    <row r="3838" spans="13:14" ht="14.25" customHeight="1">
      <c r="M3838"/>
      <c r="N3838"/>
    </row>
    <row r="3839" spans="13:14" ht="14.25" customHeight="1">
      <c r="M3839"/>
      <c r="N3839"/>
    </row>
    <row r="3840" spans="13:14" ht="14.25" customHeight="1">
      <c r="M3840"/>
      <c r="N3840"/>
    </row>
    <row r="3841" spans="13:14" ht="14.25" customHeight="1">
      <c r="M3841"/>
      <c r="N3841"/>
    </row>
    <row r="3842" spans="13:14" ht="14.25" customHeight="1">
      <c r="M3842"/>
      <c r="N3842"/>
    </row>
    <row r="3843" spans="13:14" ht="14.25" customHeight="1">
      <c r="M3843"/>
      <c r="N3843"/>
    </row>
    <row r="3844" spans="13:14" ht="14.25" customHeight="1">
      <c r="M3844"/>
      <c r="N3844"/>
    </row>
    <row r="3845" spans="13:14" ht="14.25" customHeight="1">
      <c r="M3845"/>
      <c r="N3845"/>
    </row>
    <row r="3846" spans="13:14" ht="14.25" customHeight="1">
      <c r="M3846"/>
      <c r="N3846"/>
    </row>
    <row r="3847" spans="13:14" ht="14.25" customHeight="1">
      <c r="M3847"/>
      <c r="N3847"/>
    </row>
    <row r="3848" spans="13:14" ht="14.25" customHeight="1">
      <c r="M3848"/>
      <c r="N3848"/>
    </row>
    <row r="3849" spans="13:14" ht="14.25" customHeight="1">
      <c r="M3849"/>
      <c r="N3849"/>
    </row>
    <row r="3850" spans="13:14" ht="14.25" customHeight="1">
      <c r="M3850"/>
      <c r="N3850"/>
    </row>
    <row r="3851" spans="13:14" ht="14.25" customHeight="1">
      <c r="M3851"/>
      <c r="N3851"/>
    </row>
    <row r="3852" spans="13:14" ht="14.25" customHeight="1">
      <c r="M3852"/>
      <c r="N3852"/>
    </row>
    <row r="3853" spans="13:14" ht="14.25" customHeight="1">
      <c r="M3853"/>
      <c r="N3853"/>
    </row>
    <row r="3854" spans="13:14" ht="14.25" customHeight="1">
      <c r="M3854"/>
      <c r="N3854"/>
    </row>
    <row r="3855" spans="13:14" ht="14.25" customHeight="1">
      <c r="M3855"/>
      <c r="N3855"/>
    </row>
    <row r="3856" spans="13:14" ht="14.25" customHeight="1">
      <c r="M3856"/>
      <c r="N3856"/>
    </row>
    <row r="3857" spans="13:14" ht="14.25" customHeight="1">
      <c r="M3857"/>
      <c r="N3857"/>
    </row>
    <row r="3858" spans="13:14" ht="14.25" customHeight="1">
      <c r="M3858"/>
      <c r="N3858"/>
    </row>
    <row r="3859" spans="13:14" ht="14.25" customHeight="1">
      <c r="M3859"/>
      <c r="N3859"/>
    </row>
    <row r="3860" spans="13:14" ht="14.25" customHeight="1">
      <c r="M3860"/>
      <c r="N3860"/>
    </row>
    <row r="3861" spans="13:14" ht="14.25" customHeight="1">
      <c r="M3861"/>
      <c r="N3861"/>
    </row>
    <row r="3862" spans="13:14" ht="14.25" customHeight="1">
      <c r="M3862"/>
      <c r="N3862"/>
    </row>
    <row r="3863" spans="13:14" ht="14.25" customHeight="1">
      <c r="M3863"/>
      <c r="N3863"/>
    </row>
    <row r="3864" spans="13:14" ht="14.25" customHeight="1">
      <c r="M3864"/>
      <c r="N3864"/>
    </row>
    <row r="3865" spans="13:14" ht="14.25" customHeight="1">
      <c r="M3865"/>
      <c r="N3865"/>
    </row>
    <row r="3866" spans="13:14" ht="14.25" customHeight="1">
      <c r="M3866"/>
      <c r="N3866"/>
    </row>
    <row r="3867" spans="13:14" ht="14.25" customHeight="1">
      <c r="M3867"/>
      <c r="N3867"/>
    </row>
    <row r="3868" spans="13:14" ht="14.25" customHeight="1">
      <c r="M3868"/>
      <c r="N3868"/>
    </row>
    <row r="3869" spans="13:14" ht="14.25" customHeight="1">
      <c r="M3869"/>
      <c r="N3869"/>
    </row>
    <row r="3870" spans="13:14" ht="14.25" customHeight="1">
      <c r="M3870"/>
      <c r="N3870"/>
    </row>
    <row r="3871" spans="13:14" ht="14.25" customHeight="1">
      <c r="M3871"/>
      <c r="N3871"/>
    </row>
    <row r="3872" spans="13:14" ht="14.25" customHeight="1">
      <c r="M3872"/>
      <c r="N3872"/>
    </row>
    <row r="3873" spans="13:14" ht="14.25" customHeight="1">
      <c r="M3873"/>
      <c r="N3873"/>
    </row>
    <row r="3874" spans="13:14" ht="14.25" customHeight="1">
      <c r="M3874"/>
      <c r="N3874"/>
    </row>
    <row r="3875" spans="13:14" ht="14.25" customHeight="1">
      <c r="M3875"/>
      <c r="N3875"/>
    </row>
    <row r="3876" spans="13:14" ht="14.25" customHeight="1">
      <c r="M3876"/>
      <c r="N3876"/>
    </row>
    <row r="3877" spans="13:14" ht="14.25" customHeight="1">
      <c r="M3877"/>
      <c r="N3877"/>
    </row>
    <row r="3878" spans="13:14" ht="14.25" customHeight="1">
      <c r="M3878"/>
      <c r="N3878"/>
    </row>
    <row r="3879" spans="13:14" ht="14.25" customHeight="1">
      <c r="M3879"/>
      <c r="N3879"/>
    </row>
    <row r="3880" spans="13:14" ht="14.25" customHeight="1">
      <c r="M3880"/>
      <c r="N3880"/>
    </row>
    <row r="3881" spans="13:14" ht="14.25" customHeight="1">
      <c r="M3881"/>
      <c r="N3881"/>
    </row>
    <row r="3882" spans="13:14" ht="14.25" customHeight="1">
      <c r="M3882"/>
      <c r="N3882"/>
    </row>
    <row r="3883" spans="13:14" ht="14.25" customHeight="1">
      <c r="M3883"/>
      <c r="N3883"/>
    </row>
    <row r="3884" spans="13:14" ht="14.25" customHeight="1">
      <c r="M3884"/>
      <c r="N3884"/>
    </row>
    <row r="3885" spans="13:14" ht="14.25" customHeight="1">
      <c r="M3885"/>
      <c r="N3885"/>
    </row>
    <row r="3886" spans="13:14" ht="14.25" customHeight="1">
      <c r="M3886"/>
      <c r="N3886"/>
    </row>
    <row r="3887" spans="13:14" ht="14.25" customHeight="1">
      <c r="M3887"/>
      <c r="N3887"/>
    </row>
    <row r="3888" spans="13:14" ht="14.25" customHeight="1">
      <c r="M3888"/>
      <c r="N3888"/>
    </row>
    <row r="3889" spans="13:14" ht="14.25" customHeight="1">
      <c r="M3889"/>
      <c r="N3889"/>
    </row>
    <row r="3890" spans="13:14" ht="14.25" customHeight="1">
      <c r="M3890"/>
      <c r="N3890"/>
    </row>
    <row r="3891" spans="13:14" ht="14.25" customHeight="1">
      <c r="M3891"/>
      <c r="N3891"/>
    </row>
    <row r="3892" spans="13:14" ht="14.25" customHeight="1">
      <c r="M3892"/>
      <c r="N3892"/>
    </row>
    <row r="3893" spans="13:14" ht="14.25" customHeight="1">
      <c r="M3893"/>
      <c r="N3893"/>
    </row>
    <row r="3894" spans="13:14" ht="14.25" customHeight="1">
      <c r="M3894"/>
      <c r="N3894"/>
    </row>
    <row r="3895" spans="13:14" ht="14.25" customHeight="1">
      <c r="M3895"/>
      <c r="N3895"/>
    </row>
    <row r="3896" spans="13:14" ht="14.25" customHeight="1">
      <c r="M3896"/>
      <c r="N3896"/>
    </row>
    <row r="3897" spans="13:14" ht="14.25" customHeight="1">
      <c r="M3897"/>
      <c r="N3897"/>
    </row>
    <row r="3898" spans="13:14" ht="14.25" customHeight="1">
      <c r="M3898"/>
      <c r="N3898"/>
    </row>
    <row r="3899" spans="13:14" ht="14.25" customHeight="1">
      <c r="M3899"/>
      <c r="N3899"/>
    </row>
    <row r="3900" spans="13:14" ht="14.25" customHeight="1">
      <c r="M3900"/>
      <c r="N3900"/>
    </row>
    <row r="3901" spans="13:14" ht="14.25" customHeight="1">
      <c r="M3901"/>
      <c r="N3901"/>
    </row>
    <row r="3902" spans="13:14" ht="14.25" customHeight="1">
      <c r="M3902"/>
      <c r="N3902"/>
    </row>
    <row r="3903" spans="13:14" ht="14.25" customHeight="1">
      <c r="M3903"/>
      <c r="N3903"/>
    </row>
    <row r="3904" spans="13:14" ht="14.25" customHeight="1">
      <c r="M3904"/>
      <c r="N3904"/>
    </row>
    <row r="3905" spans="13:14" ht="14.25" customHeight="1">
      <c r="M3905"/>
      <c r="N3905"/>
    </row>
    <row r="3906" spans="13:14" ht="14.25" customHeight="1">
      <c r="M3906"/>
      <c r="N3906"/>
    </row>
    <row r="3907" spans="13:14" ht="14.25" customHeight="1">
      <c r="M3907"/>
      <c r="N3907"/>
    </row>
    <row r="3908" spans="13:14" ht="14.25" customHeight="1">
      <c r="M3908"/>
      <c r="N3908"/>
    </row>
    <row r="3909" spans="13:14" ht="14.25" customHeight="1">
      <c r="M3909"/>
      <c r="N3909"/>
    </row>
    <row r="3910" spans="13:14" ht="14.25" customHeight="1">
      <c r="M3910"/>
      <c r="N3910"/>
    </row>
    <row r="3911" spans="13:14" ht="14.25" customHeight="1">
      <c r="M3911"/>
      <c r="N3911"/>
    </row>
    <row r="3912" spans="13:14" ht="14.25" customHeight="1">
      <c r="M3912"/>
      <c r="N3912"/>
    </row>
    <row r="3913" spans="13:14" ht="14.25" customHeight="1">
      <c r="M3913"/>
      <c r="N3913"/>
    </row>
    <row r="3914" spans="13:14" ht="14.25" customHeight="1">
      <c r="M3914"/>
      <c r="N3914"/>
    </row>
    <row r="3915" spans="13:14" ht="14.25" customHeight="1">
      <c r="M3915"/>
      <c r="N3915"/>
    </row>
    <row r="3916" spans="13:14" ht="14.25" customHeight="1">
      <c r="M3916"/>
      <c r="N3916"/>
    </row>
    <row r="3917" spans="13:14" ht="14.25" customHeight="1">
      <c r="M3917"/>
      <c r="N3917"/>
    </row>
    <row r="3918" spans="13:14" ht="14.25" customHeight="1">
      <c r="M3918"/>
      <c r="N3918"/>
    </row>
    <row r="3919" spans="13:14" ht="14.25" customHeight="1">
      <c r="M3919"/>
      <c r="N3919"/>
    </row>
    <row r="3920" spans="13:14" ht="14.25" customHeight="1">
      <c r="M3920"/>
      <c r="N3920"/>
    </row>
    <row r="3921" spans="13:14" ht="14.25" customHeight="1">
      <c r="M3921"/>
      <c r="N3921"/>
    </row>
    <row r="3922" spans="13:14" ht="14.25" customHeight="1">
      <c r="M3922"/>
      <c r="N3922"/>
    </row>
    <row r="3923" spans="13:14" ht="14.25" customHeight="1">
      <c r="M3923"/>
      <c r="N3923"/>
    </row>
    <row r="3924" spans="13:14" ht="14.25" customHeight="1">
      <c r="M3924"/>
      <c r="N3924"/>
    </row>
    <row r="3925" spans="13:14" ht="14.25" customHeight="1">
      <c r="M3925"/>
      <c r="N3925"/>
    </row>
    <row r="3926" spans="13:14" ht="14.25" customHeight="1">
      <c r="M3926"/>
      <c r="N3926"/>
    </row>
    <row r="3927" spans="13:14" ht="14.25" customHeight="1">
      <c r="M3927"/>
      <c r="N3927"/>
    </row>
    <row r="3928" spans="13:14" ht="14.25" customHeight="1">
      <c r="M3928"/>
      <c r="N3928"/>
    </row>
    <row r="3929" spans="13:14" ht="14.25" customHeight="1">
      <c r="M3929"/>
      <c r="N3929"/>
    </row>
    <row r="3930" spans="13:14" ht="14.25" customHeight="1">
      <c r="M3930"/>
      <c r="N3930"/>
    </row>
    <row r="3931" spans="13:14" ht="14.25" customHeight="1">
      <c r="M3931"/>
      <c r="N3931"/>
    </row>
    <row r="3932" spans="13:14" ht="14.25" customHeight="1">
      <c r="M3932"/>
      <c r="N3932"/>
    </row>
    <row r="3933" spans="13:14" ht="14.25" customHeight="1">
      <c r="M3933"/>
      <c r="N3933"/>
    </row>
    <row r="3934" spans="13:14" ht="14.25" customHeight="1">
      <c r="M3934"/>
      <c r="N3934"/>
    </row>
    <row r="3935" spans="13:14" ht="14.25" customHeight="1">
      <c r="M3935"/>
      <c r="N3935"/>
    </row>
    <row r="3936" spans="13:14" ht="14.25" customHeight="1">
      <c r="M3936"/>
      <c r="N3936"/>
    </row>
    <row r="3937" spans="13:14" ht="14.25" customHeight="1">
      <c r="M3937"/>
      <c r="N3937"/>
    </row>
    <row r="3938" spans="13:14" ht="14.25" customHeight="1">
      <c r="M3938"/>
      <c r="N3938"/>
    </row>
    <row r="3939" spans="13:14" ht="14.25" customHeight="1">
      <c r="M3939"/>
      <c r="N3939"/>
    </row>
    <row r="3940" spans="13:14" ht="14.25" customHeight="1">
      <c r="M3940"/>
      <c r="N3940"/>
    </row>
    <row r="3941" spans="13:14" ht="14.25" customHeight="1">
      <c r="M3941"/>
      <c r="N3941"/>
    </row>
    <row r="3942" spans="13:14" ht="14.25" customHeight="1">
      <c r="M3942"/>
      <c r="N3942"/>
    </row>
    <row r="3943" spans="13:14" ht="14.25" customHeight="1">
      <c r="M3943"/>
      <c r="N3943"/>
    </row>
    <row r="3944" spans="13:14" ht="14.25" customHeight="1">
      <c r="M3944"/>
      <c r="N3944"/>
    </row>
    <row r="3945" spans="13:14" ht="14.25" customHeight="1">
      <c r="M3945"/>
      <c r="N3945"/>
    </row>
    <row r="3946" spans="13:14" ht="14.25" customHeight="1">
      <c r="M3946"/>
      <c r="N3946"/>
    </row>
    <row r="3947" spans="13:14" ht="14.25" customHeight="1">
      <c r="M3947"/>
      <c r="N3947"/>
    </row>
    <row r="3948" spans="13:14" ht="14.25" customHeight="1">
      <c r="M3948"/>
      <c r="N3948"/>
    </row>
    <row r="3949" spans="13:14" ht="14.25" customHeight="1">
      <c r="M3949"/>
      <c r="N3949"/>
    </row>
    <row r="3950" spans="13:14" ht="14.25" customHeight="1">
      <c r="M3950"/>
      <c r="N3950"/>
    </row>
    <row r="3951" spans="13:14" ht="14.25" customHeight="1">
      <c r="M3951"/>
      <c r="N3951"/>
    </row>
    <row r="3952" spans="13:14" ht="14.25" customHeight="1">
      <c r="M3952"/>
      <c r="N3952"/>
    </row>
    <row r="3953" spans="13:14" ht="14.25" customHeight="1">
      <c r="M3953"/>
      <c r="N3953"/>
    </row>
    <row r="3954" spans="13:14" ht="14.25" customHeight="1">
      <c r="M3954"/>
      <c r="N3954"/>
    </row>
    <row r="3955" spans="13:14" ht="14.25" customHeight="1">
      <c r="M3955"/>
      <c r="N3955"/>
    </row>
    <row r="3956" spans="13:14" ht="14.25" customHeight="1">
      <c r="M3956"/>
      <c r="N3956"/>
    </row>
    <row r="3957" spans="13:14" ht="14.25" customHeight="1">
      <c r="M3957"/>
      <c r="N3957"/>
    </row>
    <row r="3958" spans="13:14" ht="14.25" customHeight="1">
      <c r="M3958"/>
      <c r="N3958"/>
    </row>
    <row r="3959" spans="13:14" ht="14.25" customHeight="1">
      <c r="M3959"/>
      <c r="N3959"/>
    </row>
    <row r="3960" spans="13:14" ht="14.25" customHeight="1">
      <c r="M3960"/>
      <c r="N3960"/>
    </row>
    <row r="3961" spans="13:14" ht="14.25" customHeight="1">
      <c r="M3961"/>
      <c r="N3961"/>
    </row>
    <row r="3962" spans="13:14" ht="14.25" customHeight="1">
      <c r="M3962"/>
      <c r="N3962"/>
    </row>
    <row r="3963" spans="13:14" ht="14.25" customHeight="1">
      <c r="M3963"/>
      <c r="N3963"/>
    </row>
    <row r="3964" spans="13:14" ht="14.25" customHeight="1">
      <c r="M3964"/>
      <c r="N3964"/>
    </row>
    <row r="3965" spans="13:14" ht="14.25" customHeight="1">
      <c r="M3965"/>
      <c r="N3965"/>
    </row>
    <row r="3966" spans="13:14" ht="14.25" customHeight="1">
      <c r="M3966"/>
      <c r="N3966"/>
    </row>
    <row r="3967" spans="13:14" ht="14.25" customHeight="1">
      <c r="M3967"/>
      <c r="N3967"/>
    </row>
    <row r="3968" spans="13:14" ht="14.25" customHeight="1">
      <c r="M3968"/>
      <c r="N3968"/>
    </row>
    <row r="3969" spans="13:14" ht="14.25" customHeight="1">
      <c r="M3969"/>
      <c r="N3969"/>
    </row>
    <row r="3970" spans="13:14" ht="14.25" customHeight="1">
      <c r="M3970"/>
      <c r="N3970"/>
    </row>
    <row r="3971" spans="13:14" ht="14.25" customHeight="1">
      <c r="M3971"/>
      <c r="N3971"/>
    </row>
    <row r="3972" spans="13:14" ht="14.25" customHeight="1">
      <c r="M3972"/>
      <c r="N3972"/>
    </row>
    <row r="3973" spans="13:14" ht="14.25" customHeight="1">
      <c r="M3973"/>
      <c r="N3973"/>
    </row>
    <row r="3974" spans="13:14" ht="14.25" customHeight="1">
      <c r="M3974"/>
      <c r="N3974"/>
    </row>
    <row r="3975" spans="13:14" ht="14.25" customHeight="1">
      <c r="M3975"/>
      <c r="N3975"/>
    </row>
    <row r="3976" spans="13:14" ht="14.25" customHeight="1">
      <c r="M3976"/>
      <c r="N3976"/>
    </row>
    <row r="3977" spans="13:14" ht="14.25" customHeight="1">
      <c r="M3977"/>
      <c r="N3977"/>
    </row>
    <row r="3978" spans="13:14" ht="14.25" customHeight="1">
      <c r="M3978"/>
      <c r="N3978"/>
    </row>
    <row r="3979" spans="13:14" ht="14.25" customHeight="1">
      <c r="M3979"/>
      <c r="N3979"/>
    </row>
    <row r="3980" spans="13:14" ht="14.25" customHeight="1">
      <c r="M3980"/>
      <c r="N3980"/>
    </row>
    <row r="3981" spans="13:14" ht="14.25" customHeight="1">
      <c r="M3981"/>
      <c r="N3981"/>
    </row>
    <row r="3982" spans="13:14" ht="14.25" customHeight="1">
      <c r="M3982"/>
      <c r="N3982"/>
    </row>
    <row r="3983" spans="13:14" ht="14.25" customHeight="1">
      <c r="M3983"/>
      <c r="N3983"/>
    </row>
    <row r="3984" spans="13:14" ht="14.25" customHeight="1">
      <c r="M3984"/>
      <c r="N3984"/>
    </row>
    <row r="3985" spans="13:14" ht="14.25" customHeight="1">
      <c r="M3985"/>
      <c r="N3985"/>
    </row>
    <row r="3986" spans="13:14" ht="14.25" customHeight="1">
      <c r="M3986"/>
      <c r="N3986"/>
    </row>
    <row r="3987" spans="13:14" ht="14.25" customHeight="1">
      <c r="M3987"/>
      <c r="N3987"/>
    </row>
    <row r="3988" spans="13:14" ht="14.25" customHeight="1">
      <c r="M3988"/>
      <c r="N3988"/>
    </row>
    <row r="3989" spans="13:14" ht="14.25" customHeight="1">
      <c r="M3989"/>
      <c r="N3989"/>
    </row>
    <row r="3990" spans="13:14" ht="14.25" customHeight="1">
      <c r="M3990"/>
      <c r="N3990"/>
    </row>
    <row r="3991" spans="13:14" ht="14.25" customHeight="1">
      <c r="M3991"/>
      <c r="N3991"/>
    </row>
    <row r="3992" spans="13:14" ht="14.25" customHeight="1">
      <c r="M3992"/>
      <c r="N3992"/>
    </row>
    <row r="3993" spans="13:14" ht="14.25" customHeight="1">
      <c r="M3993"/>
      <c r="N3993"/>
    </row>
    <row r="3994" spans="13:14" ht="14.25" customHeight="1">
      <c r="M3994"/>
      <c r="N3994"/>
    </row>
    <row r="3995" spans="13:14" ht="14.25" customHeight="1">
      <c r="M3995"/>
      <c r="N3995"/>
    </row>
    <row r="3996" spans="13:14" ht="14.25" customHeight="1">
      <c r="M3996"/>
      <c r="N3996"/>
    </row>
    <row r="3997" spans="13:14" ht="14.25" customHeight="1">
      <c r="M3997"/>
      <c r="N3997"/>
    </row>
    <row r="3998" spans="13:14" ht="14.25" customHeight="1">
      <c r="M3998"/>
      <c r="N3998"/>
    </row>
    <row r="3999" spans="13:14" ht="14.25" customHeight="1">
      <c r="M3999"/>
      <c r="N3999"/>
    </row>
    <row r="4000" spans="13:14" ht="14.25" customHeight="1">
      <c r="M4000"/>
      <c r="N4000"/>
    </row>
    <row r="4001" spans="13:14" ht="14.25" customHeight="1">
      <c r="M4001"/>
      <c r="N4001"/>
    </row>
    <row r="4002" spans="13:14" ht="14.25" customHeight="1">
      <c r="M4002"/>
      <c r="N4002"/>
    </row>
    <row r="4003" spans="13:14" ht="14.25" customHeight="1">
      <c r="M4003"/>
      <c r="N4003"/>
    </row>
    <row r="4004" spans="13:14" ht="14.25" customHeight="1">
      <c r="M4004"/>
      <c r="N4004"/>
    </row>
    <row r="4005" spans="13:14" ht="14.25" customHeight="1">
      <c r="M4005"/>
      <c r="N4005"/>
    </row>
    <row r="4006" spans="13:14" ht="14.25" customHeight="1">
      <c r="M4006"/>
      <c r="N4006"/>
    </row>
    <row r="4007" spans="13:14" ht="14.25" customHeight="1">
      <c r="M4007"/>
      <c r="N4007"/>
    </row>
    <row r="4008" spans="13:14" ht="14.25" customHeight="1">
      <c r="M4008"/>
      <c r="N4008"/>
    </row>
    <row r="4009" spans="13:14" ht="14.25" customHeight="1">
      <c r="M4009"/>
      <c r="N4009"/>
    </row>
    <row r="4010" spans="13:14" ht="14.25" customHeight="1">
      <c r="M4010"/>
      <c r="N4010"/>
    </row>
    <row r="4011" spans="13:14" ht="14.25" customHeight="1">
      <c r="M4011"/>
      <c r="N4011"/>
    </row>
    <row r="4012" spans="13:14" ht="14.25" customHeight="1">
      <c r="M4012"/>
      <c r="N4012"/>
    </row>
    <row r="4013" spans="13:14" ht="14.25" customHeight="1">
      <c r="M4013"/>
      <c r="N4013"/>
    </row>
    <row r="4014" spans="13:14" ht="14.25" customHeight="1">
      <c r="M4014"/>
      <c r="N4014"/>
    </row>
    <row r="4015" spans="13:14" ht="14.25" customHeight="1">
      <c r="M4015"/>
      <c r="N4015"/>
    </row>
    <row r="4016" spans="13:14" ht="14.25" customHeight="1">
      <c r="M4016"/>
      <c r="N4016"/>
    </row>
    <row r="4017" spans="13:14" ht="14.25" customHeight="1">
      <c r="M4017"/>
      <c r="N4017"/>
    </row>
    <row r="4018" spans="13:14" ht="14.25" customHeight="1">
      <c r="M4018"/>
      <c r="N4018"/>
    </row>
    <row r="4019" spans="13:14" ht="14.25" customHeight="1">
      <c r="M4019"/>
      <c r="N4019"/>
    </row>
    <row r="4020" spans="13:14" ht="14.25" customHeight="1">
      <c r="M4020"/>
      <c r="N4020"/>
    </row>
    <row r="4021" spans="13:14" ht="14.25" customHeight="1">
      <c r="M4021"/>
      <c r="N4021"/>
    </row>
    <row r="4022" spans="13:14" ht="14.25" customHeight="1">
      <c r="M4022"/>
      <c r="N4022"/>
    </row>
    <row r="4023" spans="13:14" ht="14.25" customHeight="1">
      <c r="M4023"/>
      <c r="N4023"/>
    </row>
    <row r="4024" spans="13:14" ht="14.25" customHeight="1">
      <c r="M4024"/>
      <c r="N4024"/>
    </row>
    <row r="4025" spans="13:14" ht="14.25" customHeight="1">
      <c r="M4025"/>
      <c r="N4025"/>
    </row>
    <row r="4026" spans="13:14" ht="14.25" customHeight="1">
      <c r="M4026"/>
      <c r="N4026"/>
    </row>
    <row r="4027" spans="13:14" ht="14.25" customHeight="1">
      <c r="M4027"/>
      <c r="N4027"/>
    </row>
    <row r="4028" spans="13:14" ht="14.25" customHeight="1">
      <c r="M4028"/>
      <c r="N4028"/>
    </row>
    <row r="4029" spans="13:14" ht="14.25" customHeight="1">
      <c r="M4029"/>
      <c r="N4029"/>
    </row>
    <row r="4030" spans="13:14" ht="14.25" customHeight="1">
      <c r="M4030"/>
      <c r="N4030"/>
    </row>
    <row r="4031" spans="13:14" ht="14.25" customHeight="1">
      <c r="M4031"/>
      <c r="N4031"/>
    </row>
    <row r="4032" spans="13:14" ht="14.25" customHeight="1">
      <c r="M4032"/>
      <c r="N4032"/>
    </row>
    <row r="4033" spans="13:14" ht="14.25" customHeight="1">
      <c r="M4033"/>
      <c r="N4033"/>
    </row>
    <row r="4034" spans="13:14" ht="14.25" customHeight="1">
      <c r="M4034"/>
      <c r="N4034"/>
    </row>
    <row r="4035" spans="13:14" ht="14.25" customHeight="1">
      <c r="M4035"/>
      <c r="N4035"/>
    </row>
    <row r="4036" spans="13:14" ht="14.25" customHeight="1">
      <c r="M4036"/>
      <c r="N4036"/>
    </row>
    <row r="4037" spans="13:14" ht="14.25" customHeight="1">
      <c r="M4037"/>
      <c r="N4037"/>
    </row>
    <row r="4038" spans="13:14" ht="14.25" customHeight="1">
      <c r="M4038"/>
      <c r="N4038"/>
    </row>
    <row r="4039" spans="13:14" ht="14.25" customHeight="1">
      <c r="M4039"/>
      <c r="N4039"/>
    </row>
    <row r="4040" spans="13:14" ht="14.25" customHeight="1">
      <c r="M4040"/>
      <c r="N4040"/>
    </row>
    <row r="4041" spans="13:14" ht="14.25" customHeight="1">
      <c r="M4041"/>
      <c r="N4041"/>
    </row>
    <row r="4042" spans="13:14" ht="14.25" customHeight="1">
      <c r="M4042"/>
      <c r="N4042"/>
    </row>
    <row r="4043" spans="13:14" ht="14.25" customHeight="1">
      <c r="M4043"/>
      <c r="N4043"/>
    </row>
    <row r="4044" spans="13:14" ht="14.25" customHeight="1">
      <c r="M4044"/>
      <c r="N4044"/>
    </row>
    <row r="4045" spans="13:14" ht="14.25" customHeight="1">
      <c r="M4045"/>
      <c r="N4045"/>
    </row>
    <row r="4046" spans="13:14" ht="14.25" customHeight="1">
      <c r="M4046"/>
      <c r="N4046"/>
    </row>
    <row r="4047" spans="13:14" ht="14.25" customHeight="1">
      <c r="M4047"/>
      <c r="N4047"/>
    </row>
    <row r="4048" spans="13:14" ht="14.25" customHeight="1">
      <c r="M4048"/>
      <c r="N4048"/>
    </row>
    <row r="4049" spans="13:14" ht="14.25" customHeight="1">
      <c r="M4049"/>
      <c r="N4049"/>
    </row>
    <row r="4050" spans="13:14" ht="14.25" customHeight="1">
      <c r="M4050"/>
      <c r="N4050"/>
    </row>
    <row r="4051" spans="13:14" ht="14.25" customHeight="1">
      <c r="M4051"/>
      <c r="N4051"/>
    </row>
    <row r="4052" spans="13:14" ht="14.25" customHeight="1">
      <c r="M4052"/>
      <c r="N4052"/>
    </row>
    <row r="4053" spans="13:14" ht="14.25" customHeight="1">
      <c r="M4053"/>
      <c r="N4053"/>
    </row>
    <row r="4054" spans="13:14" ht="14.25" customHeight="1">
      <c r="M4054"/>
      <c r="N4054"/>
    </row>
    <row r="4055" spans="13:14" ht="14.25" customHeight="1">
      <c r="M4055"/>
      <c r="N4055"/>
    </row>
    <row r="4056" spans="13:14" ht="14.25" customHeight="1">
      <c r="M4056"/>
      <c r="N4056"/>
    </row>
    <row r="4057" spans="13:14" ht="14.25" customHeight="1">
      <c r="M4057"/>
      <c r="N4057"/>
    </row>
    <row r="4058" spans="13:14" ht="14.25" customHeight="1">
      <c r="M4058"/>
      <c r="N4058"/>
    </row>
    <row r="4059" spans="13:14" ht="14.25" customHeight="1">
      <c r="M4059"/>
      <c r="N4059"/>
    </row>
    <row r="4060" spans="13:14" ht="14.25" customHeight="1">
      <c r="M4060"/>
      <c r="N4060"/>
    </row>
    <row r="4061" spans="13:14" ht="14.25" customHeight="1">
      <c r="M4061"/>
      <c r="N4061"/>
    </row>
    <row r="4062" spans="13:14" ht="14.25" customHeight="1">
      <c r="M4062"/>
      <c r="N4062"/>
    </row>
    <row r="4063" spans="13:14" ht="14.25" customHeight="1">
      <c r="M4063"/>
      <c r="N4063"/>
    </row>
    <row r="4064" spans="13:14" ht="14.25" customHeight="1">
      <c r="M4064"/>
      <c r="N4064"/>
    </row>
    <row r="4065" spans="13:14" ht="14.25" customHeight="1">
      <c r="M4065"/>
      <c r="N4065"/>
    </row>
    <row r="4066" spans="13:14" ht="14.25" customHeight="1">
      <c r="M4066"/>
      <c r="N4066"/>
    </row>
    <row r="4067" spans="13:14" ht="14.25" customHeight="1">
      <c r="M4067"/>
      <c r="N4067"/>
    </row>
    <row r="4068" spans="13:14" ht="14.25" customHeight="1">
      <c r="M4068"/>
      <c r="N4068"/>
    </row>
    <row r="4069" spans="13:14" ht="14.25" customHeight="1">
      <c r="M4069"/>
      <c r="N4069"/>
    </row>
    <row r="4070" spans="13:14" ht="14.25" customHeight="1">
      <c r="M4070"/>
      <c r="N4070"/>
    </row>
    <row r="4071" spans="13:14" ht="14.25" customHeight="1">
      <c r="M4071"/>
      <c r="N4071"/>
    </row>
    <row r="4072" spans="13:14" ht="14.25" customHeight="1">
      <c r="M4072"/>
      <c r="N4072"/>
    </row>
    <row r="4073" spans="13:14" ht="14.25" customHeight="1">
      <c r="M4073"/>
      <c r="N4073"/>
    </row>
    <row r="4074" spans="13:14" ht="14.25" customHeight="1">
      <c r="M4074"/>
      <c r="N4074"/>
    </row>
    <row r="4075" spans="13:14" ht="14.25" customHeight="1">
      <c r="M4075"/>
      <c r="N4075"/>
    </row>
    <row r="4076" spans="13:14" ht="14.25" customHeight="1">
      <c r="M4076"/>
      <c r="N4076"/>
    </row>
    <row r="4077" spans="13:14" ht="14.25" customHeight="1">
      <c r="M4077"/>
      <c r="N4077"/>
    </row>
    <row r="4078" spans="13:14" ht="14.25" customHeight="1">
      <c r="M4078"/>
      <c r="N4078"/>
    </row>
    <row r="4079" spans="13:14" ht="14.25" customHeight="1">
      <c r="M4079"/>
      <c r="N4079"/>
    </row>
    <row r="4080" spans="13:14" ht="14.25" customHeight="1">
      <c r="M4080"/>
      <c r="N4080"/>
    </row>
    <row r="4081" spans="13:14" ht="14.25" customHeight="1">
      <c r="M4081"/>
      <c r="N4081"/>
    </row>
    <row r="4082" spans="13:14" ht="14.25" customHeight="1">
      <c r="M4082"/>
      <c r="N4082"/>
    </row>
    <row r="4083" spans="13:14" ht="14.25" customHeight="1">
      <c r="M4083"/>
      <c r="N4083"/>
    </row>
    <row r="4084" spans="13:14" ht="14.25" customHeight="1">
      <c r="M4084"/>
      <c r="N4084"/>
    </row>
    <row r="4085" spans="13:14" ht="14.25" customHeight="1">
      <c r="M4085"/>
      <c r="N4085"/>
    </row>
    <row r="4086" spans="13:14" ht="14.25" customHeight="1">
      <c r="M4086"/>
      <c r="N4086"/>
    </row>
    <row r="4087" spans="13:14" ht="14.25" customHeight="1">
      <c r="M4087"/>
      <c r="N4087"/>
    </row>
    <row r="4088" spans="13:14" ht="14.25" customHeight="1">
      <c r="M4088"/>
      <c r="N4088"/>
    </row>
    <row r="4089" spans="13:14" ht="14.25" customHeight="1">
      <c r="M4089"/>
      <c r="N4089"/>
    </row>
    <row r="4090" spans="13:14" ht="14.25" customHeight="1">
      <c r="M4090"/>
      <c r="N4090"/>
    </row>
    <row r="4091" spans="13:14" ht="14.25" customHeight="1">
      <c r="M4091"/>
      <c r="N4091"/>
    </row>
    <row r="4092" spans="13:14" ht="14.25" customHeight="1">
      <c r="M4092"/>
      <c r="N4092"/>
    </row>
    <row r="4093" spans="13:14" ht="14.25" customHeight="1">
      <c r="M4093"/>
      <c r="N4093"/>
    </row>
    <row r="4094" spans="13:14" ht="14.25" customHeight="1">
      <c r="M4094"/>
      <c r="N4094"/>
    </row>
    <row r="4095" spans="13:14" ht="14.25" customHeight="1">
      <c r="M4095"/>
      <c r="N4095"/>
    </row>
    <row r="4096" spans="13:14" ht="14.25" customHeight="1">
      <c r="M4096"/>
      <c r="N4096"/>
    </row>
    <row r="4097" spans="13:14" ht="14.25" customHeight="1">
      <c r="M4097"/>
      <c r="N4097"/>
    </row>
    <row r="4098" spans="13:14" ht="14.25" customHeight="1">
      <c r="M4098"/>
      <c r="N4098"/>
    </row>
    <row r="4099" spans="13:14" ht="14.25" customHeight="1">
      <c r="M4099"/>
      <c r="N4099"/>
    </row>
    <row r="4100" spans="13:14" ht="14.25" customHeight="1">
      <c r="M4100"/>
      <c r="N4100"/>
    </row>
    <row r="4101" spans="13:14" ht="14.25" customHeight="1">
      <c r="M4101"/>
      <c r="N4101"/>
    </row>
    <row r="4102" spans="13:14" ht="14.25" customHeight="1">
      <c r="M4102"/>
      <c r="N4102"/>
    </row>
    <row r="4103" spans="13:14" ht="14.25" customHeight="1">
      <c r="M4103"/>
      <c r="N4103"/>
    </row>
    <row r="4104" spans="13:14" ht="14.25" customHeight="1">
      <c r="M4104"/>
      <c r="N4104"/>
    </row>
    <row r="4105" spans="13:14" ht="14.25" customHeight="1">
      <c r="M4105"/>
      <c r="N4105"/>
    </row>
    <row r="4106" spans="13:14" ht="14.25" customHeight="1">
      <c r="M4106"/>
      <c r="N4106"/>
    </row>
    <row r="4107" spans="13:14" ht="14.25" customHeight="1">
      <c r="M4107"/>
      <c r="N4107"/>
    </row>
    <row r="4108" spans="13:14" ht="14.25" customHeight="1">
      <c r="M4108"/>
      <c r="N4108"/>
    </row>
    <row r="4109" spans="13:14" ht="14.25" customHeight="1">
      <c r="M4109"/>
      <c r="N4109"/>
    </row>
    <row r="4110" spans="13:14" ht="14.25" customHeight="1">
      <c r="M4110"/>
      <c r="N4110"/>
    </row>
    <row r="4111" spans="13:14" ht="14.25" customHeight="1">
      <c r="M4111"/>
      <c r="N4111"/>
    </row>
    <row r="4112" spans="13:14" ht="14.25" customHeight="1">
      <c r="M4112"/>
      <c r="N4112"/>
    </row>
    <row r="4113" spans="13:14" ht="14.25" customHeight="1">
      <c r="M4113"/>
      <c r="N4113"/>
    </row>
    <row r="4114" spans="13:14" ht="14.25" customHeight="1">
      <c r="M4114"/>
      <c r="N4114"/>
    </row>
    <row r="4115" spans="13:14" ht="14.25" customHeight="1">
      <c r="M4115"/>
      <c r="N4115"/>
    </row>
    <row r="4116" spans="13:14" ht="14.25" customHeight="1">
      <c r="M4116"/>
      <c r="N4116"/>
    </row>
    <row r="4117" spans="13:14" ht="14.25" customHeight="1">
      <c r="M4117"/>
      <c r="N4117"/>
    </row>
    <row r="4118" spans="13:14" ht="14.25" customHeight="1">
      <c r="M4118"/>
      <c r="N4118"/>
    </row>
    <row r="4119" spans="13:14" ht="14.25" customHeight="1">
      <c r="M4119"/>
      <c r="N4119"/>
    </row>
    <row r="4120" spans="13:14" ht="14.25" customHeight="1">
      <c r="M4120"/>
      <c r="N4120"/>
    </row>
    <row r="4121" spans="13:14" ht="14.25" customHeight="1">
      <c r="M4121"/>
      <c r="N4121"/>
    </row>
    <row r="4122" spans="13:14" ht="14.25" customHeight="1">
      <c r="M4122"/>
      <c r="N4122"/>
    </row>
    <row r="4123" spans="13:14" ht="14.25" customHeight="1">
      <c r="M4123"/>
      <c r="N4123"/>
    </row>
    <row r="4124" spans="13:14" ht="14.25" customHeight="1">
      <c r="M4124"/>
      <c r="N4124"/>
    </row>
    <row r="4125" spans="13:14" ht="14.25" customHeight="1">
      <c r="M4125"/>
      <c r="N4125"/>
    </row>
    <row r="4126" spans="13:14" ht="14.25" customHeight="1">
      <c r="M4126"/>
      <c r="N4126"/>
    </row>
    <row r="4127" spans="13:14" ht="14.25" customHeight="1">
      <c r="M4127"/>
      <c r="N4127"/>
    </row>
    <row r="4128" spans="13:14" ht="14.25" customHeight="1">
      <c r="M4128"/>
      <c r="N4128"/>
    </row>
    <row r="4129" spans="13:14" ht="14.25" customHeight="1">
      <c r="M4129"/>
      <c r="N4129"/>
    </row>
    <row r="4130" spans="13:14" ht="14.25" customHeight="1">
      <c r="M4130"/>
      <c r="N4130"/>
    </row>
    <row r="4131" spans="13:14" ht="14.25" customHeight="1">
      <c r="M4131"/>
      <c r="N4131"/>
    </row>
    <row r="4132" spans="13:14" ht="14.25" customHeight="1">
      <c r="M4132"/>
      <c r="N4132"/>
    </row>
    <row r="4133" spans="13:14" ht="14.25" customHeight="1">
      <c r="M4133"/>
      <c r="N4133"/>
    </row>
    <row r="4134" spans="13:14" ht="14.25" customHeight="1">
      <c r="M4134"/>
      <c r="N4134"/>
    </row>
    <row r="4135" spans="13:14" ht="14.25" customHeight="1">
      <c r="M4135"/>
      <c r="N4135"/>
    </row>
    <row r="4136" spans="13:14" ht="14.25" customHeight="1">
      <c r="M4136"/>
      <c r="N4136"/>
    </row>
    <row r="4137" spans="13:14" ht="14.25" customHeight="1">
      <c r="M4137"/>
      <c r="N4137"/>
    </row>
    <row r="4138" spans="13:14" ht="14.25" customHeight="1">
      <c r="M4138"/>
      <c r="N4138"/>
    </row>
    <row r="4139" spans="13:14" ht="14.25" customHeight="1">
      <c r="M4139"/>
      <c r="N4139"/>
    </row>
    <row r="4140" spans="13:14" ht="14.25" customHeight="1">
      <c r="M4140"/>
      <c r="N4140"/>
    </row>
    <row r="4141" spans="13:14" ht="14.25" customHeight="1">
      <c r="M4141"/>
      <c r="N4141"/>
    </row>
    <row r="4142" spans="13:14" ht="14.25" customHeight="1">
      <c r="M4142"/>
      <c r="N4142"/>
    </row>
    <row r="4143" spans="13:14" ht="14.25" customHeight="1">
      <c r="M4143"/>
      <c r="N4143"/>
    </row>
    <row r="4144" spans="13:14" ht="14.25" customHeight="1">
      <c r="M4144"/>
      <c r="N4144"/>
    </row>
    <row r="4145" spans="13:14" ht="14.25" customHeight="1">
      <c r="M4145"/>
      <c r="N4145"/>
    </row>
    <row r="4146" spans="13:14" ht="14.25" customHeight="1">
      <c r="M4146"/>
      <c r="N4146"/>
    </row>
    <row r="4147" spans="13:14" ht="14.25" customHeight="1">
      <c r="M4147"/>
      <c r="N4147"/>
    </row>
    <row r="4148" spans="13:14" ht="14.25" customHeight="1">
      <c r="M4148"/>
      <c r="N4148"/>
    </row>
    <row r="4149" spans="13:14" ht="14.25" customHeight="1">
      <c r="M4149"/>
      <c r="N4149"/>
    </row>
    <row r="4150" spans="13:14" ht="14.25" customHeight="1">
      <c r="M4150"/>
      <c r="N4150"/>
    </row>
    <row r="4151" spans="13:14" ht="14.25" customHeight="1">
      <c r="M4151"/>
      <c r="N4151"/>
    </row>
    <row r="4152" spans="13:14" ht="14.25" customHeight="1">
      <c r="M4152"/>
      <c r="N4152"/>
    </row>
    <row r="4153" spans="13:14" ht="14.25" customHeight="1">
      <c r="M4153"/>
      <c r="N4153"/>
    </row>
    <row r="4154" spans="13:14" ht="14.25" customHeight="1">
      <c r="M4154"/>
      <c r="N4154"/>
    </row>
    <row r="4155" spans="13:14" ht="14.25" customHeight="1">
      <c r="M4155"/>
      <c r="N4155"/>
    </row>
    <row r="4156" spans="13:14" ht="14.25" customHeight="1">
      <c r="M4156"/>
      <c r="N4156"/>
    </row>
    <row r="4157" spans="13:14" ht="14.25" customHeight="1">
      <c r="M4157"/>
      <c r="N4157"/>
    </row>
    <row r="4158" spans="13:14" ht="14.25" customHeight="1">
      <c r="M4158"/>
      <c r="N4158"/>
    </row>
    <row r="4159" spans="13:14" ht="14.25" customHeight="1">
      <c r="M4159"/>
      <c r="N4159"/>
    </row>
    <row r="4160" spans="13:14" ht="14.25" customHeight="1">
      <c r="M4160"/>
      <c r="N4160"/>
    </row>
    <row r="4161" spans="13:14" ht="14.25" customHeight="1">
      <c r="M4161"/>
      <c r="N4161"/>
    </row>
    <row r="4162" spans="13:14" ht="14.25" customHeight="1">
      <c r="M4162"/>
      <c r="N4162"/>
    </row>
    <row r="4163" spans="13:14" ht="14.25" customHeight="1">
      <c r="M4163"/>
      <c r="N4163"/>
    </row>
    <row r="4164" spans="13:14" ht="14.25" customHeight="1">
      <c r="M4164"/>
      <c r="N4164"/>
    </row>
    <row r="4165" spans="13:14" ht="14.25" customHeight="1">
      <c r="M4165"/>
      <c r="N4165"/>
    </row>
    <row r="4166" spans="13:14" ht="14.25" customHeight="1">
      <c r="M4166"/>
      <c r="N4166"/>
    </row>
    <row r="4167" spans="13:14" ht="14.25" customHeight="1">
      <c r="M4167"/>
      <c r="N4167"/>
    </row>
    <row r="4168" spans="13:14" ht="14.25" customHeight="1">
      <c r="M4168"/>
      <c r="N4168"/>
    </row>
    <row r="4169" spans="13:14" ht="14.25" customHeight="1">
      <c r="M4169"/>
      <c r="N4169"/>
    </row>
    <row r="4170" spans="13:14" ht="14.25" customHeight="1">
      <c r="M4170"/>
      <c r="N4170"/>
    </row>
    <row r="4171" spans="13:14" ht="14.25" customHeight="1">
      <c r="M4171"/>
      <c r="N4171"/>
    </row>
    <row r="4172" spans="13:14" ht="14.25" customHeight="1">
      <c r="M4172"/>
      <c r="N4172"/>
    </row>
    <row r="4173" spans="13:14" ht="14.25" customHeight="1">
      <c r="M4173"/>
      <c r="N4173"/>
    </row>
    <row r="4174" spans="13:14" ht="14.25" customHeight="1">
      <c r="M4174"/>
      <c r="N4174"/>
    </row>
    <row r="4175" spans="13:14" ht="14.25" customHeight="1">
      <c r="M4175"/>
      <c r="N4175"/>
    </row>
    <row r="4176" spans="13:14" ht="14.25" customHeight="1">
      <c r="M4176"/>
      <c r="N4176"/>
    </row>
    <row r="4177" spans="13:14" ht="14.25" customHeight="1">
      <c r="M4177"/>
      <c r="N4177"/>
    </row>
    <row r="4178" spans="13:14" ht="14.25" customHeight="1">
      <c r="M4178"/>
      <c r="N4178"/>
    </row>
    <row r="4179" spans="13:14" ht="14.25" customHeight="1">
      <c r="M4179"/>
      <c r="N4179"/>
    </row>
    <row r="4180" spans="13:14" ht="14.25" customHeight="1">
      <c r="M4180"/>
      <c r="N4180"/>
    </row>
    <row r="4181" spans="13:14" ht="14.25" customHeight="1">
      <c r="M4181"/>
      <c r="N4181"/>
    </row>
    <row r="4182" spans="13:14" ht="14.25" customHeight="1">
      <c r="M4182"/>
      <c r="N4182"/>
    </row>
    <row r="4183" spans="13:14" ht="14.25" customHeight="1">
      <c r="M4183"/>
      <c r="N4183"/>
    </row>
    <row r="4184" spans="13:14" ht="14.25" customHeight="1">
      <c r="M4184"/>
      <c r="N4184"/>
    </row>
    <row r="4185" spans="13:14" ht="14.25" customHeight="1">
      <c r="M4185"/>
      <c r="N4185"/>
    </row>
    <row r="4186" spans="13:14" ht="14.25" customHeight="1">
      <c r="M4186"/>
      <c r="N4186"/>
    </row>
    <row r="4187" spans="13:14" ht="14.25" customHeight="1">
      <c r="M4187"/>
      <c r="N4187"/>
    </row>
    <row r="4188" spans="13:14" ht="14.25" customHeight="1">
      <c r="M4188"/>
      <c r="N4188"/>
    </row>
    <row r="4189" spans="13:14" ht="14.25" customHeight="1">
      <c r="M4189"/>
      <c r="N4189"/>
    </row>
    <row r="4190" spans="13:14" ht="14.25" customHeight="1">
      <c r="M4190"/>
      <c r="N4190"/>
    </row>
    <row r="4191" spans="13:14" ht="14.25" customHeight="1">
      <c r="M4191"/>
      <c r="N4191"/>
    </row>
    <row r="4192" spans="13:14" ht="14.25" customHeight="1">
      <c r="M4192"/>
      <c r="N4192"/>
    </row>
    <row r="4193" spans="13:14" ht="14.25" customHeight="1">
      <c r="M4193"/>
      <c r="N4193"/>
    </row>
    <row r="4194" spans="13:14" ht="14.25" customHeight="1">
      <c r="M4194"/>
      <c r="N4194"/>
    </row>
    <row r="4195" spans="13:14" ht="14.25" customHeight="1">
      <c r="M4195"/>
      <c r="N4195"/>
    </row>
    <row r="4196" spans="13:14" ht="14.25" customHeight="1">
      <c r="M4196"/>
      <c r="N4196"/>
    </row>
    <row r="4197" spans="13:14" ht="14.25" customHeight="1">
      <c r="M4197"/>
      <c r="N4197"/>
    </row>
    <row r="4198" spans="13:14" ht="14.25" customHeight="1">
      <c r="M4198"/>
      <c r="N4198"/>
    </row>
    <row r="4199" spans="13:14" ht="14.25" customHeight="1">
      <c r="M4199"/>
      <c r="N4199"/>
    </row>
    <row r="4200" spans="13:14" ht="14.25" customHeight="1">
      <c r="M4200"/>
      <c r="N4200"/>
    </row>
    <row r="4201" spans="13:14" ht="14.25" customHeight="1">
      <c r="M4201"/>
      <c r="N4201"/>
    </row>
    <row r="4202" spans="13:14" ht="14.25" customHeight="1">
      <c r="M4202"/>
      <c r="N4202"/>
    </row>
    <row r="4203" spans="13:14" ht="14.25" customHeight="1">
      <c r="M4203"/>
      <c r="N4203"/>
    </row>
    <row r="4204" spans="13:14" ht="14.25" customHeight="1">
      <c r="M4204"/>
      <c r="N4204"/>
    </row>
    <row r="4205" spans="13:14" ht="14.25" customHeight="1">
      <c r="M4205"/>
      <c r="N4205"/>
    </row>
    <row r="4206" spans="13:14" ht="14.25" customHeight="1">
      <c r="M4206"/>
      <c r="N4206"/>
    </row>
    <row r="4207" spans="13:14" ht="14.25" customHeight="1">
      <c r="M4207"/>
      <c r="N4207"/>
    </row>
    <row r="4208" spans="13:14" ht="14.25" customHeight="1">
      <c r="M4208"/>
      <c r="N4208"/>
    </row>
    <row r="4209" spans="13:14" ht="14.25" customHeight="1">
      <c r="M4209"/>
      <c r="N4209"/>
    </row>
    <row r="4210" spans="13:14" ht="14.25" customHeight="1">
      <c r="M4210"/>
      <c r="N4210"/>
    </row>
    <row r="4211" spans="13:14" ht="14.25" customHeight="1">
      <c r="M4211"/>
      <c r="N4211"/>
    </row>
    <row r="4212" spans="13:14" ht="14.25" customHeight="1">
      <c r="M4212"/>
      <c r="N4212"/>
    </row>
    <row r="4213" spans="13:14" ht="14.25" customHeight="1">
      <c r="M4213"/>
      <c r="N4213"/>
    </row>
    <row r="4214" spans="13:14" ht="14.25" customHeight="1">
      <c r="M4214"/>
      <c r="N4214"/>
    </row>
    <row r="4215" spans="13:14" ht="14.25" customHeight="1">
      <c r="M4215"/>
      <c r="N4215"/>
    </row>
    <row r="4216" spans="13:14" ht="14.25" customHeight="1">
      <c r="M4216"/>
      <c r="N4216"/>
    </row>
    <row r="4217" spans="13:14" ht="14.25" customHeight="1">
      <c r="M4217"/>
      <c r="N4217"/>
    </row>
    <row r="4218" spans="13:14" ht="14.25" customHeight="1">
      <c r="M4218"/>
      <c r="N4218"/>
    </row>
    <row r="4219" spans="13:14" ht="14.25" customHeight="1">
      <c r="M4219"/>
      <c r="N4219"/>
    </row>
    <row r="4220" spans="13:14" ht="14.25" customHeight="1">
      <c r="M4220"/>
      <c r="N4220"/>
    </row>
    <row r="4221" spans="13:14" ht="14.25" customHeight="1">
      <c r="M4221"/>
      <c r="N4221"/>
    </row>
    <row r="4222" spans="13:14" ht="14.25" customHeight="1">
      <c r="M4222"/>
      <c r="N4222"/>
    </row>
    <row r="4223" spans="13:14" ht="14.25" customHeight="1">
      <c r="M4223"/>
      <c r="N4223"/>
    </row>
    <row r="4224" spans="13:14" ht="14.25" customHeight="1">
      <c r="M4224"/>
      <c r="N4224"/>
    </row>
    <row r="4225" spans="13:14" ht="14.25" customHeight="1">
      <c r="M4225"/>
      <c r="N4225"/>
    </row>
    <row r="4226" spans="13:14" ht="14.25" customHeight="1">
      <c r="M4226"/>
      <c r="N4226"/>
    </row>
    <row r="4227" spans="13:14" ht="14.25" customHeight="1">
      <c r="M4227"/>
      <c r="N4227"/>
    </row>
    <row r="4228" spans="13:14" ht="14.25" customHeight="1">
      <c r="M4228"/>
      <c r="N4228"/>
    </row>
    <row r="4229" spans="13:14" ht="14.25" customHeight="1">
      <c r="M4229"/>
      <c r="N4229"/>
    </row>
    <row r="4230" spans="13:14" ht="14.25" customHeight="1">
      <c r="M4230"/>
      <c r="N4230"/>
    </row>
    <row r="4231" spans="13:14" ht="14.25" customHeight="1">
      <c r="M4231"/>
      <c r="N4231"/>
    </row>
    <row r="4232" spans="13:14" ht="14.25" customHeight="1">
      <c r="M4232"/>
      <c r="N4232"/>
    </row>
    <row r="4233" spans="13:14" ht="14.25" customHeight="1">
      <c r="M4233"/>
      <c r="N4233"/>
    </row>
    <row r="4234" spans="13:14" ht="14.25" customHeight="1">
      <c r="M4234"/>
      <c r="N4234"/>
    </row>
    <row r="4235" spans="13:14" ht="14.25" customHeight="1">
      <c r="M4235"/>
      <c r="N4235"/>
    </row>
    <row r="4236" spans="13:14" ht="14.25" customHeight="1">
      <c r="M4236"/>
      <c r="N4236"/>
    </row>
    <row r="4237" spans="13:14" ht="14.25" customHeight="1">
      <c r="M4237"/>
      <c r="N4237"/>
    </row>
    <row r="4238" spans="13:14" ht="14.25" customHeight="1">
      <c r="M4238"/>
      <c r="N4238"/>
    </row>
    <row r="4239" spans="13:14" ht="14.25" customHeight="1">
      <c r="M4239"/>
      <c r="N4239"/>
    </row>
    <row r="4240" spans="13:14" ht="14.25" customHeight="1">
      <c r="M4240"/>
      <c r="N4240"/>
    </row>
    <row r="4241" spans="13:14" ht="14.25" customHeight="1">
      <c r="M4241"/>
      <c r="N4241"/>
    </row>
    <row r="4242" spans="13:14" ht="14.25" customHeight="1">
      <c r="M4242"/>
      <c r="N4242"/>
    </row>
    <row r="4243" spans="13:14" ht="14.25" customHeight="1">
      <c r="M4243"/>
      <c r="N4243"/>
    </row>
    <row r="4244" spans="13:14" ht="14.25" customHeight="1">
      <c r="M4244"/>
      <c r="N4244"/>
    </row>
    <row r="4245" spans="13:14" ht="14.25" customHeight="1">
      <c r="M4245"/>
      <c r="N4245"/>
    </row>
    <row r="4246" spans="13:14" ht="14.25" customHeight="1">
      <c r="M4246"/>
      <c r="N4246"/>
    </row>
    <row r="4247" spans="13:14" ht="14.25" customHeight="1">
      <c r="M4247"/>
      <c r="N4247"/>
    </row>
    <row r="4248" spans="13:14" ht="14.25" customHeight="1">
      <c r="M4248"/>
      <c r="N4248"/>
    </row>
    <row r="4249" spans="13:14" ht="14.25" customHeight="1">
      <c r="M4249"/>
      <c r="N4249"/>
    </row>
    <row r="4250" spans="13:14" ht="14.25" customHeight="1">
      <c r="M4250"/>
      <c r="N4250"/>
    </row>
    <row r="4251" spans="13:14" ht="14.25" customHeight="1">
      <c r="M4251"/>
      <c r="N4251"/>
    </row>
    <row r="4252" spans="13:14" ht="14.25" customHeight="1">
      <c r="M4252"/>
      <c r="N4252"/>
    </row>
    <row r="4253" spans="13:14" ht="14.25" customHeight="1">
      <c r="M4253"/>
      <c r="N4253"/>
    </row>
    <row r="4254" spans="13:14" ht="14.25" customHeight="1">
      <c r="M4254"/>
      <c r="N4254"/>
    </row>
    <row r="4255" spans="13:14" ht="14.25" customHeight="1">
      <c r="M4255"/>
      <c r="N4255"/>
    </row>
    <row r="4256" spans="13:14" ht="14.25" customHeight="1">
      <c r="M4256"/>
      <c r="N4256"/>
    </row>
    <row r="4257" spans="13:14" ht="14.25" customHeight="1">
      <c r="M4257"/>
      <c r="N4257"/>
    </row>
    <row r="4258" spans="13:14" ht="14.25" customHeight="1">
      <c r="M4258"/>
      <c r="N4258"/>
    </row>
    <row r="4259" spans="13:14" ht="14.25" customHeight="1">
      <c r="M4259"/>
      <c r="N4259"/>
    </row>
    <row r="4260" spans="13:14" ht="14.25" customHeight="1">
      <c r="M4260"/>
      <c r="N4260"/>
    </row>
    <row r="4261" spans="13:14" ht="14.25" customHeight="1">
      <c r="M4261"/>
      <c r="N4261"/>
    </row>
    <row r="4262" spans="13:14" ht="14.25" customHeight="1">
      <c r="M4262"/>
      <c r="N4262"/>
    </row>
    <row r="4263" spans="13:14" ht="14.25" customHeight="1">
      <c r="M4263"/>
      <c r="N4263"/>
    </row>
    <row r="4264" spans="13:14" ht="14.25" customHeight="1">
      <c r="M4264"/>
      <c r="N4264"/>
    </row>
    <row r="4265" spans="13:14" ht="14.25" customHeight="1">
      <c r="M4265"/>
      <c r="N4265"/>
    </row>
    <row r="4266" spans="13:14" ht="14.25" customHeight="1">
      <c r="M4266"/>
      <c r="N4266"/>
    </row>
    <row r="4267" spans="13:14" ht="14.25" customHeight="1">
      <c r="M4267"/>
      <c r="N4267"/>
    </row>
    <row r="4268" spans="13:14" ht="14.25" customHeight="1">
      <c r="M4268"/>
      <c r="N4268"/>
    </row>
    <row r="4269" spans="13:14" ht="14.25" customHeight="1">
      <c r="M4269"/>
      <c r="N4269"/>
    </row>
    <row r="4270" spans="13:14" ht="14.25" customHeight="1">
      <c r="M4270"/>
      <c r="N4270"/>
    </row>
    <row r="4271" spans="13:14" ht="14.25" customHeight="1">
      <c r="M4271"/>
      <c r="N4271"/>
    </row>
    <row r="4272" spans="13:14" ht="14.25" customHeight="1">
      <c r="M4272"/>
      <c r="N4272"/>
    </row>
    <row r="4273" spans="13:14" ht="14.25" customHeight="1">
      <c r="M4273"/>
      <c r="N4273"/>
    </row>
    <row r="4274" spans="13:14" ht="14.25" customHeight="1">
      <c r="M4274"/>
      <c r="N4274"/>
    </row>
    <row r="4275" spans="13:14" ht="14.25" customHeight="1">
      <c r="M4275"/>
      <c r="N4275"/>
    </row>
    <row r="4276" spans="13:14" ht="14.25" customHeight="1">
      <c r="M4276"/>
      <c r="N4276"/>
    </row>
    <row r="4277" spans="13:14" ht="14.25" customHeight="1">
      <c r="M4277"/>
      <c r="N4277"/>
    </row>
    <row r="4278" spans="13:14" ht="14.25" customHeight="1">
      <c r="M4278"/>
      <c r="N4278"/>
    </row>
    <row r="4279" spans="13:14" ht="14.25" customHeight="1">
      <c r="M4279"/>
      <c r="N4279"/>
    </row>
    <row r="4280" spans="13:14" ht="14.25" customHeight="1">
      <c r="M4280"/>
      <c r="N4280"/>
    </row>
    <row r="4281" spans="13:14" ht="14.25" customHeight="1">
      <c r="M4281"/>
      <c r="N4281"/>
    </row>
    <row r="4282" spans="13:14" ht="14.25" customHeight="1">
      <c r="M4282"/>
      <c r="N4282"/>
    </row>
    <row r="4283" spans="13:14" ht="14.25" customHeight="1">
      <c r="M4283"/>
      <c r="N4283"/>
    </row>
    <row r="4284" spans="13:14" ht="14.25" customHeight="1">
      <c r="M4284"/>
      <c r="N4284"/>
    </row>
    <row r="4285" spans="13:14" ht="14.25" customHeight="1">
      <c r="M4285"/>
      <c r="N4285"/>
    </row>
    <row r="4286" spans="13:14" ht="14.25" customHeight="1">
      <c r="M4286"/>
      <c r="N4286"/>
    </row>
    <row r="4287" spans="13:14" ht="14.25" customHeight="1">
      <c r="M4287"/>
      <c r="N4287"/>
    </row>
    <row r="4288" spans="13:14" ht="14.25" customHeight="1">
      <c r="M4288"/>
      <c r="N4288"/>
    </row>
    <row r="4289" spans="13:14" ht="14.25" customHeight="1">
      <c r="M4289"/>
      <c r="N4289"/>
    </row>
    <row r="4290" spans="13:14" ht="14.25" customHeight="1">
      <c r="M4290"/>
      <c r="N4290"/>
    </row>
    <row r="4291" spans="13:14" ht="14.25" customHeight="1">
      <c r="M4291"/>
      <c r="N4291"/>
    </row>
    <row r="4292" spans="13:14" ht="14.25" customHeight="1">
      <c r="M4292"/>
      <c r="N4292"/>
    </row>
    <row r="4293" spans="13:14" ht="14.25" customHeight="1">
      <c r="M4293"/>
      <c r="N4293"/>
    </row>
    <row r="4294" spans="13:14" ht="14.25" customHeight="1">
      <c r="M4294"/>
      <c r="N4294"/>
    </row>
    <row r="4295" spans="13:14" ht="14.25" customHeight="1">
      <c r="M4295"/>
      <c r="N4295"/>
    </row>
    <row r="4296" spans="13:14" ht="14.25" customHeight="1">
      <c r="M4296"/>
      <c r="N4296"/>
    </row>
    <row r="4297" spans="13:14" ht="14.25" customHeight="1">
      <c r="M4297"/>
      <c r="N4297"/>
    </row>
    <row r="4298" spans="13:14" ht="14.25" customHeight="1">
      <c r="M4298"/>
      <c r="N4298"/>
    </row>
    <row r="4299" spans="13:14" ht="14.25" customHeight="1">
      <c r="M4299"/>
      <c r="N4299"/>
    </row>
    <row r="4300" spans="13:14" ht="14.25" customHeight="1">
      <c r="M4300"/>
      <c r="N4300"/>
    </row>
    <row r="4301" spans="13:14" ht="14.25" customHeight="1">
      <c r="M4301"/>
      <c r="N4301"/>
    </row>
    <row r="4302" spans="13:14" ht="14.25" customHeight="1">
      <c r="M4302"/>
      <c r="N4302"/>
    </row>
    <row r="4303" spans="13:14" ht="14.25" customHeight="1">
      <c r="M4303"/>
      <c r="N4303"/>
    </row>
    <row r="4304" spans="13:14" ht="14.25" customHeight="1">
      <c r="M4304"/>
      <c r="N4304"/>
    </row>
    <row r="4305" spans="13:14" ht="14.25" customHeight="1">
      <c r="M4305"/>
      <c r="N4305"/>
    </row>
    <row r="4306" spans="13:14" ht="14.25" customHeight="1">
      <c r="M4306"/>
      <c r="N4306"/>
    </row>
    <row r="4307" spans="13:14" ht="14.25" customHeight="1">
      <c r="M4307"/>
      <c r="N4307"/>
    </row>
    <row r="4308" spans="13:14" ht="14.25" customHeight="1">
      <c r="M4308"/>
      <c r="N4308"/>
    </row>
    <row r="4309" spans="13:14" ht="14.25" customHeight="1">
      <c r="M4309"/>
      <c r="N4309"/>
    </row>
    <row r="4310" spans="13:14" ht="14.25" customHeight="1">
      <c r="M4310"/>
      <c r="N4310"/>
    </row>
    <row r="4311" spans="13:14" ht="14.25" customHeight="1">
      <c r="M4311"/>
      <c r="N4311"/>
    </row>
    <row r="4312" spans="13:14" ht="14.25" customHeight="1">
      <c r="M4312"/>
      <c r="N4312"/>
    </row>
    <row r="4313" spans="13:14" ht="14.25" customHeight="1">
      <c r="M4313"/>
      <c r="N4313"/>
    </row>
    <row r="4314" spans="13:14" ht="14.25" customHeight="1">
      <c r="M4314"/>
      <c r="N4314"/>
    </row>
    <row r="4315" spans="13:14" ht="14.25" customHeight="1">
      <c r="M4315"/>
      <c r="N4315"/>
    </row>
    <row r="4316" spans="13:14" ht="14.25" customHeight="1">
      <c r="M4316"/>
      <c r="N4316"/>
    </row>
    <row r="4317" spans="13:14" ht="14.25" customHeight="1">
      <c r="M4317"/>
      <c r="N4317"/>
    </row>
    <row r="4318" spans="13:14" ht="14.25" customHeight="1">
      <c r="M4318"/>
      <c r="N4318"/>
    </row>
    <row r="4319" spans="13:14" ht="14.25" customHeight="1">
      <c r="M4319"/>
      <c r="N4319"/>
    </row>
    <row r="4320" spans="13:14" ht="14.25" customHeight="1">
      <c r="M4320"/>
      <c r="N4320"/>
    </row>
    <row r="4321" spans="13:14" ht="14.25" customHeight="1">
      <c r="M4321"/>
      <c r="N4321"/>
    </row>
    <row r="4322" spans="13:14" ht="14.25" customHeight="1">
      <c r="M4322"/>
      <c r="N4322"/>
    </row>
    <row r="4323" spans="13:14" ht="14.25" customHeight="1">
      <c r="M4323"/>
      <c r="N4323"/>
    </row>
    <row r="4324" spans="13:14" ht="14.25" customHeight="1">
      <c r="M4324"/>
      <c r="N4324"/>
    </row>
    <row r="4325" spans="13:14" ht="14.25" customHeight="1">
      <c r="M4325"/>
      <c r="N4325"/>
    </row>
    <row r="4326" spans="13:14" ht="14.25" customHeight="1">
      <c r="M4326"/>
      <c r="N4326"/>
    </row>
    <row r="4327" spans="13:14" ht="14.25" customHeight="1">
      <c r="M4327"/>
      <c r="N4327"/>
    </row>
    <row r="4328" spans="13:14" ht="14.25" customHeight="1">
      <c r="M4328"/>
      <c r="N4328"/>
    </row>
    <row r="4329" spans="13:14" ht="14.25" customHeight="1">
      <c r="M4329"/>
      <c r="N4329"/>
    </row>
    <row r="4330" spans="13:14" ht="14.25" customHeight="1">
      <c r="M4330"/>
      <c r="N4330"/>
    </row>
    <row r="4331" spans="13:14" ht="14.25" customHeight="1">
      <c r="M4331"/>
      <c r="N4331"/>
    </row>
    <row r="4332" spans="13:14" ht="14.25" customHeight="1">
      <c r="M4332"/>
      <c r="N4332"/>
    </row>
    <row r="4333" spans="13:14" ht="14.25" customHeight="1">
      <c r="M4333"/>
      <c r="N4333"/>
    </row>
    <row r="4334" spans="13:14" ht="14.25" customHeight="1">
      <c r="M4334"/>
      <c r="N4334"/>
    </row>
    <row r="4335" spans="13:14" ht="14.25" customHeight="1">
      <c r="M4335"/>
      <c r="N4335"/>
    </row>
    <row r="4336" spans="13:14" ht="14.25" customHeight="1">
      <c r="M4336"/>
      <c r="N4336"/>
    </row>
    <row r="4337" spans="13:14" ht="14.25" customHeight="1">
      <c r="M4337"/>
      <c r="N4337"/>
    </row>
    <row r="4338" spans="13:14" ht="14.25" customHeight="1">
      <c r="M4338"/>
      <c r="N4338"/>
    </row>
    <row r="4339" spans="13:14" ht="14.25" customHeight="1">
      <c r="M4339"/>
      <c r="N4339"/>
    </row>
    <row r="4340" spans="13:14" ht="14.25" customHeight="1">
      <c r="M4340"/>
      <c r="N4340"/>
    </row>
    <row r="4341" spans="13:14" ht="14.25" customHeight="1">
      <c r="M4341"/>
      <c r="N4341"/>
    </row>
    <row r="4342" spans="13:14" ht="14.25" customHeight="1">
      <c r="M4342"/>
      <c r="N4342"/>
    </row>
    <row r="4343" spans="13:14" ht="14.25" customHeight="1">
      <c r="M4343"/>
      <c r="N4343"/>
    </row>
    <row r="4344" spans="13:14" ht="14.25" customHeight="1">
      <c r="M4344"/>
      <c r="N4344"/>
    </row>
    <row r="4345" spans="13:14" ht="14.25" customHeight="1">
      <c r="M4345"/>
      <c r="N4345"/>
    </row>
    <row r="4346" spans="13:14" ht="14.25" customHeight="1">
      <c r="M4346"/>
      <c r="N4346"/>
    </row>
    <row r="4347" spans="13:14" ht="14.25" customHeight="1">
      <c r="M4347"/>
      <c r="N4347"/>
    </row>
    <row r="4348" spans="13:14" ht="14.25" customHeight="1">
      <c r="M4348"/>
      <c r="N4348"/>
    </row>
    <row r="4349" spans="13:14" ht="14.25" customHeight="1">
      <c r="M4349"/>
      <c r="N4349"/>
    </row>
    <row r="4350" spans="13:14" ht="14.25" customHeight="1">
      <c r="M4350"/>
      <c r="N4350"/>
    </row>
    <row r="4351" spans="13:14" ht="14.25" customHeight="1">
      <c r="M4351"/>
      <c r="N4351"/>
    </row>
    <row r="4352" spans="13:14" ht="14.25" customHeight="1">
      <c r="M4352"/>
      <c r="N4352"/>
    </row>
    <row r="4353" spans="13:14" ht="14.25" customHeight="1">
      <c r="M4353"/>
      <c r="N4353"/>
    </row>
    <row r="4354" spans="13:14" ht="14.25" customHeight="1">
      <c r="M4354"/>
      <c r="N4354"/>
    </row>
    <row r="4355" spans="13:14" ht="14.25" customHeight="1">
      <c r="M4355"/>
      <c r="N4355"/>
    </row>
    <row r="4356" spans="13:14" ht="14.25" customHeight="1">
      <c r="M4356"/>
      <c r="N4356"/>
    </row>
    <row r="4357" spans="13:14" ht="14.25" customHeight="1">
      <c r="M4357"/>
      <c r="N4357"/>
    </row>
    <row r="4358" spans="13:14" ht="14.25" customHeight="1">
      <c r="M4358"/>
      <c r="N4358"/>
    </row>
    <row r="4359" spans="13:14" ht="14.25" customHeight="1">
      <c r="M4359"/>
      <c r="N4359"/>
    </row>
    <row r="4360" spans="13:14" ht="14.25" customHeight="1">
      <c r="M4360"/>
      <c r="N4360"/>
    </row>
    <row r="4361" spans="13:14" ht="14.25" customHeight="1">
      <c r="M4361"/>
      <c r="N4361"/>
    </row>
    <row r="4362" spans="13:14" ht="14.25" customHeight="1">
      <c r="M4362"/>
      <c r="N4362"/>
    </row>
    <row r="4363" spans="13:14" ht="14.25" customHeight="1">
      <c r="M4363"/>
      <c r="N4363"/>
    </row>
    <row r="4364" spans="13:14" ht="14.25" customHeight="1">
      <c r="M4364"/>
      <c r="N4364"/>
    </row>
    <row r="4365" spans="13:14" ht="14.25" customHeight="1">
      <c r="M4365"/>
      <c r="N4365"/>
    </row>
    <row r="4366" spans="13:14" ht="14.25" customHeight="1">
      <c r="M4366"/>
      <c r="N4366"/>
    </row>
    <row r="4367" spans="13:14" ht="14.25" customHeight="1">
      <c r="M4367"/>
      <c r="N4367"/>
    </row>
    <row r="4368" spans="13:14" ht="14.25" customHeight="1">
      <c r="M4368"/>
      <c r="N4368"/>
    </row>
    <row r="4369" spans="13:14" ht="14.25" customHeight="1">
      <c r="M4369"/>
      <c r="N4369"/>
    </row>
    <row r="4370" spans="13:14" ht="14.25" customHeight="1">
      <c r="M4370"/>
      <c r="N4370"/>
    </row>
    <row r="4371" spans="13:14" ht="14.25" customHeight="1">
      <c r="M4371"/>
      <c r="N4371"/>
    </row>
    <row r="4372" spans="13:14" ht="14.25" customHeight="1">
      <c r="M4372"/>
      <c r="N4372"/>
    </row>
    <row r="4373" spans="13:14" ht="14.25" customHeight="1">
      <c r="M4373"/>
      <c r="N4373"/>
    </row>
    <row r="4374" spans="13:14" ht="14.25" customHeight="1">
      <c r="M4374"/>
      <c r="N4374"/>
    </row>
    <row r="4375" spans="13:14" ht="14.25" customHeight="1">
      <c r="M4375"/>
      <c r="N4375"/>
    </row>
    <row r="4376" spans="13:14" ht="14.25" customHeight="1">
      <c r="M4376"/>
      <c r="N4376"/>
    </row>
    <row r="4377" spans="13:14" ht="14.25" customHeight="1">
      <c r="M4377"/>
      <c r="N4377"/>
    </row>
    <row r="4378" spans="13:14" ht="14.25" customHeight="1">
      <c r="M4378"/>
      <c r="N4378"/>
    </row>
    <row r="4379" spans="13:14" ht="14.25" customHeight="1">
      <c r="M4379"/>
      <c r="N4379"/>
    </row>
    <row r="4380" spans="13:14" ht="14.25" customHeight="1">
      <c r="M4380"/>
      <c r="N4380"/>
    </row>
    <row r="4381" spans="13:14" ht="14.25" customHeight="1">
      <c r="M4381"/>
      <c r="N4381"/>
    </row>
    <row r="4382" spans="13:14" ht="14.25" customHeight="1">
      <c r="M4382"/>
      <c r="N4382"/>
    </row>
    <row r="4383" spans="13:14" ht="14.25" customHeight="1">
      <c r="M4383"/>
      <c r="N4383"/>
    </row>
    <row r="4384" spans="13:14" ht="14.25" customHeight="1">
      <c r="M4384"/>
      <c r="N4384"/>
    </row>
    <row r="4385" spans="13:14" ht="14.25" customHeight="1">
      <c r="M4385"/>
      <c r="N4385"/>
    </row>
    <row r="4386" spans="13:14" ht="14.25" customHeight="1">
      <c r="M4386"/>
      <c r="N4386"/>
    </row>
    <row r="4387" spans="13:14" ht="14.25" customHeight="1">
      <c r="M4387"/>
      <c r="N4387"/>
    </row>
    <row r="4388" spans="13:14" ht="14.25" customHeight="1">
      <c r="M4388"/>
      <c r="N4388"/>
    </row>
    <row r="4389" spans="13:14" ht="14.25" customHeight="1">
      <c r="M4389"/>
      <c r="N4389"/>
    </row>
    <row r="4390" spans="13:14" ht="14.25" customHeight="1">
      <c r="M4390"/>
      <c r="N4390"/>
    </row>
    <row r="4391" spans="13:14" ht="14.25" customHeight="1">
      <c r="M4391"/>
      <c r="N4391"/>
    </row>
    <row r="4392" spans="13:14" ht="14.25" customHeight="1">
      <c r="M4392"/>
      <c r="N4392"/>
    </row>
    <row r="4393" spans="13:14" ht="14.25" customHeight="1">
      <c r="M4393"/>
      <c r="N4393"/>
    </row>
    <row r="4394" spans="13:14" ht="14.25" customHeight="1">
      <c r="M4394"/>
      <c r="N4394"/>
    </row>
    <row r="4395" spans="13:14" ht="14.25" customHeight="1">
      <c r="M4395"/>
      <c r="N4395"/>
    </row>
    <row r="4396" spans="13:14" ht="14.25" customHeight="1">
      <c r="M4396"/>
      <c r="N4396"/>
    </row>
    <row r="4397" spans="13:14" ht="14.25" customHeight="1">
      <c r="M4397"/>
      <c r="N4397"/>
    </row>
    <row r="4398" spans="13:14" ht="14.25" customHeight="1">
      <c r="M4398"/>
      <c r="N4398"/>
    </row>
    <row r="4399" spans="13:14" ht="14.25" customHeight="1">
      <c r="M4399"/>
      <c r="N4399"/>
    </row>
    <row r="4400" spans="13:14" ht="14.25" customHeight="1">
      <c r="M4400"/>
      <c r="N4400"/>
    </row>
    <row r="4401" spans="13:14" ht="14.25" customHeight="1">
      <c r="M4401"/>
      <c r="N4401"/>
    </row>
    <row r="4402" spans="13:14" ht="14.25" customHeight="1">
      <c r="M4402"/>
      <c r="N4402"/>
    </row>
    <row r="4403" spans="13:14" ht="14.25" customHeight="1">
      <c r="M4403"/>
      <c r="N4403"/>
    </row>
    <row r="4404" spans="13:14" ht="14.25" customHeight="1">
      <c r="M4404"/>
      <c r="N4404"/>
    </row>
    <row r="4405" spans="13:14" ht="14.25" customHeight="1">
      <c r="M4405"/>
      <c r="N4405"/>
    </row>
    <row r="4406" spans="13:14" ht="14.25" customHeight="1">
      <c r="M4406"/>
      <c r="N4406"/>
    </row>
    <row r="4407" spans="13:14" ht="14.25" customHeight="1">
      <c r="M4407"/>
      <c r="N4407"/>
    </row>
    <row r="4408" spans="13:14" ht="14.25" customHeight="1">
      <c r="M4408"/>
      <c r="N4408"/>
    </row>
    <row r="4409" spans="13:14" ht="14.25" customHeight="1">
      <c r="M4409"/>
      <c r="N4409"/>
    </row>
    <row r="4410" spans="13:14" ht="14.25" customHeight="1">
      <c r="M4410"/>
      <c r="N4410"/>
    </row>
    <row r="4411" spans="13:14" ht="14.25" customHeight="1">
      <c r="M4411"/>
      <c r="N4411"/>
    </row>
    <row r="4412" spans="13:14" ht="14.25" customHeight="1">
      <c r="M4412"/>
      <c r="N4412"/>
    </row>
    <row r="4413" spans="13:14" ht="14.25" customHeight="1">
      <c r="M4413"/>
      <c r="N4413"/>
    </row>
    <row r="4414" spans="13:14" ht="14.25" customHeight="1">
      <c r="M4414"/>
      <c r="N4414"/>
    </row>
    <row r="4415" spans="13:14" ht="14.25" customHeight="1">
      <c r="M4415"/>
      <c r="N4415"/>
    </row>
    <row r="4416" spans="13:14" ht="14.25" customHeight="1">
      <c r="M4416"/>
      <c r="N4416"/>
    </row>
    <row r="4417" spans="13:14" ht="14.25" customHeight="1">
      <c r="M4417"/>
      <c r="N4417"/>
    </row>
    <row r="4418" spans="13:14" ht="14.25" customHeight="1">
      <c r="M4418"/>
      <c r="N4418"/>
    </row>
    <row r="4419" spans="13:14" ht="14.25" customHeight="1">
      <c r="M4419"/>
      <c r="N4419"/>
    </row>
    <row r="4420" spans="13:14" ht="14.25" customHeight="1">
      <c r="M4420"/>
      <c r="N4420"/>
    </row>
    <row r="4421" spans="13:14" ht="14.25" customHeight="1">
      <c r="M4421"/>
      <c r="N4421"/>
    </row>
    <row r="4422" spans="13:14" ht="14.25" customHeight="1">
      <c r="M4422"/>
      <c r="N4422"/>
    </row>
    <row r="4423" spans="13:14" ht="14.25" customHeight="1">
      <c r="M4423"/>
      <c r="N4423"/>
    </row>
    <row r="4424" spans="13:14" ht="14.25" customHeight="1">
      <c r="M4424"/>
      <c r="N4424"/>
    </row>
    <row r="4425" spans="13:14" ht="14.25" customHeight="1">
      <c r="M4425"/>
      <c r="N4425"/>
    </row>
    <row r="4426" spans="13:14" ht="14.25" customHeight="1">
      <c r="M4426"/>
      <c r="N4426"/>
    </row>
    <row r="4427" spans="13:14" ht="14.25" customHeight="1">
      <c r="M4427"/>
      <c r="N4427"/>
    </row>
    <row r="4428" spans="13:14" ht="14.25" customHeight="1">
      <c r="M4428"/>
      <c r="N4428"/>
    </row>
    <row r="4429" spans="13:14" ht="14.25" customHeight="1">
      <c r="M4429"/>
      <c r="N4429"/>
    </row>
    <row r="4430" spans="13:14" ht="14.25" customHeight="1">
      <c r="M4430"/>
      <c r="N4430"/>
    </row>
    <row r="4431" spans="13:14" ht="14.25" customHeight="1">
      <c r="M4431"/>
      <c r="N4431"/>
    </row>
    <row r="4432" spans="13:14" ht="14.25" customHeight="1">
      <c r="M4432"/>
      <c r="N4432"/>
    </row>
    <row r="4433" spans="13:14" ht="14.25" customHeight="1">
      <c r="M4433"/>
      <c r="N4433"/>
    </row>
    <row r="4434" spans="13:14" ht="14.25" customHeight="1">
      <c r="M4434"/>
      <c r="N4434"/>
    </row>
    <row r="4435" spans="13:14" ht="14.25" customHeight="1">
      <c r="M4435"/>
      <c r="N4435"/>
    </row>
    <row r="4436" spans="13:14" ht="14.25" customHeight="1">
      <c r="M4436"/>
      <c r="N4436"/>
    </row>
    <row r="4437" spans="13:14" ht="14.25" customHeight="1">
      <c r="M4437"/>
      <c r="N4437"/>
    </row>
    <row r="4438" spans="13:14" ht="14.25" customHeight="1">
      <c r="M4438"/>
      <c r="N4438"/>
    </row>
    <row r="4439" spans="13:14" ht="14.25" customHeight="1">
      <c r="M4439"/>
      <c r="N4439"/>
    </row>
    <row r="4440" spans="13:14" ht="14.25" customHeight="1">
      <c r="M4440"/>
      <c r="N4440"/>
    </row>
    <row r="4441" spans="13:14" ht="14.25" customHeight="1">
      <c r="M4441"/>
      <c r="N4441"/>
    </row>
    <row r="4442" spans="13:14" ht="14.25" customHeight="1">
      <c r="M4442"/>
      <c r="N4442"/>
    </row>
    <row r="4443" spans="13:14" ht="14.25" customHeight="1">
      <c r="M4443"/>
      <c r="N4443"/>
    </row>
    <row r="4444" spans="13:14" ht="14.25" customHeight="1">
      <c r="M4444"/>
      <c r="N4444"/>
    </row>
    <row r="4445" spans="13:14" ht="14.25" customHeight="1">
      <c r="M4445"/>
      <c r="N4445"/>
    </row>
    <row r="4446" spans="13:14" ht="14.25" customHeight="1">
      <c r="M4446"/>
      <c r="N4446"/>
    </row>
    <row r="4447" spans="13:14" ht="14.25" customHeight="1">
      <c r="M4447"/>
      <c r="N4447"/>
    </row>
    <row r="4448" spans="13:14" ht="14.25" customHeight="1">
      <c r="M4448"/>
      <c r="N4448"/>
    </row>
    <row r="4449" spans="13:14" ht="14.25" customHeight="1">
      <c r="M4449"/>
      <c r="N4449"/>
    </row>
    <row r="4450" spans="13:14" ht="14.25" customHeight="1">
      <c r="M4450"/>
      <c r="N4450"/>
    </row>
    <row r="4451" spans="13:14" ht="14.25" customHeight="1">
      <c r="M4451"/>
      <c r="N4451"/>
    </row>
    <row r="4452" spans="13:14" ht="14.25" customHeight="1">
      <c r="M4452"/>
      <c r="N4452"/>
    </row>
    <row r="4453" spans="13:14" ht="14.25" customHeight="1">
      <c r="M4453"/>
      <c r="N4453"/>
    </row>
    <row r="4454" spans="13:14" ht="14.25" customHeight="1">
      <c r="M4454"/>
      <c r="N4454"/>
    </row>
    <row r="4455" spans="13:14" ht="14.25" customHeight="1">
      <c r="M4455"/>
      <c r="N4455"/>
    </row>
    <row r="4456" spans="13:14" ht="14.25" customHeight="1">
      <c r="M4456"/>
      <c r="N4456"/>
    </row>
    <row r="4457" spans="13:14" ht="14.25" customHeight="1">
      <c r="M4457"/>
      <c r="N4457"/>
    </row>
    <row r="4458" spans="13:14" ht="14.25" customHeight="1">
      <c r="M4458"/>
      <c r="N4458"/>
    </row>
    <row r="4459" spans="13:14" ht="14.25" customHeight="1">
      <c r="M4459"/>
      <c r="N4459"/>
    </row>
    <row r="4460" spans="13:14" ht="14.25" customHeight="1">
      <c r="M4460"/>
      <c r="N4460"/>
    </row>
    <row r="4461" spans="13:14" ht="14.25" customHeight="1">
      <c r="M4461"/>
      <c r="N4461"/>
    </row>
    <row r="4462" spans="13:14" ht="14.25" customHeight="1">
      <c r="M4462"/>
      <c r="N4462"/>
    </row>
    <row r="4463" spans="13:14" ht="14.25" customHeight="1">
      <c r="M4463"/>
      <c r="N4463"/>
    </row>
    <row r="4464" spans="13:14" ht="14.25" customHeight="1">
      <c r="M4464"/>
      <c r="N4464"/>
    </row>
    <row r="4465" spans="13:14" ht="14.25" customHeight="1">
      <c r="M4465"/>
      <c r="N4465"/>
    </row>
    <row r="4466" spans="13:14" ht="14.25" customHeight="1">
      <c r="M4466"/>
      <c r="N4466"/>
    </row>
    <row r="4467" spans="13:14" ht="14.25" customHeight="1">
      <c r="M4467"/>
      <c r="N4467"/>
    </row>
    <row r="4468" spans="13:14" ht="14.25" customHeight="1">
      <c r="M4468"/>
      <c r="N4468"/>
    </row>
    <row r="4469" spans="13:14" ht="14.25" customHeight="1">
      <c r="M4469"/>
      <c r="N4469"/>
    </row>
    <row r="4470" spans="13:14" ht="14.25" customHeight="1">
      <c r="M4470"/>
      <c r="N4470"/>
    </row>
    <row r="4471" spans="13:14" ht="14.25" customHeight="1">
      <c r="M4471"/>
      <c r="N4471"/>
    </row>
    <row r="4472" spans="13:14" ht="14.25" customHeight="1">
      <c r="M4472"/>
      <c r="N4472"/>
    </row>
    <row r="4473" spans="13:14" ht="14.25" customHeight="1">
      <c r="M4473"/>
      <c r="N4473"/>
    </row>
    <row r="4474" spans="13:14" ht="14.25" customHeight="1">
      <c r="M4474"/>
      <c r="N4474"/>
    </row>
    <row r="4475" spans="13:14" ht="14.25" customHeight="1">
      <c r="M4475"/>
      <c r="N4475"/>
    </row>
    <row r="4476" spans="13:14" ht="14.25" customHeight="1">
      <c r="M4476"/>
      <c r="N4476"/>
    </row>
    <row r="4477" spans="13:14" ht="14.25" customHeight="1">
      <c r="M4477"/>
      <c r="N4477"/>
    </row>
    <row r="4478" spans="13:14" ht="14.25" customHeight="1">
      <c r="M4478"/>
      <c r="N4478"/>
    </row>
    <row r="4479" spans="13:14" ht="14.25" customHeight="1">
      <c r="M4479"/>
      <c r="N4479"/>
    </row>
    <row r="4480" spans="13:14" ht="14.25" customHeight="1">
      <c r="M4480"/>
      <c r="N4480"/>
    </row>
    <row r="4481" spans="13:14" ht="14.25" customHeight="1">
      <c r="M4481"/>
      <c r="N4481"/>
    </row>
    <row r="4482" spans="13:14" ht="14.25" customHeight="1">
      <c r="M4482"/>
      <c r="N4482"/>
    </row>
    <row r="4483" spans="13:14" ht="14.25" customHeight="1">
      <c r="M4483"/>
      <c r="N4483"/>
    </row>
    <row r="4484" spans="13:14" ht="14.25" customHeight="1">
      <c r="M4484"/>
      <c r="N4484"/>
    </row>
    <row r="4485" spans="13:14" ht="14.25" customHeight="1">
      <c r="M4485"/>
      <c r="N4485"/>
    </row>
    <row r="4486" spans="13:14" ht="14.25" customHeight="1">
      <c r="M4486"/>
      <c r="N4486"/>
    </row>
    <row r="4487" spans="13:14" ht="14.25" customHeight="1">
      <c r="M4487"/>
      <c r="N4487"/>
    </row>
    <row r="4488" spans="13:14" ht="14.25" customHeight="1">
      <c r="M4488"/>
      <c r="N4488"/>
    </row>
    <row r="4489" spans="13:14" ht="14.25" customHeight="1">
      <c r="M4489"/>
      <c r="N4489"/>
    </row>
    <row r="4490" spans="13:14" ht="14.25" customHeight="1">
      <c r="M4490"/>
      <c r="N4490"/>
    </row>
    <row r="4491" spans="13:14" ht="14.25" customHeight="1">
      <c r="M4491"/>
      <c r="N4491"/>
    </row>
    <row r="4492" spans="13:14" ht="14.25" customHeight="1">
      <c r="M4492"/>
      <c r="N4492"/>
    </row>
    <row r="4493" spans="13:14" ht="14.25" customHeight="1">
      <c r="M4493"/>
      <c r="N4493"/>
    </row>
    <row r="4494" spans="13:14" ht="14.25" customHeight="1">
      <c r="M4494"/>
      <c r="N4494"/>
    </row>
    <row r="4495" spans="13:14" ht="14.25" customHeight="1">
      <c r="M4495"/>
      <c r="N4495"/>
    </row>
    <row r="4496" spans="13:14" ht="14.25" customHeight="1">
      <c r="M4496"/>
      <c r="N4496"/>
    </row>
    <row r="4497" spans="13:14" ht="14.25" customHeight="1">
      <c r="M4497"/>
      <c r="N4497"/>
    </row>
    <row r="4498" spans="13:14" ht="14.25" customHeight="1">
      <c r="M4498"/>
      <c r="N4498"/>
    </row>
    <row r="4499" spans="13:14" ht="14.25" customHeight="1">
      <c r="M4499"/>
      <c r="N4499"/>
    </row>
    <row r="4500" spans="13:14" ht="14.25" customHeight="1">
      <c r="M4500"/>
      <c r="N4500"/>
    </row>
    <row r="4501" spans="13:14" ht="14.25" customHeight="1">
      <c r="M4501"/>
      <c r="N4501"/>
    </row>
    <row r="4502" spans="13:14" ht="14.25" customHeight="1">
      <c r="M4502"/>
      <c r="N4502"/>
    </row>
    <row r="4503" spans="13:14" ht="14.25" customHeight="1">
      <c r="M4503"/>
      <c r="N4503"/>
    </row>
    <row r="4504" spans="13:14" ht="14.25" customHeight="1">
      <c r="M4504"/>
      <c r="N4504"/>
    </row>
    <row r="4505" spans="13:14" ht="14.25" customHeight="1">
      <c r="M4505"/>
      <c r="N4505"/>
    </row>
    <row r="4506" spans="13:14" ht="14.25" customHeight="1">
      <c r="M4506"/>
      <c r="N4506"/>
    </row>
    <row r="4507" spans="13:14" ht="14.25" customHeight="1">
      <c r="M4507"/>
      <c r="N4507"/>
    </row>
    <row r="4508" spans="13:14" ht="14.25" customHeight="1">
      <c r="M4508"/>
      <c r="N4508"/>
    </row>
    <row r="4509" spans="13:14" ht="14.25" customHeight="1">
      <c r="M4509"/>
      <c r="N4509"/>
    </row>
    <row r="4510" spans="13:14" ht="14.25" customHeight="1">
      <c r="M4510"/>
      <c r="N4510"/>
    </row>
    <row r="4511" spans="13:14" ht="14.25" customHeight="1">
      <c r="M4511"/>
      <c r="N4511"/>
    </row>
    <row r="4512" spans="13:14" ht="14.25" customHeight="1">
      <c r="M4512"/>
      <c r="N4512"/>
    </row>
    <row r="4513" spans="13:14" ht="14.25" customHeight="1">
      <c r="M4513"/>
      <c r="N4513"/>
    </row>
    <row r="4514" spans="13:14" ht="14.25" customHeight="1">
      <c r="M4514"/>
      <c r="N4514"/>
    </row>
    <row r="4515" spans="13:14" ht="14.25" customHeight="1">
      <c r="M4515"/>
      <c r="N4515"/>
    </row>
    <row r="4516" spans="13:14" ht="14.25" customHeight="1">
      <c r="M4516"/>
      <c r="N4516"/>
    </row>
    <row r="4517" spans="13:14" ht="14.25" customHeight="1">
      <c r="M4517"/>
      <c r="N4517"/>
    </row>
    <row r="4518" spans="13:14" ht="14.25" customHeight="1">
      <c r="M4518"/>
      <c r="N4518"/>
    </row>
    <row r="4519" spans="13:14" ht="14.25" customHeight="1">
      <c r="M4519"/>
      <c r="N4519"/>
    </row>
    <row r="4520" spans="13:14" ht="14.25" customHeight="1">
      <c r="M4520"/>
      <c r="N4520"/>
    </row>
    <row r="4521" spans="13:14" ht="14.25" customHeight="1">
      <c r="M4521"/>
      <c r="N4521"/>
    </row>
    <row r="4522" spans="13:14" ht="14.25" customHeight="1">
      <c r="M4522"/>
      <c r="N4522"/>
    </row>
    <row r="4523" spans="13:14" ht="14.25" customHeight="1">
      <c r="M4523"/>
      <c r="N4523"/>
    </row>
    <row r="4524" spans="13:14" ht="14.25" customHeight="1">
      <c r="M4524"/>
      <c r="N4524"/>
    </row>
    <row r="4525" spans="13:14" ht="14.25" customHeight="1">
      <c r="M4525"/>
      <c r="N4525"/>
    </row>
    <row r="4526" spans="13:14" ht="14.25" customHeight="1">
      <c r="M4526"/>
      <c r="N4526"/>
    </row>
    <row r="4527" spans="13:14" ht="14.25" customHeight="1">
      <c r="M4527"/>
      <c r="N4527"/>
    </row>
    <row r="4528" spans="13:14" ht="14.25" customHeight="1">
      <c r="M4528"/>
      <c r="N4528"/>
    </row>
    <row r="4529" spans="13:14" ht="14.25" customHeight="1">
      <c r="M4529"/>
      <c r="N4529"/>
    </row>
    <row r="4530" spans="13:14" ht="14.25" customHeight="1">
      <c r="M4530"/>
      <c r="N4530"/>
    </row>
    <row r="4531" spans="13:14" ht="14.25" customHeight="1">
      <c r="M4531"/>
      <c r="N4531"/>
    </row>
    <row r="4532" spans="13:14" ht="14.25" customHeight="1">
      <c r="M4532"/>
      <c r="N4532"/>
    </row>
    <row r="4533" spans="13:14" ht="14.25" customHeight="1">
      <c r="M4533"/>
      <c r="N4533"/>
    </row>
    <row r="4534" spans="13:14" ht="14.25" customHeight="1">
      <c r="M4534"/>
      <c r="N4534"/>
    </row>
    <row r="4535" spans="13:14" ht="14.25" customHeight="1">
      <c r="M4535"/>
      <c r="N4535"/>
    </row>
    <row r="4536" spans="13:14" ht="14.25" customHeight="1">
      <c r="M4536"/>
      <c r="N4536"/>
    </row>
    <row r="4537" spans="13:14" ht="14.25" customHeight="1">
      <c r="M4537"/>
      <c r="N4537"/>
    </row>
    <row r="4538" spans="13:14" ht="14.25" customHeight="1">
      <c r="M4538"/>
      <c r="N4538"/>
    </row>
    <row r="4539" spans="13:14" ht="14.25" customHeight="1">
      <c r="M4539"/>
      <c r="N4539"/>
    </row>
    <row r="4540" spans="13:14" ht="14.25" customHeight="1">
      <c r="M4540"/>
      <c r="N4540"/>
    </row>
    <row r="4541" spans="13:14" ht="14.25" customHeight="1">
      <c r="M4541"/>
      <c r="N4541"/>
    </row>
    <row r="4542" spans="13:14" ht="14.25" customHeight="1">
      <c r="M4542"/>
      <c r="N4542"/>
    </row>
    <row r="4543" spans="13:14" ht="14.25" customHeight="1">
      <c r="M4543"/>
      <c r="N4543"/>
    </row>
    <row r="4544" spans="13:14" ht="14.25" customHeight="1">
      <c r="M4544"/>
      <c r="N4544"/>
    </row>
    <row r="4545" spans="13:14" ht="14.25" customHeight="1">
      <c r="M4545"/>
      <c r="N4545"/>
    </row>
    <row r="4546" spans="13:14" ht="14.25" customHeight="1">
      <c r="M4546"/>
      <c r="N4546"/>
    </row>
    <row r="4547" spans="13:14" ht="14.25" customHeight="1">
      <c r="M4547"/>
      <c r="N4547"/>
    </row>
    <row r="4548" spans="13:14" ht="14.25" customHeight="1">
      <c r="M4548"/>
      <c r="N4548"/>
    </row>
    <row r="4549" spans="13:14" ht="14.25" customHeight="1">
      <c r="M4549"/>
      <c r="N4549"/>
    </row>
    <row r="4550" spans="13:14" ht="14.25" customHeight="1">
      <c r="M4550"/>
      <c r="N4550"/>
    </row>
    <row r="4551" spans="13:14" ht="14.25" customHeight="1">
      <c r="M4551"/>
      <c r="N4551"/>
    </row>
    <row r="4552" spans="13:14" ht="14.25" customHeight="1">
      <c r="M4552"/>
      <c r="N4552"/>
    </row>
    <row r="4553" spans="13:14" ht="14.25" customHeight="1">
      <c r="M4553"/>
      <c r="N4553"/>
    </row>
    <row r="4554" spans="13:14" ht="14.25" customHeight="1">
      <c r="M4554"/>
      <c r="N4554"/>
    </row>
    <row r="4555" spans="13:14" ht="14.25" customHeight="1">
      <c r="M4555"/>
      <c r="N4555"/>
    </row>
    <row r="4556" spans="13:14" ht="14.25" customHeight="1">
      <c r="M4556"/>
      <c r="N4556"/>
    </row>
    <row r="4557" spans="13:14" ht="14.25" customHeight="1">
      <c r="M4557"/>
      <c r="N4557"/>
    </row>
    <row r="4558" spans="13:14" ht="14.25" customHeight="1">
      <c r="M4558"/>
      <c r="N4558"/>
    </row>
    <row r="4559" spans="13:14" ht="14.25" customHeight="1">
      <c r="M4559"/>
      <c r="N4559"/>
    </row>
    <row r="4560" spans="13:14" ht="14.25" customHeight="1">
      <c r="M4560"/>
      <c r="N4560"/>
    </row>
    <row r="4561" spans="13:14" ht="14.25" customHeight="1">
      <c r="M4561"/>
      <c r="N4561"/>
    </row>
    <row r="4562" spans="13:14" ht="14.25" customHeight="1">
      <c r="M4562"/>
      <c r="N4562"/>
    </row>
    <row r="4563" spans="13:14" ht="14.25" customHeight="1">
      <c r="M4563"/>
      <c r="N4563"/>
    </row>
    <row r="4564" spans="13:14" ht="14.25" customHeight="1">
      <c r="M4564"/>
      <c r="N4564"/>
    </row>
    <row r="4565" spans="13:14" ht="14.25" customHeight="1">
      <c r="M4565"/>
      <c r="N4565"/>
    </row>
    <row r="4566" spans="13:14" ht="14.25" customHeight="1">
      <c r="M4566"/>
      <c r="N4566"/>
    </row>
    <row r="4567" spans="13:14" ht="14.25" customHeight="1">
      <c r="M4567"/>
      <c r="N4567"/>
    </row>
    <row r="4568" spans="13:14" ht="14.25" customHeight="1">
      <c r="M4568"/>
      <c r="N4568"/>
    </row>
    <row r="4569" spans="13:14" ht="14.25" customHeight="1">
      <c r="M4569"/>
      <c r="N4569"/>
    </row>
    <row r="4570" spans="13:14" ht="14.25" customHeight="1">
      <c r="M4570"/>
      <c r="N4570"/>
    </row>
    <row r="4571" spans="13:14" ht="14.25" customHeight="1">
      <c r="M4571"/>
      <c r="N4571"/>
    </row>
    <row r="4572" spans="13:14" ht="14.25" customHeight="1">
      <c r="M4572"/>
      <c r="N4572"/>
    </row>
    <row r="4573" spans="13:14" ht="14.25" customHeight="1">
      <c r="M4573"/>
      <c r="N4573"/>
    </row>
    <row r="4574" spans="13:14" ht="14.25" customHeight="1">
      <c r="M4574"/>
      <c r="N4574"/>
    </row>
    <row r="4575" spans="13:14" ht="14.25" customHeight="1">
      <c r="M4575"/>
      <c r="N4575"/>
    </row>
    <row r="4576" spans="13:14" ht="14.25" customHeight="1">
      <c r="M4576"/>
      <c r="N4576"/>
    </row>
    <row r="4577" spans="13:14" ht="14.25" customHeight="1">
      <c r="M4577"/>
      <c r="N4577"/>
    </row>
    <row r="4578" spans="13:14" ht="14.25" customHeight="1">
      <c r="M4578"/>
      <c r="N4578"/>
    </row>
    <row r="4579" spans="13:14" ht="14.25" customHeight="1">
      <c r="M4579"/>
      <c r="N4579"/>
    </row>
    <row r="4580" spans="13:14" ht="14.25" customHeight="1">
      <c r="M4580"/>
      <c r="N4580"/>
    </row>
    <row r="4581" spans="13:14" ht="14.25" customHeight="1">
      <c r="M4581"/>
      <c r="N4581"/>
    </row>
    <row r="4582" spans="13:14" ht="14.25" customHeight="1">
      <c r="M4582"/>
      <c r="N4582"/>
    </row>
    <row r="4583" spans="13:14" ht="14.25" customHeight="1">
      <c r="M4583"/>
      <c r="N4583"/>
    </row>
    <row r="4584" spans="13:14" ht="14.25" customHeight="1">
      <c r="M4584"/>
      <c r="N4584"/>
    </row>
    <row r="4585" spans="13:14" ht="14.25" customHeight="1">
      <c r="M4585"/>
      <c r="N4585"/>
    </row>
    <row r="4586" spans="13:14" ht="14.25" customHeight="1">
      <c r="M4586"/>
      <c r="N4586"/>
    </row>
    <row r="4587" spans="13:14" ht="14.25" customHeight="1">
      <c r="M4587"/>
      <c r="N4587"/>
    </row>
    <row r="4588" spans="13:14" ht="14.25" customHeight="1">
      <c r="M4588"/>
      <c r="N4588"/>
    </row>
    <row r="4589" spans="13:14" ht="14.25" customHeight="1">
      <c r="M4589"/>
      <c r="N4589"/>
    </row>
    <row r="4590" spans="13:14" ht="14.25" customHeight="1">
      <c r="M4590"/>
      <c r="N4590"/>
    </row>
    <row r="4591" spans="13:14" ht="14.25" customHeight="1">
      <c r="M4591"/>
      <c r="N4591"/>
    </row>
    <row r="4592" spans="13:14" ht="14.25" customHeight="1">
      <c r="M4592"/>
      <c r="N4592"/>
    </row>
    <row r="4593" spans="13:14" ht="14.25" customHeight="1">
      <c r="M4593"/>
      <c r="N4593"/>
    </row>
    <row r="4594" spans="13:14" ht="14.25" customHeight="1">
      <c r="M4594"/>
      <c r="N4594"/>
    </row>
    <row r="4595" spans="13:14" ht="14.25" customHeight="1">
      <c r="M4595"/>
      <c r="N4595"/>
    </row>
    <row r="4596" spans="13:14" ht="14.25" customHeight="1">
      <c r="M4596"/>
      <c r="N4596"/>
    </row>
    <row r="4597" spans="13:14" ht="14.25" customHeight="1">
      <c r="M4597"/>
      <c r="N4597"/>
    </row>
    <row r="4598" spans="13:14" ht="14.25" customHeight="1">
      <c r="M4598"/>
      <c r="N4598"/>
    </row>
    <row r="4599" spans="13:14" ht="14.25" customHeight="1">
      <c r="M4599"/>
      <c r="N4599"/>
    </row>
    <row r="4600" spans="13:14" ht="14.25" customHeight="1">
      <c r="M4600"/>
      <c r="N4600"/>
    </row>
    <row r="4601" spans="13:14" ht="14.25" customHeight="1">
      <c r="M4601"/>
      <c r="N4601"/>
    </row>
    <row r="4602" spans="13:14" ht="14.25" customHeight="1">
      <c r="M4602"/>
      <c r="N4602"/>
    </row>
    <row r="4603" spans="13:14" ht="14.25" customHeight="1">
      <c r="M4603"/>
      <c r="N4603"/>
    </row>
    <row r="4604" spans="13:14" ht="14.25" customHeight="1">
      <c r="M4604"/>
      <c r="N4604"/>
    </row>
    <row r="4605" spans="13:14" ht="14.25" customHeight="1">
      <c r="M4605"/>
      <c r="N4605"/>
    </row>
    <row r="4606" spans="13:14" ht="14.25" customHeight="1">
      <c r="M4606"/>
      <c r="N4606"/>
    </row>
    <row r="4607" spans="13:14" ht="14.25" customHeight="1">
      <c r="M4607"/>
      <c r="N4607"/>
    </row>
    <row r="4608" spans="13:14" ht="14.25" customHeight="1">
      <c r="M4608"/>
      <c r="N4608"/>
    </row>
    <row r="4609" spans="13:14" ht="14.25" customHeight="1">
      <c r="M4609"/>
      <c r="N4609"/>
    </row>
    <row r="4610" spans="13:14" ht="14.25" customHeight="1">
      <c r="M4610"/>
      <c r="N4610"/>
    </row>
    <row r="4611" spans="13:14" ht="14.25" customHeight="1">
      <c r="M4611"/>
      <c r="N4611"/>
    </row>
    <row r="4612" spans="13:14" ht="14.25" customHeight="1">
      <c r="M4612"/>
      <c r="N4612"/>
    </row>
    <row r="4613" spans="13:14" ht="14.25" customHeight="1">
      <c r="M4613"/>
      <c r="N4613"/>
    </row>
    <row r="4614" spans="13:14" ht="14.25" customHeight="1">
      <c r="M4614"/>
      <c r="N4614"/>
    </row>
    <row r="4615" spans="13:14" ht="14.25" customHeight="1">
      <c r="M4615"/>
      <c r="N4615"/>
    </row>
    <row r="4616" spans="13:14" ht="14.25" customHeight="1">
      <c r="M4616"/>
      <c r="N4616"/>
    </row>
    <row r="4617" spans="13:14" ht="14.25" customHeight="1">
      <c r="M4617"/>
      <c r="N4617"/>
    </row>
    <row r="4618" spans="13:14" ht="14.25" customHeight="1">
      <c r="M4618"/>
      <c r="N4618"/>
    </row>
    <row r="4619" spans="13:14" ht="14.25" customHeight="1">
      <c r="M4619"/>
      <c r="N4619"/>
    </row>
    <row r="4620" spans="13:14" ht="14.25" customHeight="1">
      <c r="M4620"/>
      <c r="N4620"/>
    </row>
    <row r="4621" spans="13:14" ht="14.25" customHeight="1">
      <c r="M4621"/>
      <c r="N4621"/>
    </row>
    <row r="4622" spans="13:14" ht="14.25" customHeight="1">
      <c r="M4622"/>
      <c r="N4622"/>
    </row>
    <row r="4623" spans="13:14" ht="14.25" customHeight="1">
      <c r="M4623"/>
      <c r="N4623"/>
    </row>
    <row r="4624" spans="13:14" ht="14.25" customHeight="1">
      <c r="M4624"/>
      <c r="N4624"/>
    </row>
    <row r="4625" spans="13:14" ht="14.25" customHeight="1">
      <c r="M4625"/>
      <c r="N4625"/>
    </row>
    <row r="4626" spans="13:14" ht="14.25" customHeight="1">
      <c r="M4626"/>
      <c r="N4626"/>
    </row>
    <row r="4627" spans="13:14" ht="14.25" customHeight="1">
      <c r="M4627"/>
      <c r="N4627"/>
    </row>
    <row r="4628" spans="13:14" ht="14.25" customHeight="1">
      <c r="M4628"/>
      <c r="N4628"/>
    </row>
    <row r="4629" spans="13:14" ht="14.25" customHeight="1">
      <c r="M4629"/>
      <c r="N4629"/>
    </row>
    <row r="4630" spans="13:14" ht="14.25" customHeight="1">
      <c r="M4630"/>
      <c r="N4630"/>
    </row>
    <row r="4631" spans="13:14" ht="14.25" customHeight="1">
      <c r="M4631"/>
      <c r="N4631"/>
    </row>
    <row r="4632" spans="13:14" ht="14.25" customHeight="1">
      <c r="M4632"/>
      <c r="N4632"/>
    </row>
    <row r="4633" spans="13:14" ht="14.25" customHeight="1">
      <c r="M4633"/>
      <c r="N4633"/>
    </row>
    <row r="4634" spans="13:14" ht="14.25" customHeight="1">
      <c r="M4634"/>
      <c r="N4634"/>
    </row>
    <row r="4635" spans="13:14" ht="14.25" customHeight="1">
      <c r="M4635"/>
      <c r="N4635"/>
    </row>
    <row r="4636" spans="13:14" ht="14.25" customHeight="1">
      <c r="M4636"/>
      <c r="N4636"/>
    </row>
    <row r="4637" spans="13:14" ht="14.25" customHeight="1">
      <c r="M4637"/>
      <c r="N4637"/>
    </row>
    <row r="4638" spans="13:14" ht="14.25" customHeight="1">
      <c r="M4638"/>
      <c r="N4638"/>
    </row>
    <row r="4639" spans="13:14" ht="14.25" customHeight="1">
      <c r="M4639"/>
      <c r="N4639"/>
    </row>
    <row r="4640" spans="13:14" ht="14.25" customHeight="1">
      <c r="M4640"/>
      <c r="N4640"/>
    </row>
    <row r="4641" spans="13:14" ht="14.25" customHeight="1">
      <c r="M4641"/>
      <c r="N4641"/>
    </row>
    <row r="4642" spans="13:14" ht="14.25" customHeight="1">
      <c r="M4642"/>
      <c r="N4642"/>
    </row>
    <row r="4643" spans="13:14" ht="14.25" customHeight="1">
      <c r="M4643"/>
      <c r="N4643"/>
    </row>
    <row r="4644" spans="13:14" ht="14.25" customHeight="1">
      <c r="M4644"/>
      <c r="N4644"/>
    </row>
    <row r="4645" spans="13:14" ht="14.25" customHeight="1">
      <c r="M4645"/>
      <c r="N4645"/>
    </row>
    <row r="4646" spans="13:14" ht="14.25" customHeight="1">
      <c r="M4646"/>
      <c r="N4646"/>
    </row>
    <row r="4647" spans="13:14" ht="14.25" customHeight="1">
      <c r="M4647"/>
      <c r="N4647"/>
    </row>
    <row r="4648" spans="13:14" ht="14.25" customHeight="1">
      <c r="M4648"/>
      <c r="N4648"/>
    </row>
    <row r="4649" spans="13:14" ht="14.25" customHeight="1">
      <c r="M4649"/>
      <c r="N4649"/>
    </row>
    <row r="4650" spans="13:14" ht="14.25" customHeight="1">
      <c r="M4650"/>
      <c r="N4650"/>
    </row>
    <row r="4651" spans="13:14" ht="14.25" customHeight="1">
      <c r="M4651"/>
      <c r="N4651"/>
    </row>
    <row r="4652" spans="13:14" ht="14.25" customHeight="1">
      <c r="M4652"/>
      <c r="N4652"/>
    </row>
    <row r="4653" spans="13:14" ht="14.25" customHeight="1">
      <c r="M4653"/>
      <c r="N4653"/>
    </row>
    <row r="4654" spans="13:14" ht="14.25" customHeight="1">
      <c r="M4654"/>
      <c r="N4654"/>
    </row>
    <row r="4655" spans="13:14" ht="14.25" customHeight="1">
      <c r="M4655"/>
      <c r="N4655"/>
    </row>
    <row r="4656" spans="13:14" ht="14.25" customHeight="1">
      <c r="M4656"/>
      <c r="N4656"/>
    </row>
    <row r="4657" spans="13:14" ht="14.25" customHeight="1">
      <c r="M4657"/>
      <c r="N4657"/>
    </row>
    <row r="4658" spans="13:14" ht="14.25" customHeight="1">
      <c r="M4658"/>
      <c r="N4658"/>
    </row>
    <row r="4659" spans="13:14" ht="14.25" customHeight="1">
      <c r="M4659"/>
      <c r="N4659"/>
    </row>
    <row r="4660" spans="13:14" ht="14.25" customHeight="1">
      <c r="M4660"/>
      <c r="N4660"/>
    </row>
    <row r="4661" spans="13:14" ht="14.25" customHeight="1">
      <c r="M4661"/>
      <c r="N4661"/>
    </row>
    <row r="4662" spans="13:14" ht="14.25" customHeight="1">
      <c r="M4662"/>
      <c r="N4662"/>
    </row>
    <row r="4663" spans="13:14" ht="14.25" customHeight="1">
      <c r="M4663"/>
      <c r="N4663"/>
    </row>
    <row r="4664" spans="13:14" ht="14.25" customHeight="1">
      <c r="M4664"/>
      <c r="N4664"/>
    </row>
    <row r="4665" spans="13:14" ht="14.25" customHeight="1">
      <c r="M4665"/>
      <c r="N4665"/>
    </row>
    <row r="4666" spans="13:14" ht="14.25" customHeight="1">
      <c r="M4666"/>
      <c r="N4666"/>
    </row>
    <row r="4667" spans="13:14" ht="14.25" customHeight="1">
      <c r="M4667"/>
      <c r="N4667"/>
    </row>
    <row r="4668" spans="13:14" ht="14.25" customHeight="1">
      <c r="M4668"/>
      <c r="N4668"/>
    </row>
    <row r="4669" spans="13:14" ht="14.25" customHeight="1">
      <c r="M4669"/>
      <c r="N4669"/>
    </row>
    <row r="4670" spans="13:14" ht="14.25" customHeight="1">
      <c r="M4670"/>
      <c r="N4670"/>
    </row>
    <row r="4671" spans="13:14" ht="14.25" customHeight="1">
      <c r="M4671"/>
      <c r="N4671"/>
    </row>
    <row r="4672" spans="13:14" ht="14.25" customHeight="1">
      <c r="M4672"/>
      <c r="N4672"/>
    </row>
    <row r="4673" spans="13:14" ht="14.25" customHeight="1">
      <c r="M4673"/>
      <c r="N4673"/>
    </row>
    <row r="4674" spans="13:14" ht="14.25" customHeight="1">
      <c r="M4674"/>
      <c r="N4674"/>
    </row>
    <row r="4675" spans="13:14" ht="14.25" customHeight="1">
      <c r="M4675"/>
      <c r="N4675"/>
    </row>
    <row r="4676" spans="13:14" ht="14.25" customHeight="1">
      <c r="M4676"/>
      <c r="N4676"/>
    </row>
    <row r="4677" spans="13:14" ht="14.25" customHeight="1">
      <c r="M4677"/>
      <c r="N4677"/>
    </row>
    <row r="4678" spans="13:14" ht="14.25" customHeight="1">
      <c r="M4678"/>
      <c r="N4678"/>
    </row>
    <row r="4679" spans="13:14" ht="14.25" customHeight="1">
      <c r="M4679"/>
      <c r="N4679"/>
    </row>
    <row r="4680" spans="13:14" ht="14.25" customHeight="1">
      <c r="M4680"/>
      <c r="N4680"/>
    </row>
    <row r="4681" spans="13:14" ht="14.25" customHeight="1">
      <c r="M4681"/>
      <c r="N4681"/>
    </row>
    <row r="4682" spans="13:14" ht="14.25" customHeight="1">
      <c r="M4682"/>
      <c r="N4682"/>
    </row>
    <row r="4683" spans="13:14" ht="14.25" customHeight="1">
      <c r="M4683"/>
      <c r="N4683"/>
    </row>
    <row r="4684" spans="13:14" ht="14.25" customHeight="1">
      <c r="M4684"/>
      <c r="N4684"/>
    </row>
    <row r="4685" spans="13:14" ht="14.25" customHeight="1">
      <c r="M4685"/>
      <c r="N4685"/>
    </row>
    <row r="4686" spans="13:14" ht="14.25" customHeight="1">
      <c r="M4686"/>
      <c r="N4686"/>
    </row>
    <row r="4687" spans="13:14" ht="14.25" customHeight="1">
      <c r="M4687"/>
      <c r="N4687"/>
    </row>
    <row r="4688" spans="13:14" ht="14.25" customHeight="1">
      <c r="M4688"/>
      <c r="N4688"/>
    </row>
    <row r="4689" spans="13:14" ht="14.25" customHeight="1">
      <c r="M4689"/>
      <c r="N4689"/>
    </row>
    <row r="4690" spans="13:14" ht="14.25" customHeight="1">
      <c r="M4690"/>
      <c r="N4690"/>
    </row>
    <row r="4691" spans="13:14" ht="14.25" customHeight="1">
      <c r="M4691"/>
      <c r="N4691"/>
    </row>
    <row r="4692" spans="13:14" ht="14.25" customHeight="1">
      <c r="M4692"/>
      <c r="N4692"/>
    </row>
    <row r="4693" spans="13:14" ht="14.25" customHeight="1">
      <c r="M4693"/>
      <c r="N4693"/>
    </row>
    <row r="4694" spans="13:14" ht="14.25" customHeight="1">
      <c r="M4694"/>
      <c r="N4694"/>
    </row>
    <row r="4695" spans="13:14" ht="14.25" customHeight="1">
      <c r="M4695"/>
      <c r="N4695"/>
    </row>
    <row r="4696" spans="13:14" ht="14.25" customHeight="1">
      <c r="M4696"/>
      <c r="N4696"/>
    </row>
    <row r="4697" spans="13:14" ht="14.25" customHeight="1">
      <c r="M4697"/>
      <c r="N4697"/>
    </row>
    <row r="4698" spans="13:14" ht="14.25" customHeight="1">
      <c r="M4698"/>
      <c r="N4698"/>
    </row>
    <row r="4699" spans="13:14" ht="14.25" customHeight="1">
      <c r="M4699"/>
      <c r="N4699"/>
    </row>
    <row r="4700" spans="13:14" ht="14.25" customHeight="1">
      <c r="M4700"/>
      <c r="N4700"/>
    </row>
    <row r="4701" spans="13:14" ht="14.25" customHeight="1">
      <c r="M4701"/>
      <c r="N4701"/>
    </row>
    <row r="4702" spans="13:14" ht="14.25" customHeight="1">
      <c r="M4702"/>
      <c r="N4702"/>
    </row>
    <row r="4703" spans="13:14" ht="14.25" customHeight="1">
      <c r="M4703"/>
      <c r="N4703"/>
    </row>
    <row r="4704" spans="13:14" ht="14.25" customHeight="1">
      <c r="M4704"/>
      <c r="N4704"/>
    </row>
    <row r="4705" spans="13:14" ht="14.25" customHeight="1">
      <c r="M4705"/>
      <c r="N4705"/>
    </row>
    <row r="4706" spans="13:14" ht="14.25" customHeight="1">
      <c r="M4706"/>
      <c r="N4706"/>
    </row>
    <row r="4707" spans="13:14" ht="14.25" customHeight="1">
      <c r="M4707"/>
      <c r="N4707"/>
    </row>
    <row r="4708" spans="13:14" ht="14.25" customHeight="1">
      <c r="M4708"/>
      <c r="N4708"/>
    </row>
    <row r="4709" spans="13:14" ht="14.25" customHeight="1">
      <c r="M4709"/>
      <c r="N4709"/>
    </row>
    <row r="4710" spans="13:14" ht="14.25" customHeight="1">
      <c r="M4710"/>
      <c r="N4710"/>
    </row>
    <row r="4711" spans="13:14" ht="14.25" customHeight="1">
      <c r="M4711"/>
      <c r="N4711"/>
    </row>
    <row r="4712" spans="13:14" ht="14.25" customHeight="1">
      <c r="M4712"/>
      <c r="N4712"/>
    </row>
    <row r="4713" spans="13:14" ht="14.25" customHeight="1">
      <c r="M4713"/>
      <c r="N4713"/>
    </row>
    <row r="4714" spans="13:14" ht="14.25" customHeight="1">
      <c r="M4714"/>
      <c r="N4714"/>
    </row>
    <row r="4715" spans="13:14" ht="14.25" customHeight="1">
      <c r="M4715"/>
      <c r="N4715"/>
    </row>
    <row r="4716" spans="13:14" ht="14.25" customHeight="1">
      <c r="M4716"/>
      <c r="N4716"/>
    </row>
    <row r="4717" spans="13:14" ht="14.25" customHeight="1">
      <c r="M4717"/>
      <c r="N4717"/>
    </row>
    <row r="4718" spans="13:14" ht="14.25" customHeight="1">
      <c r="M4718"/>
      <c r="N4718"/>
    </row>
    <row r="4719" spans="13:14" ht="14.25" customHeight="1">
      <c r="M4719"/>
      <c r="N4719"/>
    </row>
    <row r="4720" spans="13:14" ht="14.25" customHeight="1">
      <c r="M4720"/>
      <c r="N4720"/>
    </row>
    <row r="4721" spans="13:14" ht="14.25" customHeight="1">
      <c r="M4721"/>
      <c r="N4721"/>
    </row>
    <row r="4722" spans="13:14" ht="14.25" customHeight="1">
      <c r="M4722"/>
      <c r="N4722"/>
    </row>
    <row r="4723" spans="13:14" ht="14.25" customHeight="1">
      <c r="M4723"/>
      <c r="N4723"/>
    </row>
    <row r="4724" spans="13:14" ht="14.25" customHeight="1">
      <c r="M4724"/>
      <c r="N4724"/>
    </row>
    <row r="4725" spans="13:14" ht="14.25" customHeight="1">
      <c r="M4725"/>
      <c r="N4725"/>
    </row>
    <row r="4726" spans="13:14" ht="14.25" customHeight="1">
      <c r="M4726"/>
      <c r="N4726"/>
    </row>
    <row r="4727" spans="13:14" ht="14.25" customHeight="1">
      <c r="M4727"/>
      <c r="N4727"/>
    </row>
    <row r="4728" spans="13:14" ht="14.25" customHeight="1">
      <c r="M4728"/>
      <c r="N4728"/>
    </row>
    <row r="4729" spans="13:14" ht="14.25" customHeight="1">
      <c r="M4729"/>
      <c r="N4729"/>
    </row>
    <row r="4730" spans="13:14" ht="14.25" customHeight="1">
      <c r="M4730"/>
      <c r="N4730"/>
    </row>
    <row r="4731" spans="13:14" ht="14.25" customHeight="1">
      <c r="M4731"/>
      <c r="N4731"/>
    </row>
    <row r="4732" spans="13:14" ht="14.25" customHeight="1">
      <c r="M4732"/>
      <c r="N4732"/>
    </row>
    <row r="4733" spans="13:14" ht="14.25" customHeight="1">
      <c r="M4733"/>
      <c r="N4733"/>
    </row>
    <row r="4734" spans="13:14" ht="14.25" customHeight="1">
      <c r="M4734"/>
      <c r="N4734"/>
    </row>
    <row r="4735" spans="13:14" ht="14.25" customHeight="1">
      <c r="M4735"/>
      <c r="N4735"/>
    </row>
    <row r="4736" spans="13:14" ht="14.25" customHeight="1">
      <c r="M4736"/>
      <c r="N4736"/>
    </row>
    <row r="4737" spans="13:14" ht="14.25" customHeight="1">
      <c r="M4737"/>
      <c r="N4737"/>
    </row>
    <row r="4738" spans="13:14" ht="14.25" customHeight="1">
      <c r="M4738"/>
      <c r="N4738"/>
    </row>
    <row r="4739" spans="13:14" ht="14.25" customHeight="1">
      <c r="M4739"/>
      <c r="N4739"/>
    </row>
    <row r="4740" spans="13:14" ht="14.25" customHeight="1">
      <c r="M4740"/>
      <c r="N4740"/>
    </row>
    <row r="4741" spans="13:14" ht="14.25" customHeight="1">
      <c r="M4741"/>
      <c r="N4741"/>
    </row>
    <row r="4742" spans="13:14" ht="14.25" customHeight="1">
      <c r="M4742"/>
      <c r="N4742"/>
    </row>
    <row r="4743" spans="13:14" ht="14.25" customHeight="1">
      <c r="M4743"/>
      <c r="N4743"/>
    </row>
    <row r="4744" spans="13:14" ht="14.25" customHeight="1">
      <c r="M4744"/>
      <c r="N4744"/>
    </row>
    <row r="4745" spans="13:14" ht="14.25" customHeight="1">
      <c r="M4745"/>
      <c r="N4745"/>
    </row>
    <row r="4746" spans="13:14" ht="14.25" customHeight="1">
      <c r="M4746"/>
      <c r="N4746"/>
    </row>
    <row r="4747" spans="13:14" ht="14.25" customHeight="1">
      <c r="M4747"/>
      <c r="N4747"/>
    </row>
    <row r="4748" spans="13:14" ht="14.25" customHeight="1">
      <c r="M4748"/>
      <c r="N4748"/>
    </row>
    <row r="4749" spans="13:14" ht="14.25" customHeight="1">
      <c r="M4749"/>
      <c r="N4749"/>
    </row>
    <row r="4750" spans="13:14" ht="14.25" customHeight="1">
      <c r="M4750"/>
      <c r="N4750"/>
    </row>
    <row r="4751" spans="13:14" ht="14.25" customHeight="1">
      <c r="M4751"/>
      <c r="N4751"/>
    </row>
    <row r="4752" spans="13:14" ht="14.25" customHeight="1">
      <c r="M4752"/>
      <c r="N4752"/>
    </row>
    <row r="4753" spans="13:14" ht="14.25" customHeight="1">
      <c r="M4753"/>
      <c r="N4753"/>
    </row>
    <row r="4754" spans="13:14" ht="14.25" customHeight="1">
      <c r="M4754"/>
      <c r="N4754"/>
    </row>
    <row r="4755" spans="13:14" ht="14.25" customHeight="1">
      <c r="M4755"/>
      <c r="N4755"/>
    </row>
    <row r="4756" spans="13:14" ht="14.25" customHeight="1">
      <c r="M4756"/>
      <c r="N4756"/>
    </row>
    <row r="4757" spans="13:14" ht="14.25" customHeight="1">
      <c r="M4757"/>
      <c r="N4757"/>
    </row>
    <row r="4758" spans="13:14" ht="14.25" customHeight="1">
      <c r="M4758"/>
      <c r="N4758"/>
    </row>
    <row r="4759" spans="13:14" ht="14.25" customHeight="1">
      <c r="M4759"/>
      <c r="N4759"/>
    </row>
    <row r="4760" spans="13:14" ht="14.25" customHeight="1">
      <c r="M4760"/>
      <c r="N4760"/>
    </row>
    <row r="4761" spans="13:14" ht="14.25" customHeight="1">
      <c r="M4761"/>
      <c r="N4761"/>
    </row>
    <row r="4762" spans="13:14" ht="14.25" customHeight="1">
      <c r="M4762"/>
      <c r="N4762"/>
    </row>
    <row r="4763" spans="13:14" ht="14.25" customHeight="1">
      <c r="M4763"/>
      <c r="N4763"/>
    </row>
    <row r="4764" spans="13:14" ht="14.25" customHeight="1">
      <c r="M4764"/>
      <c r="N4764"/>
    </row>
    <row r="4765" spans="13:14" ht="14.25" customHeight="1">
      <c r="M4765"/>
      <c r="N4765"/>
    </row>
    <row r="4766" spans="13:14" ht="14.25" customHeight="1">
      <c r="M4766"/>
      <c r="N4766"/>
    </row>
    <row r="4767" spans="13:14" ht="14.25" customHeight="1">
      <c r="M4767"/>
      <c r="N4767"/>
    </row>
    <row r="4768" spans="13:14" ht="14.25" customHeight="1">
      <c r="M4768"/>
      <c r="N4768"/>
    </row>
    <row r="4769" spans="13:14" ht="14.25" customHeight="1">
      <c r="M4769"/>
      <c r="N4769"/>
    </row>
    <row r="4770" spans="13:14" ht="14.25" customHeight="1">
      <c r="M4770"/>
      <c r="N4770"/>
    </row>
    <row r="4771" spans="13:14" ht="14.25" customHeight="1">
      <c r="M4771"/>
      <c r="N4771"/>
    </row>
    <row r="4772" spans="13:14" ht="14.25" customHeight="1">
      <c r="M4772"/>
      <c r="N4772"/>
    </row>
    <row r="4773" spans="13:14" ht="14.25" customHeight="1">
      <c r="M4773"/>
      <c r="N4773"/>
    </row>
    <row r="4774" spans="13:14" ht="14.25" customHeight="1">
      <c r="M4774"/>
      <c r="N4774"/>
    </row>
    <row r="4775" spans="13:14" ht="14.25" customHeight="1">
      <c r="M4775"/>
      <c r="N4775"/>
    </row>
    <row r="4776" spans="13:14" ht="14.25" customHeight="1">
      <c r="M4776"/>
      <c r="N4776"/>
    </row>
    <row r="4777" spans="13:14" ht="14.25" customHeight="1">
      <c r="M4777"/>
      <c r="N4777"/>
    </row>
    <row r="4778" spans="13:14" ht="14.25" customHeight="1">
      <c r="M4778"/>
      <c r="N4778"/>
    </row>
    <row r="4779" spans="13:14" ht="14.25" customHeight="1">
      <c r="M4779"/>
      <c r="N4779"/>
    </row>
    <row r="4780" spans="13:14" ht="14.25" customHeight="1">
      <c r="M4780"/>
      <c r="N4780"/>
    </row>
    <row r="4781" spans="13:14" ht="14.25" customHeight="1">
      <c r="M4781"/>
      <c r="N4781"/>
    </row>
    <row r="4782" spans="13:14" ht="14.25" customHeight="1">
      <c r="M4782"/>
      <c r="N4782"/>
    </row>
    <row r="4783" spans="13:14" ht="14.25" customHeight="1">
      <c r="M4783"/>
      <c r="N4783"/>
    </row>
    <row r="4784" spans="13:14" ht="14.25" customHeight="1">
      <c r="M4784"/>
      <c r="N4784"/>
    </row>
    <row r="4785" spans="13:14" ht="14.25" customHeight="1">
      <c r="M4785"/>
      <c r="N4785"/>
    </row>
    <row r="4786" spans="13:14" ht="14.25" customHeight="1">
      <c r="M4786"/>
      <c r="N4786"/>
    </row>
    <row r="4787" spans="13:14" ht="14.25" customHeight="1">
      <c r="M4787"/>
      <c r="N4787"/>
    </row>
    <row r="4788" spans="13:14" ht="14.25" customHeight="1">
      <c r="M4788"/>
      <c r="N4788"/>
    </row>
    <row r="4789" spans="13:14" ht="14.25" customHeight="1">
      <c r="M4789"/>
      <c r="N4789"/>
    </row>
    <row r="4790" spans="13:14" ht="14.25" customHeight="1">
      <c r="M4790"/>
      <c r="N4790"/>
    </row>
    <row r="4791" spans="13:14" ht="14.25" customHeight="1">
      <c r="M4791"/>
      <c r="N4791"/>
    </row>
    <row r="4792" spans="13:14" ht="14.25" customHeight="1">
      <c r="M4792"/>
      <c r="N4792"/>
    </row>
    <row r="4793" spans="13:14" ht="14.25" customHeight="1">
      <c r="M4793"/>
      <c r="N4793"/>
    </row>
    <row r="4794" spans="13:14" ht="14.25" customHeight="1">
      <c r="M4794"/>
      <c r="N4794"/>
    </row>
    <row r="4795" spans="13:14" ht="14.25" customHeight="1">
      <c r="M4795"/>
      <c r="N4795"/>
    </row>
    <row r="4796" spans="13:14" ht="14.25" customHeight="1">
      <c r="M4796"/>
      <c r="N4796"/>
    </row>
    <row r="4797" spans="13:14" ht="14.25" customHeight="1">
      <c r="M4797"/>
      <c r="N4797"/>
    </row>
    <row r="4798" spans="13:14" ht="14.25" customHeight="1">
      <c r="M4798"/>
      <c r="N4798"/>
    </row>
    <row r="4799" spans="13:14" ht="14.25" customHeight="1">
      <c r="M4799"/>
      <c r="N4799"/>
    </row>
    <row r="4800" spans="13:14" ht="14.25" customHeight="1">
      <c r="M4800"/>
      <c r="N4800"/>
    </row>
    <row r="4801" spans="13:14" ht="14.25" customHeight="1">
      <c r="M4801"/>
      <c r="N4801"/>
    </row>
    <row r="4802" spans="13:14" ht="14.25" customHeight="1">
      <c r="M4802"/>
      <c r="N4802"/>
    </row>
    <row r="4803" spans="13:14" ht="14.25" customHeight="1">
      <c r="M4803"/>
      <c r="N4803"/>
    </row>
    <row r="4804" spans="13:14" ht="14.25" customHeight="1">
      <c r="M4804"/>
      <c r="N4804"/>
    </row>
    <row r="4805" spans="13:14" ht="14.25" customHeight="1">
      <c r="M4805"/>
      <c r="N4805"/>
    </row>
    <row r="4806" spans="13:14" ht="14.25" customHeight="1">
      <c r="M4806"/>
      <c r="N4806"/>
    </row>
    <row r="4807" spans="13:14" ht="14.25" customHeight="1">
      <c r="M4807"/>
      <c r="N4807"/>
    </row>
    <row r="4808" spans="13:14" ht="14.25" customHeight="1">
      <c r="M4808"/>
      <c r="N4808"/>
    </row>
    <row r="4809" spans="13:14" ht="14.25" customHeight="1">
      <c r="M4809"/>
      <c r="N4809"/>
    </row>
    <row r="4810" spans="13:14" ht="14.25" customHeight="1">
      <c r="M4810"/>
      <c r="N4810"/>
    </row>
    <row r="4811" spans="13:14" ht="14.25" customHeight="1">
      <c r="M4811"/>
      <c r="N4811"/>
    </row>
    <row r="4812" spans="13:14" ht="14.25" customHeight="1">
      <c r="M4812"/>
      <c r="N4812"/>
    </row>
    <row r="4813" spans="13:14" ht="14.25" customHeight="1">
      <c r="M4813"/>
      <c r="N4813"/>
    </row>
    <row r="4814" spans="13:14" ht="14.25" customHeight="1">
      <c r="M4814"/>
      <c r="N4814"/>
    </row>
    <row r="4815" spans="13:14" ht="14.25" customHeight="1">
      <c r="M4815"/>
      <c r="N4815"/>
    </row>
    <row r="4816" spans="13:14" ht="14.25" customHeight="1">
      <c r="M4816"/>
      <c r="N4816"/>
    </row>
    <row r="4817" spans="13:14" ht="14.25" customHeight="1">
      <c r="M4817"/>
      <c r="N4817"/>
    </row>
    <row r="4818" spans="13:14" ht="14.25" customHeight="1">
      <c r="M4818"/>
      <c r="N4818"/>
    </row>
    <row r="4819" spans="13:14" ht="14.25" customHeight="1">
      <c r="M4819"/>
      <c r="N4819"/>
    </row>
    <row r="4820" spans="13:14" ht="14.25" customHeight="1">
      <c r="M4820"/>
      <c r="N4820"/>
    </row>
    <row r="4821" spans="13:14" ht="14.25" customHeight="1">
      <c r="M4821"/>
      <c r="N4821"/>
    </row>
    <row r="4822" spans="13:14" ht="14.25" customHeight="1">
      <c r="M4822"/>
      <c r="N4822"/>
    </row>
    <row r="4823" spans="13:14" ht="14.25" customHeight="1">
      <c r="M4823"/>
      <c r="N4823"/>
    </row>
    <row r="4824" spans="13:14" ht="14.25" customHeight="1">
      <c r="M4824"/>
      <c r="N4824"/>
    </row>
    <row r="4825" spans="13:14" ht="14.25" customHeight="1">
      <c r="M4825"/>
      <c r="N4825"/>
    </row>
    <row r="4826" spans="13:14" ht="14.25" customHeight="1">
      <c r="M4826"/>
      <c r="N4826"/>
    </row>
    <row r="4827" spans="13:14" ht="14.25" customHeight="1">
      <c r="M4827"/>
      <c r="N4827"/>
    </row>
    <row r="4828" spans="13:14" ht="14.25" customHeight="1">
      <c r="M4828"/>
      <c r="N4828"/>
    </row>
    <row r="4829" spans="13:14" ht="14.25" customHeight="1">
      <c r="M4829"/>
      <c r="N4829"/>
    </row>
    <row r="4830" spans="13:14" ht="14.25" customHeight="1">
      <c r="M4830"/>
      <c r="N4830"/>
    </row>
    <row r="4831" spans="13:14" ht="14.25" customHeight="1">
      <c r="M4831"/>
      <c r="N4831"/>
    </row>
    <row r="4832" spans="13:14" ht="14.25" customHeight="1">
      <c r="M4832"/>
      <c r="N4832"/>
    </row>
    <row r="4833" spans="13:14" ht="14.25" customHeight="1">
      <c r="M4833"/>
      <c r="N4833"/>
    </row>
    <row r="4834" spans="13:14" ht="14.25" customHeight="1">
      <c r="M4834"/>
      <c r="N4834"/>
    </row>
    <row r="4835" spans="13:14" ht="14.25" customHeight="1">
      <c r="M4835"/>
      <c r="N4835"/>
    </row>
    <row r="4836" spans="13:14" ht="14.25" customHeight="1">
      <c r="M4836"/>
      <c r="N4836"/>
    </row>
    <row r="4837" spans="13:14" ht="14.25" customHeight="1">
      <c r="M4837"/>
      <c r="N4837"/>
    </row>
    <row r="4838" spans="13:14" ht="14.25" customHeight="1">
      <c r="M4838"/>
      <c r="N4838"/>
    </row>
    <row r="4839" spans="13:14" ht="14.25" customHeight="1">
      <c r="M4839"/>
      <c r="N4839"/>
    </row>
    <row r="4840" spans="13:14" ht="14.25" customHeight="1">
      <c r="M4840"/>
      <c r="N4840"/>
    </row>
    <row r="4841" spans="13:14" ht="14.25" customHeight="1">
      <c r="M4841"/>
      <c r="N4841"/>
    </row>
    <row r="4842" spans="13:14" ht="14.25" customHeight="1">
      <c r="M4842"/>
      <c r="N4842"/>
    </row>
    <row r="4843" spans="13:14" ht="14.25" customHeight="1">
      <c r="M4843"/>
      <c r="N4843"/>
    </row>
    <row r="4844" spans="13:14" ht="14.25" customHeight="1">
      <c r="M4844"/>
      <c r="N4844"/>
    </row>
    <row r="4845" spans="13:14" ht="14.25" customHeight="1">
      <c r="M4845"/>
      <c r="N4845"/>
    </row>
    <row r="4846" spans="13:14" ht="14.25" customHeight="1">
      <c r="M4846"/>
      <c r="N4846"/>
    </row>
    <row r="4847" spans="13:14" ht="14.25" customHeight="1">
      <c r="M4847"/>
      <c r="N4847"/>
    </row>
    <row r="4848" spans="13:14" ht="14.25" customHeight="1">
      <c r="M4848"/>
      <c r="N4848"/>
    </row>
    <row r="4849" spans="13:14" ht="14.25" customHeight="1">
      <c r="M4849"/>
      <c r="N4849"/>
    </row>
    <row r="4850" spans="13:14" ht="14.25" customHeight="1">
      <c r="M4850"/>
      <c r="N4850"/>
    </row>
    <row r="4851" spans="13:14" ht="14.25" customHeight="1">
      <c r="M4851"/>
      <c r="N4851"/>
    </row>
    <row r="4852" spans="13:14" ht="14.25" customHeight="1">
      <c r="M4852"/>
      <c r="N4852"/>
    </row>
    <row r="4853" spans="13:14" ht="14.25" customHeight="1">
      <c r="M4853"/>
      <c r="N4853"/>
    </row>
    <row r="4854" spans="13:14" ht="14.25" customHeight="1">
      <c r="M4854"/>
      <c r="N4854"/>
    </row>
    <row r="4855" spans="13:14" ht="14.25" customHeight="1">
      <c r="M4855"/>
      <c r="N4855"/>
    </row>
    <row r="4856" spans="13:14" ht="14.25" customHeight="1">
      <c r="M4856"/>
      <c r="N4856"/>
    </row>
    <row r="4857" spans="13:14" ht="14.25" customHeight="1">
      <c r="M4857"/>
      <c r="N4857"/>
    </row>
    <row r="4858" spans="13:14" ht="14.25" customHeight="1">
      <c r="M4858"/>
      <c r="N4858"/>
    </row>
    <row r="4859" spans="13:14" ht="14.25" customHeight="1">
      <c r="M4859"/>
      <c r="N4859"/>
    </row>
    <row r="4860" spans="13:14" ht="14.25" customHeight="1">
      <c r="M4860"/>
      <c r="N4860"/>
    </row>
    <row r="4861" spans="13:14" ht="14.25" customHeight="1">
      <c r="M4861"/>
      <c r="N4861"/>
    </row>
    <row r="4862" spans="13:14" ht="14.25" customHeight="1">
      <c r="M4862"/>
      <c r="N4862"/>
    </row>
    <row r="4863" spans="13:14" ht="14.25" customHeight="1">
      <c r="M4863"/>
      <c r="N4863"/>
    </row>
    <row r="4864" spans="13:14" ht="14.25" customHeight="1">
      <c r="M4864"/>
      <c r="N4864"/>
    </row>
    <row r="4865" spans="13:14" ht="14.25" customHeight="1">
      <c r="M4865"/>
      <c r="N4865"/>
    </row>
    <row r="4866" spans="13:14" ht="14.25" customHeight="1">
      <c r="M4866"/>
      <c r="N4866"/>
    </row>
    <row r="4867" spans="13:14" ht="14.25" customHeight="1">
      <c r="M4867"/>
      <c r="N4867"/>
    </row>
    <row r="4868" spans="13:14" ht="14.25" customHeight="1">
      <c r="M4868"/>
      <c r="N4868"/>
    </row>
    <row r="4869" spans="13:14" ht="14.25" customHeight="1">
      <c r="M4869"/>
      <c r="N4869"/>
    </row>
    <row r="4870" spans="13:14" ht="14.25" customHeight="1">
      <c r="M4870"/>
      <c r="N4870"/>
    </row>
    <row r="4871" spans="13:14" ht="14.25" customHeight="1">
      <c r="M4871"/>
      <c r="N4871"/>
    </row>
    <row r="4872" spans="13:14" ht="14.25" customHeight="1">
      <c r="M4872"/>
      <c r="N4872"/>
    </row>
    <row r="4873" spans="13:14" ht="14.25" customHeight="1">
      <c r="M4873"/>
      <c r="N4873"/>
    </row>
    <row r="4874" spans="13:14" ht="14.25" customHeight="1">
      <c r="M4874"/>
      <c r="N4874"/>
    </row>
    <row r="4875" spans="13:14" ht="14.25" customHeight="1">
      <c r="M4875"/>
      <c r="N4875"/>
    </row>
    <row r="4876" spans="13:14" ht="14.25" customHeight="1">
      <c r="M4876"/>
      <c r="N4876"/>
    </row>
    <row r="4877" spans="13:14" ht="14.25" customHeight="1">
      <c r="M4877"/>
      <c r="N4877"/>
    </row>
    <row r="4878" spans="13:14" ht="14.25" customHeight="1">
      <c r="M4878"/>
      <c r="N4878"/>
    </row>
    <row r="4879" spans="13:14" ht="14.25" customHeight="1">
      <c r="M4879"/>
      <c r="N4879"/>
    </row>
    <row r="4880" spans="13:14" ht="14.25" customHeight="1">
      <c r="M4880"/>
      <c r="N4880"/>
    </row>
    <row r="4881" spans="13:14" ht="14.25" customHeight="1">
      <c r="M4881"/>
      <c r="N4881"/>
    </row>
    <row r="4882" spans="13:14" ht="14.25" customHeight="1">
      <c r="M4882"/>
      <c r="N4882"/>
    </row>
    <row r="4883" spans="13:14" ht="14.25" customHeight="1">
      <c r="M4883"/>
      <c r="N4883"/>
    </row>
    <row r="4884" spans="13:14" ht="14.25" customHeight="1">
      <c r="M4884"/>
      <c r="N4884"/>
    </row>
    <row r="4885" spans="13:14" ht="14.25" customHeight="1">
      <c r="M4885"/>
      <c r="N4885"/>
    </row>
    <row r="4886" spans="13:14" ht="14.25" customHeight="1">
      <c r="M4886"/>
      <c r="N4886"/>
    </row>
    <row r="4887" spans="13:14" ht="14.25" customHeight="1">
      <c r="M4887"/>
      <c r="N4887"/>
    </row>
    <row r="4888" spans="13:14" ht="14.25" customHeight="1">
      <c r="M4888"/>
      <c r="N4888"/>
    </row>
    <row r="4889" spans="13:14" ht="14.25" customHeight="1">
      <c r="M4889"/>
      <c r="N4889"/>
    </row>
    <row r="4890" spans="13:14" ht="14.25" customHeight="1">
      <c r="M4890"/>
      <c r="N4890"/>
    </row>
    <row r="4891" spans="13:14" ht="14.25" customHeight="1">
      <c r="M4891"/>
      <c r="N4891"/>
    </row>
    <row r="4892" spans="13:14" ht="14.25" customHeight="1">
      <c r="M4892"/>
      <c r="N4892"/>
    </row>
    <row r="4893" spans="13:14" ht="14.25" customHeight="1">
      <c r="M4893"/>
      <c r="N4893"/>
    </row>
    <row r="4894" spans="13:14" ht="14.25" customHeight="1">
      <c r="M4894"/>
      <c r="N4894"/>
    </row>
    <row r="4895" spans="13:14" ht="14.25" customHeight="1">
      <c r="M4895"/>
      <c r="N4895"/>
    </row>
    <row r="4896" spans="13:14" ht="14.25" customHeight="1">
      <c r="M4896"/>
      <c r="N4896"/>
    </row>
    <row r="4897" spans="13:14" ht="14.25" customHeight="1">
      <c r="M4897"/>
      <c r="N4897"/>
    </row>
    <row r="4898" spans="13:14" ht="14.25" customHeight="1">
      <c r="M4898"/>
      <c r="N4898"/>
    </row>
    <row r="4899" spans="13:14" ht="14.25" customHeight="1">
      <c r="M4899"/>
      <c r="N4899"/>
    </row>
    <row r="4900" spans="13:14" ht="14.25" customHeight="1">
      <c r="M4900"/>
      <c r="N4900"/>
    </row>
    <row r="4901" spans="13:14" ht="14.25" customHeight="1">
      <c r="M4901"/>
      <c r="N4901"/>
    </row>
    <row r="4902" spans="13:14" ht="14.25" customHeight="1">
      <c r="M4902"/>
      <c r="N4902"/>
    </row>
    <row r="4903" spans="13:14" ht="14.25" customHeight="1">
      <c r="M4903"/>
      <c r="N4903"/>
    </row>
    <row r="4904" spans="13:14" ht="14.25" customHeight="1">
      <c r="M4904"/>
      <c r="N4904"/>
    </row>
    <row r="4905" spans="13:14" ht="14.25" customHeight="1">
      <c r="M4905"/>
      <c r="N4905"/>
    </row>
    <row r="4906" spans="13:14" ht="14.25" customHeight="1">
      <c r="M4906"/>
      <c r="N4906"/>
    </row>
    <row r="4907" spans="13:14" ht="14.25" customHeight="1">
      <c r="M4907"/>
      <c r="N4907"/>
    </row>
    <row r="4908" spans="13:14" ht="14.25" customHeight="1">
      <c r="M4908"/>
      <c r="N4908"/>
    </row>
    <row r="4909" spans="13:14" ht="14.25" customHeight="1">
      <c r="M4909"/>
      <c r="N4909"/>
    </row>
    <row r="4910" spans="13:14" ht="14.25" customHeight="1">
      <c r="M4910"/>
      <c r="N4910"/>
    </row>
    <row r="4911" spans="13:14" ht="14.25" customHeight="1">
      <c r="M4911"/>
      <c r="N4911"/>
    </row>
    <row r="4912" spans="13:14" ht="14.25" customHeight="1">
      <c r="M4912"/>
      <c r="N4912"/>
    </row>
    <row r="4913" spans="13:14" ht="14.25" customHeight="1">
      <c r="M4913"/>
      <c r="N4913"/>
    </row>
    <row r="4914" spans="13:14" ht="14.25" customHeight="1">
      <c r="M4914"/>
      <c r="N4914"/>
    </row>
    <row r="4915" spans="13:14" ht="14.25" customHeight="1">
      <c r="M4915"/>
      <c r="N4915"/>
    </row>
    <row r="4916" spans="13:14" ht="14.25" customHeight="1">
      <c r="M4916"/>
      <c r="N4916"/>
    </row>
    <row r="4917" spans="13:14" ht="14.25" customHeight="1">
      <c r="M4917"/>
      <c r="N4917"/>
    </row>
    <row r="4918" spans="13:14" ht="14.25" customHeight="1">
      <c r="M4918"/>
      <c r="N4918"/>
    </row>
    <row r="4919" spans="13:14" ht="14.25" customHeight="1">
      <c r="M4919"/>
      <c r="N4919"/>
    </row>
    <row r="4920" spans="13:14" ht="14.25" customHeight="1">
      <c r="M4920"/>
      <c r="N4920"/>
    </row>
    <row r="4921" spans="13:14" ht="14.25" customHeight="1">
      <c r="M4921"/>
      <c r="N4921"/>
    </row>
    <row r="4922" spans="13:14" ht="14.25" customHeight="1">
      <c r="M4922"/>
      <c r="N4922"/>
    </row>
    <row r="4923" spans="13:14" ht="14.25" customHeight="1">
      <c r="M4923"/>
      <c r="N4923"/>
    </row>
    <row r="4924" spans="13:14" ht="14.25" customHeight="1">
      <c r="M4924"/>
      <c r="N4924"/>
    </row>
    <row r="4925" spans="13:14" ht="14.25" customHeight="1">
      <c r="M4925"/>
      <c r="N4925"/>
    </row>
    <row r="4926" spans="13:14" ht="14.25" customHeight="1">
      <c r="M4926"/>
      <c r="N4926"/>
    </row>
    <row r="4927" spans="13:14" ht="14.25" customHeight="1">
      <c r="M4927"/>
      <c r="N4927"/>
    </row>
    <row r="4928" spans="13:14" ht="14.25" customHeight="1">
      <c r="M4928"/>
      <c r="N4928"/>
    </row>
    <row r="4929" spans="13:14" ht="14.25" customHeight="1">
      <c r="M4929"/>
      <c r="N4929"/>
    </row>
    <row r="4930" spans="13:14" ht="14.25" customHeight="1">
      <c r="M4930"/>
      <c r="N4930"/>
    </row>
    <row r="4931" spans="13:14" ht="14.25" customHeight="1">
      <c r="M4931"/>
      <c r="N4931"/>
    </row>
    <row r="4932" spans="13:14" ht="14.25" customHeight="1">
      <c r="M4932"/>
      <c r="N4932"/>
    </row>
    <row r="4933" spans="13:14" ht="14.25" customHeight="1">
      <c r="M4933"/>
      <c r="N4933"/>
    </row>
    <row r="4934" spans="13:14" ht="14.25" customHeight="1">
      <c r="M4934"/>
      <c r="N4934"/>
    </row>
    <row r="4935" spans="13:14" ht="14.25" customHeight="1">
      <c r="M4935"/>
      <c r="N4935"/>
    </row>
    <row r="4936" spans="13:14" ht="14.25" customHeight="1">
      <c r="M4936"/>
      <c r="N4936"/>
    </row>
    <row r="4937" spans="13:14" ht="14.25" customHeight="1">
      <c r="M4937"/>
      <c r="N4937"/>
    </row>
    <row r="4938" spans="13:14" ht="14.25" customHeight="1">
      <c r="M4938"/>
      <c r="N4938"/>
    </row>
    <row r="4939" spans="13:14" ht="14.25" customHeight="1">
      <c r="M4939"/>
      <c r="N4939"/>
    </row>
    <row r="4940" spans="13:14" ht="14.25" customHeight="1">
      <c r="M4940"/>
      <c r="N4940"/>
    </row>
    <row r="4941" spans="13:14" ht="14.25" customHeight="1">
      <c r="M4941"/>
      <c r="N4941"/>
    </row>
    <row r="4942" spans="13:14" ht="14.25" customHeight="1">
      <c r="M4942"/>
      <c r="N4942"/>
    </row>
    <row r="4943" spans="13:14" ht="14.25" customHeight="1">
      <c r="M4943"/>
      <c r="N4943"/>
    </row>
    <row r="4944" spans="13:14" ht="14.25" customHeight="1">
      <c r="M4944"/>
      <c r="N4944"/>
    </row>
    <row r="4945" spans="13:14" ht="14.25" customHeight="1">
      <c r="M4945"/>
      <c r="N4945"/>
    </row>
    <row r="4946" spans="13:14" ht="14.25" customHeight="1">
      <c r="M4946"/>
      <c r="N4946"/>
    </row>
    <row r="4947" spans="13:14" ht="14.25" customHeight="1">
      <c r="M4947"/>
      <c r="N4947"/>
    </row>
    <row r="4948" spans="13:14" ht="14.25" customHeight="1">
      <c r="M4948"/>
      <c r="N4948"/>
    </row>
    <row r="4949" spans="13:14" ht="14.25" customHeight="1">
      <c r="M4949"/>
      <c r="N4949"/>
    </row>
    <row r="4950" spans="13:14" ht="14.25" customHeight="1">
      <c r="M4950"/>
      <c r="N4950"/>
    </row>
    <row r="4951" spans="13:14" ht="14.25" customHeight="1">
      <c r="M4951"/>
      <c r="N4951"/>
    </row>
    <row r="4952" spans="13:14" ht="14.25" customHeight="1">
      <c r="M4952"/>
      <c r="N4952"/>
    </row>
    <row r="4953" spans="13:14" ht="14.25" customHeight="1">
      <c r="M4953"/>
      <c r="N4953"/>
    </row>
    <row r="4954" spans="13:14" ht="14.25" customHeight="1">
      <c r="M4954"/>
      <c r="N4954"/>
    </row>
    <row r="4955" spans="13:14" ht="14.25" customHeight="1">
      <c r="M4955"/>
      <c r="N4955"/>
    </row>
    <row r="4956" spans="13:14" ht="14.25" customHeight="1">
      <c r="M4956"/>
      <c r="N4956"/>
    </row>
    <row r="4957" spans="13:14" ht="14.25" customHeight="1">
      <c r="M4957"/>
      <c r="N4957"/>
    </row>
    <row r="4958" spans="13:14" ht="14.25" customHeight="1">
      <c r="M4958"/>
      <c r="N4958"/>
    </row>
    <row r="4959" spans="13:14" ht="14.25" customHeight="1">
      <c r="M4959"/>
      <c r="N4959"/>
    </row>
    <row r="4960" spans="13:14" ht="14.25" customHeight="1">
      <c r="M4960"/>
      <c r="N4960"/>
    </row>
    <row r="4961" spans="13:14" ht="14.25" customHeight="1">
      <c r="M4961"/>
      <c r="N4961"/>
    </row>
    <row r="4962" spans="13:14" ht="14.25" customHeight="1">
      <c r="M4962"/>
      <c r="N4962"/>
    </row>
    <row r="4963" spans="13:14" ht="14.25" customHeight="1">
      <c r="M4963"/>
      <c r="N4963"/>
    </row>
    <row r="4964" spans="13:14" ht="14.25" customHeight="1">
      <c r="M4964"/>
      <c r="N4964"/>
    </row>
    <row r="4965" spans="13:14" ht="14.25" customHeight="1">
      <c r="M4965"/>
      <c r="N4965"/>
    </row>
    <row r="4966" spans="13:14" ht="14.25" customHeight="1">
      <c r="M4966"/>
      <c r="N4966"/>
    </row>
    <row r="4967" spans="13:14" ht="14.25" customHeight="1">
      <c r="M4967"/>
      <c r="N4967"/>
    </row>
    <row r="4968" spans="13:14" ht="14.25" customHeight="1">
      <c r="M4968"/>
      <c r="N4968"/>
    </row>
    <row r="4969" spans="13:14" ht="14.25" customHeight="1">
      <c r="M4969"/>
      <c r="N4969"/>
    </row>
    <row r="4970" spans="13:14" ht="14.25" customHeight="1">
      <c r="M4970"/>
      <c r="N4970"/>
    </row>
    <row r="4971" spans="13:14" ht="14.25" customHeight="1">
      <c r="M4971"/>
      <c r="N4971"/>
    </row>
    <row r="4972" spans="13:14" ht="14.25" customHeight="1">
      <c r="M4972"/>
      <c r="N4972"/>
    </row>
    <row r="4973" spans="13:14" ht="14.25" customHeight="1">
      <c r="M4973"/>
      <c r="N4973"/>
    </row>
    <row r="4974" spans="13:14" ht="14.25" customHeight="1">
      <c r="M4974"/>
      <c r="N4974"/>
    </row>
    <row r="4975" spans="13:14" ht="14.25" customHeight="1">
      <c r="M4975"/>
      <c r="N4975"/>
    </row>
    <row r="4976" spans="13:14" ht="14.25" customHeight="1">
      <c r="M4976"/>
      <c r="N4976"/>
    </row>
    <row r="4977" spans="13:14" ht="14.25" customHeight="1">
      <c r="M4977"/>
      <c r="N4977"/>
    </row>
    <row r="4978" spans="13:14" ht="14.25" customHeight="1">
      <c r="M4978"/>
      <c r="N4978"/>
    </row>
    <row r="4979" spans="13:14" ht="14.25" customHeight="1">
      <c r="M4979"/>
      <c r="N4979"/>
    </row>
    <row r="4980" spans="13:14" ht="14.25" customHeight="1">
      <c r="M4980"/>
      <c r="N4980"/>
    </row>
    <row r="4981" spans="13:14" ht="14.25" customHeight="1">
      <c r="M4981"/>
      <c r="N4981"/>
    </row>
    <row r="4982" spans="13:14" ht="14.25" customHeight="1">
      <c r="M4982"/>
      <c r="N4982"/>
    </row>
    <row r="4983" spans="13:14" ht="14.25" customHeight="1">
      <c r="M4983"/>
      <c r="N4983"/>
    </row>
    <row r="4984" spans="13:14" ht="14.25" customHeight="1">
      <c r="M4984"/>
      <c r="N4984"/>
    </row>
    <row r="4985" spans="13:14" ht="14.25" customHeight="1">
      <c r="M4985"/>
      <c r="N4985"/>
    </row>
    <row r="4986" spans="13:14" ht="14.25" customHeight="1">
      <c r="M4986"/>
      <c r="N4986"/>
    </row>
    <row r="4987" spans="13:14" ht="14.25" customHeight="1">
      <c r="M4987"/>
      <c r="N4987"/>
    </row>
    <row r="4988" spans="13:14" ht="14.25" customHeight="1">
      <c r="M4988"/>
      <c r="N4988"/>
    </row>
    <row r="4989" spans="13:14" ht="14.25" customHeight="1">
      <c r="M4989"/>
      <c r="N4989"/>
    </row>
    <row r="4990" spans="13:14" ht="14.25" customHeight="1">
      <c r="M4990"/>
      <c r="N4990"/>
    </row>
    <row r="4991" spans="13:14" ht="14.25" customHeight="1">
      <c r="M4991"/>
      <c r="N4991"/>
    </row>
    <row r="4992" spans="13:14" ht="14.25" customHeight="1">
      <c r="M4992"/>
      <c r="N4992"/>
    </row>
    <row r="4993" spans="13:14" ht="14.25" customHeight="1">
      <c r="M4993"/>
      <c r="N4993"/>
    </row>
    <row r="4994" spans="13:14" ht="14.25" customHeight="1">
      <c r="M4994"/>
      <c r="N4994"/>
    </row>
    <row r="4995" spans="13:14" ht="14.25" customHeight="1">
      <c r="M4995"/>
      <c r="N4995"/>
    </row>
    <row r="4996" spans="13:14" ht="14.25" customHeight="1">
      <c r="M4996"/>
      <c r="N4996"/>
    </row>
    <row r="4997" spans="13:14" ht="14.25" customHeight="1">
      <c r="M4997"/>
      <c r="N4997"/>
    </row>
    <row r="4998" spans="13:14" ht="14.25" customHeight="1">
      <c r="M4998"/>
      <c r="N4998"/>
    </row>
    <row r="4999" spans="13:14" ht="14.25" customHeight="1">
      <c r="M4999"/>
      <c r="N4999"/>
    </row>
    <row r="5000" spans="13:14" ht="14.25" customHeight="1">
      <c r="M5000"/>
      <c r="N5000"/>
    </row>
    <row r="5001" spans="13:14" ht="14.25" customHeight="1">
      <c r="M5001"/>
      <c r="N5001"/>
    </row>
    <row r="5002" spans="13:14" ht="14.25" customHeight="1">
      <c r="M5002"/>
      <c r="N5002"/>
    </row>
    <row r="5003" spans="13:14" ht="14.25" customHeight="1">
      <c r="M5003"/>
      <c r="N5003"/>
    </row>
    <row r="5004" spans="13:14" ht="14.25" customHeight="1">
      <c r="M5004"/>
      <c r="N5004"/>
    </row>
    <row r="5005" spans="13:14" ht="14.25" customHeight="1">
      <c r="M5005"/>
      <c r="N5005"/>
    </row>
    <row r="5006" spans="13:14" ht="14.25" customHeight="1">
      <c r="M5006"/>
      <c r="N5006"/>
    </row>
    <row r="5007" spans="13:14" ht="14.25" customHeight="1">
      <c r="M5007"/>
      <c r="N5007"/>
    </row>
    <row r="5008" spans="13:14" ht="14.25" customHeight="1">
      <c r="M5008"/>
      <c r="N5008"/>
    </row>
    <row r="5009" spans="13:14" ht="14.25" customHeight="1">
      <c r="M5009"/>
      <c r="N5009"/>
    </row>
    <row r="5010" spans="13:14" ht="14.25" customHeight="1">
      <c r="M5010"/>
      <c r="N5010"/>
    </row>
    <row r="5011" spans="13:14" ht="14.25" customHeight="1">
      <c r="M5011"/>
      <c r="N5011"/>
    </row>
    <row r="5012" spans="13:14" ht="14.25" customHeight="1">
      <c r="M5012"/>
      <c r="N5012"/>
    </row>
    <row r="5013" spans="13:14" ht="14.25" customHeight="1">
      <c r="M5013"/>
      <c r="N5013"/>
    </row>
    <row r="5014" spans="13:14" ht="14.25" customHeight="1">
      <c r="M5014"/>
      <c r="N5014"/>
    </row>
    <row r="5015" spans="13:14" ht="14.25" customHeight="1">
      <c r="M5015"/>
      <c r="N5015"/>
    </row>
    <row r="5016" spans="13:14" ht="14.25" customHeight="1">
      <c r="M5016"/>
      <c r="N5016"/>
    </row>
    <row r="5017" spans="13:14" ht="14.25" customHeight="1">
      <c r="M5017"/>
      <c r="N5017"/>
    </row>
    <row r="5018" spans="13:14" ht="14.25" customHeight="1">
      <c r="M5018"/>
      <c r="N5018"/>
    </row>
    <row r="5019" spans="13:14" ht="14.25" customHeight="1">
      <c r="M5019"/>
      <c r="N5019"/>
    </row>
    <row r="5020" spans="13:14" ht="14.25" customHeight="1">
      <c r="M5020"/>
      <c r="N5020"/>
    </row>
    <row r="5021" spans="13:14" ht="14.25" customHeight="1">
      <c r="M5021"/>
      <c r="N5021"/>
    </row>
    <row r="5022" spans="13:14" ht="14.25" customHeight="1">
      <c r="M5022"/>
      <c r="N5022"/>
    </row>
    <row r="5023" spans="13:14" ht="14.25" customHeight="1">
      <c r="M5023"/>
      <c r="N5023"/>
    </row>
    <row r="5024" spans="13:14" ht="14.25" customHeight="1">
      <c r="M5024"/>
      <c r="N5024"/>
    </row>
    <row r="5025" spans="13:14" ht="14.25" customHeight="1">
      <c r="M5025"/>
      <c r="N5025"/>
    </row>
    <row r="5026" spans="13:14" ht="14.25" customHeight="1">
      <c r="M5026"/>
      <c r="N5026"/>
    </row>
    <row r="5027" spans="13:14" ht="14.25" customHeight="1">
      <c r="M5027"/>
      <c r="N5027"/>
    </row>
    <row r="5028" spans="13:14" ht="14.25" customHeight="1">
      <c r="M5028"/>
      <c r="N5028"/>
    </row>
    <row r="5029" spans="13:14" ht="14.25" customHeight="1">
      <c r="M5029"/>
      <c r="N5029"/>
    </row>
    <row r="5030" spans="13:14" ht="14.25" customHeight="1">
      <c r="M5030"/>
      <c r="N5030"/>
    </row>
    <row r="5031" spans="13:14" ht="14.25" customHeight="1">
      <c r="M5031"/>
      <c r="N5031"/>
    </row>
    <row r="5032" spans="13:14" ht="14.25" customHeight="1">
      <c r="M5032"/>
      <c r="N5032"/>
    </row>
    <row r="5033" spans="13:14" ht="14.25" customHeight="1">
      <c r="M5033"/>
      <c r="N5033"/>
    </row>
    <row r="5034" spans="13:14" ht="14.25" customHeight="1">
      <c r="M5034"/>
      <c r="N5034"/>
    </row>
    <row r="5035" spans="13:14" ht="14.25" customHeight="1">
      <c r="M5035"/>
      <c r="N5035"/>
    </row>
    <row r="5036" spans="13:14" ht="14.25" customHeight="1">
      <c r="M5036"/>
      <c r="N5036"/>
    </row>
    <row r="5037" spans="13:14" ht="14.25" customHeight="1">
      <c r="M5037"/>
      <c r="N5037"/>
    </row>
    <row r="5038" spans="13:14" ht="14.25" customHeight="1">
      <c r="M5038"/>
      <c r="N5038"/>
    </row>
    <row r="5039" spans="13:14" ht="14.25" customHeight="1">
      <c r="M5039"/>
      <c r="N5039"/>
    </row>
    <row r="5040" spans="13:14" ht="14.25" customHeight="1">
      <c r="M5040"/>
      <c r="N5040"/>
    </row>
    <row r="5041" spans="13:14" ht="14.25" customHeight="1">
      <c r="M5041"/>
      <c r="N5041"/>
    </row>
    <row r="5042" spans="13:14" ht="14.25" customHeight="1">
      <c r="M5042"/>
      <c r="N5042"/>
    </row>
    <row r="5043" spans="13:14" ht="14.25" customHeight="1">
      <c r="M5043"/>
      <c r="N5043"/>
    </row>
    <row r="5044" spans="13:14" ht="14.25" customHeight="1">
      <c r="M5044"/>
      <c r="N5044"/>
    </row>
    <row r="5045" spans="13:14" ht="14.25" customHeight="1">
      <c r="M5045"/>
      <c r="N5045"/>
    </row>
    <row r="5046" spans="13:14" ht="14.25" customHeight="1">
      <c r="M5046"/>
      <c r="N5046"/>
    </row>
    <row r="5047" spans="13:14" ht="14.25" customHeight="1">
      <c r="M5047"/>
      <c r="N5047"/>
    </row>
    <row r="5048" spans="13:14" ht="14.25" customHeight="1">
      <c r="M5048"/>
      <c r="N5048"/>
    </row>
    <row r="5049" spans="13:14" ht="14.25" customHeight="1">
      <c r="M5049"/>
      <c r="N5049"/>
    </row>
    <row r="5050" spans="13:14" ht="14.25" customHeight="1">
      <c r="M5050"/>
      <c r="N5050"/>
    </row>
    <row r="5051" spans="13:14" ht="14.25" customHeight="1">
      <c r="M5051"/>
      <c r="N5051"/>
    </row>
    <row r="5052" spans="13:14" ht="14.25" customHeight="1">
      <c r="M5052"/>
      <c r="N5052"/>
    </row>
    <row r="5053" spans="13:14" ht="14.25" customHeight="1">
      <c r="M5053"/>
      <c r="N5053"/>
    </row>
    <row r="5054" spans="13:14" ht="14.25" customHeight="1">
      <c r="M5054"/>
      <c r="N5054"/>
    </row>
    <row r="5055" spans="13:14" ht="14.25" customHeight="1">
      <c r="M5055"/>
      <c r="N5055"/>
    </row>
    <row r="5056" spans="13:14" ht="14.25" customHeight="1">
      <c r="M5056"/>
      <c r="N5056"/>
    </row>
    <row r="5057" spans="13:14" ht="14.25" customHeight="1">
      <c r="M5057"/>
      <c r="N5057"/>
    </row>
    <row r="5058" spans="13:14" ht="14.25" customHeight="1">
      <c r="M5058"/>
      <c r="N5058"/>
    </row>
    <row r="5059" spans="13:14" ht="14.25" customHeight="1">
      <c r="M5059"/>
      <c r="N5059"/>
    </row>
    <row r="5060" spans="13:14" ht="14.25" customHeight="1">
      <c r="M5060"/>
      <c r="N5060"/>
    </row>
    <row r="5061" spans="13:14" ht="14.25" customHeight="1">
      <c r="M5061"/>
      <c r="N5061"/>
    </row>
    <row r="5062" spans="13:14" ht="14.25" customHeight="1">
      <c r="M5062"/>
      <c r="N5062"/>
    </row>
    <row r="5063" spans="13:14" ht="14.25" customHeight="1">
      <c r="M5063"/>
      <c r="N5063"/>
    </row>
    <row r="5064" spans="13:14" ht="14.25" customHeight="1">
      <c r="M5064"/>
      <c r="N5064"/>
    </row>
    <row r="5065" spans="13:14" ht="14.25" customHeight="1">
      <c r="M5065"/>
      <c r="N5065"/>
    </row>
    <row r="5066" spans="13:14" ht="14.25" customHeight="1">
      <c r="M5066"/>
      <c r="N5066"/>
    </row>
    <row r="5067" spans="13:14" ht="14.25" customHeight="1">
      <c r="M5067"/>
      <c r="N5067"/>
    </row>
    <row r="5068" spans="13:14" ht="14.25" customHeight="1">
      <c r="M5068"/>
      <c r="N5068"/>
    </row>
    <row r="5069" spans="13:14" ht="14.25" customHeight="1">
      <c r="M5069"/>
      <c r="N5069"/>
    </row>
    <row r="5070" spans="13:14" ht="14.25" customHeight="1">
      <c r="M5070"/>
      <c r="N5070"/>
    </row>
    <row r="5071" spans="13:14" ht="14.25" customHeight="1">
      <c r="M5071"/>
      <c r="N5071"/>
    </row>
    <row r="5072" spans="13:14" ht="14.25" customHeight="1">
      <c r="M5072"/>
      <c r="N5072"/>
    </row>
    <row r="5073" spans="13:14" ht="14.25" customHeight="1">
      <c r="M5073"/>
      <c r="N5073"/>
    </row>
    <row r="5074" spans="13:14" ht="14.25" customHeight="1">
      <c r="M5074"/>
      <c r="N5074"/>
    </row>
    <row r="5075" spans="13:14" ht="14.25" customHeight="1">
      <c r="M5075"/>
      <c r="N5075"/>
    </row>
    <row r="5076" spans="13:14" ht="14.25" customHeight="1">
      <c r="M5076"/>
      <c r="N5076"/>
    </row>
    <row r="5077" spans="13:14" ht="14.25" customHeight="1">
      <c r="M5077"/>
      <c r="N5077"/>
    </row>
    <row r="5078" spans="13:14" ht="14.25" customHeight="1">
      <c r="M5078"/>
      <c r="N5078"/>
    </row>
    <row r="5079" spans="13:14" ht="14.25" customHeight="1">
      <c r="M5079"/>
      <c r="N5079"/>
    </row>
    <row r="5080" spans="13:14" ht="14.25" customHeight="1">
      <c r="M5080"/>
      <c r="N5080"/>
    </row>
    <row r="5081" spans="13:14" ht="14.25" customHeight="1">
      <c r="M5081"/>
      <c r="N5081"/>
    </row>
    <row r="5082" spans="13:14" ht="14.25" customHeight="1">
      <c r="M5082"/>
      <c r="N5082"/>
    </row>
    <row r="5083" spans="13:14" ht="14.25" customHeight="1">
      <c r="M5083"/>
      <c r="N5083"/>
    </row>
    <row r="5084" spans="13:14" ht="14.25" customHeight="1">
      <c r="M5084"/>
      <c r="N5084"/>
    </row>
    <row r="5085" spans="13:14" ht="14.25" customHeight="1">
      <c r="M5085"/>
      <c r="N5085"/>
    </row>
    <row r="5086" spans="13:14" ht="14.25" customHeight="1">
      <c r="M5086"/>
      <c r="N5086"/>
    </row>
    <row r="5087" spans="13:14" ht="14.25" customHeight="1">
      <c r="M5087"/>
      <c r="N5087"/>
    </row>
    <row r="5088" spans="13:14" ht="14.25" customHeight="1">
      <c r="M5088"/>
      <c r="N5088"/>
    </row>
    <row r="5089" spans="13:14" ht="14.25" customHeight="1">
      <c r="M5089"/>
      <c r="N5089"/>
    </row>
    <row r="5090" spans="13:14" ht="14.25" customHeight="1">
      <c r="M5090"/>
      <c r="N5090"/>
    </row>
    <row r="5091" spans="13:14" ht="14.25" customHeight="1">
      <c r="M5091"/>
      <c r="N5091"/>
    </row>
    <row r="5092" spans="13:14" ht="14.25" customHeight="1">
      <c r="M5092"/>
      <c r="N5092"/>
    </row>
    <row r="5093" spans="13:14" ht="14.25" customHeight="1">
      <c r="M5093"/>
      <c r="N5093"/>
    </row>
    <row r="5094" spans="13:14" ht="14.25" customHeight="1">
      <c r="M5094"/>
      <c r="N5094"/>
    </row>
    <row r="5095" spans="13:14" ht="14.25" customHeight="1">
      <c r="M5095"/>
      <c r="N5095"/>
    </row>
    <row r="5096" spans="13:14" ht="14.25" customHeight="1">
      <c r="M5096"/>
      <c r="N5096"/>
    </row>
    <row r="5097" spans="13:14" ht="14.25" customHeight="1">
      <c r="M5097"/>
      <c r="N5097"/>
    </row>
    <row r="5098" spans="13:14" ht="14.25" customHeight="1">
      <c r="M5098"/>
      <c r="N5098"/>
    </row>
    <row r="5099" spans="13:14" ht="14.25" customHeight="1">
      <c r="M5099"/>
      <c r="N5099"/>
    </row>
    <row r="5100" spans="13:14" ht="14.25" customHeight="1">
      <c r="M5100"/>
      <c r="N5100"/>
    </row>
    <row r="5101" spans="13:14" ht="14.25" customHeight="1">
      <c r="M5101"/>
      <c r="N5101"/>
    </row>
    <row r="5102" spans="13:14" ht="14.25" customHeight="1">
      <c r="M5102"/>
      <c r="N5102"/>
    </row>
    <row r="5103" spans="13:14" ht="14.25" customHeight="1">
      <c r="M5103"/>
      <c r="N5103"/>
    </row>
    <row r="5104" spans="13:14" ht="14.25" customHeight="1">
      <c r="M5104"/>
      <c r="N5104"/>
    </row>
    <row r="5105" spans="13:14" ht="14.25" customHeight="1">
      <c r="M5105"/>
      <c r="N5105"/>
    </row>
    <row r="5106" spans="13:14" ht="14.25" customHeight="1">
      <c r="M5106"/>
      <c r="N5106"/>
    </row>
    <row r="5107" spans="13:14" ht="14.25" customHeight="1">
      <c r="M5107"/>
      <c r="N5107"/>
    </row>
    <row r="5108" spans="13:14" ht="14.25" customHeight="1">
      <c r="M5108"/>
      <c r="N5108"/>
    </row>
    <row r="5109" spans="13:14" ht="14.25" customHeight="1">
      <c r="M5109"/>
      <c r="N5109"/>
    </row>
    <row r="5110" spans="13:14" ht="14.25" customHeight="1">
      <c r="M5110"/>
      <c r="N5110"/>
    </row>
    <row r="5111" spans="13:14" ht="14.25" customHeight="1">
      <c r="M5111"/>
      <c r="N5111"/>
    </row>
    <row r="5112" spans="13:14" ht="14.25" customHeight="1">
      <c r="M5112"/>
      <c r="N5112"/>
    </row>
    <row r="5113" spans="13:14" ht="14.25" customHeight="1">
      <c r="M5113"/>
      <c r="N5113"/>
    </row>
    <row r="5114" spans="13:14" ht="14.25" customHeight="1">
      <c r="M5114"/>
      <c r="N5114"/>
    </row>
    <row r="5115" spans="13:14" ht="14.25" customHeight="1">
      <c r="M5115"/>
      <c r="N5115"/>
    </row>
    <row r="5116" spans="13:14" ht="14.25" customHeight="1">
      <c r="M5116"/>
      <c r="N5116"/>
    </row>
    <row r="5117" spans="13:14" ht="14.25" customHeight="1">
      <c r="M5117"/>
      <c r="N5117"/>
    </row>
    <row r="5118" spans="13:14" ht="14.25" customHeight="1">
      <c r="M5118"/>
      <c r="N5118"/>
    </row>
    <row r="5119" spans="13:14" ht="14.25" customHeight="1">
      <c r="M5119"/>
      <c r="N5119"/>
    </row>
    <row r="5120" spans="13:14" ht="14.25" customHeight="1">
      <c r="M5120"/>
      <c r="N5120"/>
    </row>
    <row r="5121" spans="13:14" ht="14.25" customHeight="1">
      <c r="M5121"/>
      <c r="N5121"/>
    </row>
    <row r="5122" spans="13:14" ht="14.25" customHeight="1">
      <c r="M5122"/>
      <c r="N5122"/>
    </row>
    <row r="5123" spans="13:14" ht="14.25" customHeight="1">
      <c r="M5123"/>
      <c r="N5123"/>
    </row>
    <row r="5124" spans="13:14" ht="14.25" customHeight="1">
      <c r="M5124"/>
      <c r="N5124"/>
    </row>
    <row r="5125" spans="13:14" ht="14.25" customHeight="1">
      <c r="M5125"/>
      <c r="N5125"/>
    </row>
    <row r="5126" spans="13:14" ht="14.25" customHeight="1">
      <c r="M5126"/>
      <c r="N5126"/>
    </row>
    <row r="5127" spans="13:14" ht="14.25" customHeight="1">
      <c r="M5127"/>
      <c r="N5127"/>
    </row>
    <row r="5128" spans="13:14" ht="14.25" customHeight="1">
      <c r="M5128"/>
      <c r="N5128"/>
    </row>
    <row r="5129" spans="13:14" ht="14.25" customHeight="1">
      <c r="M5129"/>
      <c r="N5129"/>
    </row>
    <row r="5130" spans="13:14" ht="14.25" customHeight="1">
      <c r="M5130"/>
      <c r="N5130"/>
    </row>
    <row r="5131" spans="13:14" ht="14.25" customHeight="1">
      <c r="M5131"/>
      <c r="N5131"/>
    </row>
    <row r="5132" spans="13:14" ht="14.25" customHeight="1">
      <c r="M5132"/>
      <c r="N5132"/>
    </row>
    <row r="5133" spans="13:14" ht="14.25" customHeight="1">
      <c r="M5133"/>
      <c r="N5133"/>
    </row>
    <row r="5134" spans="13:14" ht="14.25" customHeight="1">
      <c r="M5134"/>
      <c r="N5134"/>
    </row>
    <row r="5135" spans="13:14" ht="14.25" customHeight="1">
      <c r="M5135"/>
      <c r="N5135"/>
    </row>
    <row r="5136" spans="13:14" ht="14.25" customHeight="1">
      <c r="M5136"/>
      <c r="N5136"/>
    </row>
    <row r="5137" spans="13:14" ht="14.25" customHeight="1">
      <c r="M5137"/>
      <c r="N5137"/>
    </row>
    <row r="5138" spans="13:14" ht="14.25" customHeight="1">
      <c r="M5138"/>
      <c r="N5138"/>
    </row>
    <row r="5139" spans="13:14" ht="14.25" customHeight="1">
      <c r="M5139"/>
      <c r="N5139"/>
    </row>
    <row r="5140" spans="13:14" ht="14.25" customHeight="1">
      <c r="M5140"/>
      <c r="N5140"/>
    </row>
    <row r="5141" spans="13:14" ht="14.25" customHeight="1">
      <c r="M5141"/>
      <c r="N5141"/>
    </row>
    <row r="5142" spans="13:14" ht="14.25" customHeight="1">
      <c r="M5142"/>
      <c r="N5142"/>
    </row>
    <row r="5143" spans="13:14" ht="14.25" customHeight="1">
      <c r="M5143"/>
      <c r="N5143"/>
    </row>
    <row r="5144" spans="13:14" ht="14.25" customHeight="1">
      <c r="M5144"/>
      <c r="N5144"/>
    </row>
    <row r="5145" spans="13:14" ht="14.25" customHeight="1">
      <c r="M5145"/>
      <c r="N5145"/>
    </row>
    <row r="5146" spans="13:14" ht="14.25" customHeight="1">
      <c r="M5146"/>
      <c r="N5146"/>
    </row>
    <row r="5147" spans="13:14" ht="14.25" customHeight="1">
      <c r="M5147"/>
      <c r="N5147"/>
    </row>
    <row r="5148" spans="13:14" ht="14.25" customHeight="1">
      <c r="M5148"/>
      <c r="N5148"/>
    </row>
    <row r="5149" spans="13:14" ht="14.25" customHeight="1">
      <c r="M5149"/>
      <c r="N5149"/>
    </row>
    <row r="5150" spans="13:14" ht="14.25" customHeight="1">
      <c r="M5150"/>
      <c r="N5150"/>
    </row>
    <row r="5151" spans="13:14" ht="14.25" customHeight="1">
      <c r="M5151"/>
      <c r="N5151"/>
    </row>
    <row r="5152" spans="13:14" ht="14.25" customHeight="1">
      <c r="M5152"/>
      <c r="N5152"/>
    </row>
    <row r="5153" spans="13:14" ht="14.25" customHeight="1">
      <c r="M5153"/>
      <c r="N5153"/>
    </row>
    <row r="5154" spans="13:14" ht="14.25" customHeight="1">
      <c r="M5154"/>
      <c r="N5154"/>
    </row>
    <row r="5155" spans="13:14" ht="14.25" customHeight="1">
      <c r="M5155"/>
      <c r="N5155"/>
    </row>
    <row r="5156" spans="13:14" ht="14.25" customHeight="1">
      <c r="M5156"/>
      <c r="N5156"/>
    </row>
    <row r="5157" spans="13:14" ht="14.25" customHeight="1">
      <c r="M5157"/>
      <c r="N5157"/>
    </row>
    <row r="5158" spans="13:14" ht="14.25" customHeight="1">
      <c r="M5158"/>
      <c r="N5158"/>
    </row>
    <row r="5159" spans="13:14" ht="14.25" customHeight="1">
      <c r="M5159"/>
      <c r="N5159"/>
    </row>
    <row r="5160" spans="13:14" ht="14.25" customHeight="1">
      <c r="M5160"/>
      <c r="N5160"/>
    </row>
    <row r="5161" spans="13:14" ht="14.25" customHeight="1">
      <c r="M5161"/>
      <c r="N5161"/>
    </row>
    <row r="5162" spans="13:14" ht="14.25" customHeight="1">
      <c r="M5162"/>
      <c r="N5162"/>
    </row>
    <row r="5163" spans="13:14" ht="14.25" customHeight="1">
      <c r="M5163"/>
      <c r="N5163"/>
    </row>
    <row r="5164" spans="13:14" ht="14.25" customHeight="1">
      <c r="M5164"/>
      <c r="N5164"/>
    </row>
    <row r="5165" spans="13:14" ht="14.25" customHeight="1">
      <c r="M5165"/>
      <c r="N5165"/>
    </row>
    <row r="5166" spans="13:14" ht="14.25" customHeight="1">
      <c r="M5166"/>
      <c r="N5166"/>
    </row>
    <row r="5167" spans="13:14" ht="14.25" customHeight="1">
      <c r="M5167"/>
      <c r="N5167"/>
    </row>
    <row r="5168" spans="13:14" ht="14.25" customHeight="1">
      <c r="M5168"/>
      <c r="N5168"/>
    </row>
    <row r="5169" spans="13:14" ht="14.25" customHeight="1">
      <c r="M5169"/>
      <c r="N5169"/>
    </row>
    <row r="5170" spans="13:14" ht="14.25" customHeight="1">
      <c r="M5170"/>
      <c r="N5170"/>
    </row>
    <row r="5171" spans="13:14" ht="14.25" customHeight="1">
      <c r="M5171"/>
      <c r="N5171"/>
    </row>
    <row r="5172" spans="13:14" ht="14.25" customHeight="1">
      <c r="M5172"/>
      <c r="N5172"/>
    </row>
    <row r="5173" spans="13:14" ht="14.25" customHeight="1">
      <c r="M5173"/>
      <c r="N5173"/>
    </row>
    <row r="5174" spans="13:14" ht="14.25" customHeight="1">
      <c r="M5174"/>
      <c r="N5174"/>
    </row>
    <row r="5175" spans="13:14" ht="14.25" customHeight="1">
      <c r="M5175"/>
      <c r="N5175"/>
    </row>
    <row r="5176" spans="13:14" ht="14.25" customHeight="1">
      <c r="M5176"/>
      <c r="N5176"/>
    </row>
    <row r="5177" spans="13:14" ht="14.25" customHeight="1">
      <c r="M5177"/>
      <c r="N5177"/>
    </row>
    <row r="5178" spans="13:14" ht="14.25" customHeight="1">
      <c r="M5178"/>
      <c r="N5178"/>
    </row>
    <row r="5179" spans="13:14" ht="14.25" customHeight="1">
      <c r="M5179"/>
      <c r="N5179"/>
    </row>
    <row r="5180" spans="13:14" ht="14.25" customHeight="1">
      <c r="M5180"/>
      <c r="N5180"/>
    </row>
    <row r="5181" spans="13:14" ht="14.25" customHeight="1">
      <c r="M5181"/>
      <c r="N5181"/>
    </row>
    <row r="5182" spans="13:14" ht="14.25" customHeight="1">
      <c r="M5182"/>
      <c r="N5182"/>
    </row>
    <row r="5183" spans="13:14" ht="14.25" customHeight="1">
      <c r="M5183"/>
      <c r="N5183"/>
    </row>
    <row r="5184" spans="13:14" ht="14.25" customHeight="1">
      <c r="M5184"/>
      <c r="N5184"/>
    </row>
    <row r="5185" spans="13:14" ht="14.25" customHeight="1">
      <c r="M5185"/>
      <c r="N5185"/>
    </row>
    <row r="5186" spans="13:14" ht="14.25" customHeight="1">
      <c r="M5186"/>
      <c r="N5186"/>
    </row>
    <row r="5187" spans="13:14" ht="14.25" customHeight="1">
      <c r="M5187"/>
      <c r="N5187"/>
    </row>
    <row r="5188" spans="13:14" ht="14.25" customHeight="1">
      <c r="M5188"/>
      <c r="N5188"/>
    </row>
    <row r="5189" spans="13:14" ht="14.25" customHeight="1">
      <c r="M5189"/>
      <c r="N5189"/>
    </row>
    <row r="5190" spans="13:14" ht="14.25" customHeight="1">
      <c r="M5190"/>
      <c r="N5190"/>
    </row>
    <row r="5191" spans="13:14" ht="14.25" customHeight="1">
      <c r="M5191"/>
      <c r="N5191"/>
    </row>
    <row r="5192" spans="13:14" ht="14.25" customHeight="1">
      <c r="M5192"/>
      <c r="N5192"/>
    </row>
    <row r="5193" spans="13:14" ht="14.25" customHeight="1">
      <c r="M5193"/>
      <c r="N5193"/>
    </row>
    <row r="5194" spans="13:14" ht="14.25" customHeight="1">
      <c r="M5194"/>
      <c r="N5194"/>
    </row>
    <row r="5195" spans="13:14" ht="14.25" customHeight="1">
      <c r="M5195"/>
      <c r="N5195"/>
    </row>
    <row r="5196" spans="13:14" ht="14.25" customHeight="1">
      <c r="M5196"/>
      <c r="N5196"/>
    </row>
    <row r="5197" spans="13:14" ht="14.25" customHeight="1">
      <c r="M5197"/>
      <c r="N5197"/>
    </row>
    <row r="5198" spans="13:14" ht="14.25" customHeight="1">
      <c r="M5198"/>
      <c r="N5198"/>
    </row>
    <row r="5199" spans="13:14" ht="14.25" customHeight="1">
      <c r="M5199"/>
      <c r="N5199"/>
    </row>
    <row r="5200" spans="13:14" ht="14.25" customHeight="1">
      <c r="M5200"/>
      <c r="N5200"/>
    </row>
    <row r="5201" spans="13:14" ht="14.25" customHeight="1">
      <c r="M5201"/>
      <c r="N5201"/>
    </row>
    <row r="5202" spans="13:14" ht="14.25" customHeight="1">
      <c r="M5202"/>
      <c r="N5202"/>
    </row>
    <row r="5203" spans="13:14" ht="14.25" customHeight="1">
      <c r="M5203"/>
      <c r="N5203"/>
    </row>
    <row r="5204" spans="13:14" ht="14.25" customHeight="1">
      <c r="M5204"/>
      <c r="N5204"/>
    </row>
    <row r="5205" spans="13:14" ht="14.25" customHeight="1">
      <c r="M5205"/>
      <c r="N5205"/>
    </row>
    <row r="5206" spans="13:14" ht="14.25" customHeight="1">
      <c r="M5206"/>
      <c r="N5206"/>
    </row>
    <row r="5207" spans="13:14" ht="14.25" customHeight="1">
      <c r="M5207"/>
      <c r="N5207"/>
    </row>
    <row r="5208" spans="13:14" ht="14.25" customHeight="1">
      <c r="M5208"/>
      <c r="N5208"/>
    </row>
    <row r="5209" spans="13:14" ht="14.25" customHeight="1">
      <c r="M5209"/>
      <c r="N5209"/>
    </row>
    <row r="5210" spans="13:14" ht="14.25" customHeight="1">
      <c r="M5210"/>
      <c r="N5210"/>
    </row>
    <row r="5211" spans="13:14" ht="14.25" customHeight="1">
      <c r="M5211"/>
      <c r="N5211"/>
    </row>
    <row r="5212" spans="13:14" ht="14.25" customHeight="1">
      <c r="M5212"/>
      <c r="N5212"/>
    </row>
    <row r="5213" spans="13:14" ht="14.25" customHeight="1">
      <c r="M5213"/>
      <c r="N5213"/>
    </row>
    <row r="5214" spans="13:14" ht="14.25" customHeight="1">
      <c r="M5214"/>
      <c r="N5214"/>
    </row>
    <row r="5215" spans="13:14" ht="14.25" customHeight="1">
      <c r="M5215"/>
      <c r="N5215"/>
    </row>
    <row r="5216" spans="13:14" ht="14.25" customHeight="1">
      <c r="M5216"/>
      <c r="N5216"/>
    </row>
    <row r="5217" spans="13:14" ht="14.25" customHeight="1">
      <c r="M5217"/>
      <c r="N5217"/>
    </row>
    <row r="5218" spans="13:14" ht="14.25" customHeight="1">
      <c r="M5218"/>
      <c r="N5218"/>
    </row>
    <row r="5219" spans="13:14" ht="14.25" customHeight="1">
      <c r="M5219"/>
      <c r="N5219"/>
    </row>
    <row r="5220" spans="13:14" ht="14.25" customHeight="1">
      <c r="M5220"/>
      <c r="N5220"/>
    </row>
    <row r="5221" spans="13:14" ht="14.25" customHeight="1">
      <c r="M5221"/>
      <c r="N5221"/>
    </row>
    <row r="5222" spans="13:14" ht="14.25" customHeight="1">
      <c r="M5222"/>
      <c r="N5222"/>
    </row>
    <row r="5223" spans="13:14" ht="14.25" customHeight="1">
      <c r="M5223"/>
      <c r="N5223"/>
    </row>
    <row r="5224" spans="13:14" ht="14.25" customHeight="1">
      <c r="M5224"/>
      <c r="N5224"/>
    </row>
    <row r="5225" spans="13:14" ht="14.25" customHeight="1">
      <c r="M5225"/>
      <c r="N5225"/>
    </row>
    <row r="5226" spans="13:14" ht="14.25" customHeight="1">
      <c r="M5226"/>
      <c r="N5226"/>
    </row>
    <row r="5227" spans="13:14" ht="14.25" customHeight="1">
      <c r="M5227"/>
      <c r="N5227"/>
    </row>
    <row r="5228" spans="13:14" ht="14.25" customHeight="1">
      <c r="M5228"/>
      <c r="N5228"/>
    </row>
    <row r="5229" spans="13:14" ht="14.25" customHeight="1">
      <c r="M5229"/>
      <c r="N5229"/>
    </row>
    <row r="5230" spans="13:14" ht="14.25" customHeight="1">
      <c r="M5230"/>
      <c r="N5230"/>
    </row>
    <row r="5231" spans="13:14" ht="14.25" customHeight="1">
      <c r="M5231"/>
      <c r="N5231"/>
    </row>
    <row r="5232" spans="13:14" ht="14.25" customHeight="1">
      <c r="M5232"/>
      <c r="N5232"/>
    </row>
    <row r="5233" spans="13:14" ht="14.25" customHeight="1">
      <c r="M5233"/>
      <c r="N5233"/>
    </row>
    <row r="5234" spans="13:14" ht="14.25" customHeight="1">
      <c r="M5234"/>
      <c r="N5234"/>
    </row>
    <row r="5235" spans="13:14" ht="14.25" customHeight="1">
      <c r="M5235"/>
      <c r="N5235"/>
    </row>
    <row r="5236" spans="13:14" ht="14.25" customHeight="1">
      <c r="M5236"/>
      <c r="N5236"/>
    </row>
    <row r="5237" spans="13:14" ht="14.25" customHeight="1">
      <c r="M5237"/>
      <c r="N5237"/>
    </row>
    <row r="5238" spans="13:14" ht="14.25" customHeight="1">
      <c r="M5238"/>
      <c r="N5238"/>
    </row>
    <row r="5239" spans="13:14" ht="14.25" customHeight="1">
      <c r="M5239"/>
      <c r="N5239"/>
    </row>
    <row r="5240" spans="13:14" ht="14.25" customHeight="1">
      <c r="M5240"/>
      <c r="N5240"/>
    </row>
    <row r="5241" spans="13:14" ht="14.25" customHeight="1">
      <c r="M5241"/>
      <c r="N5241"/>
    </row>
    <row r="5242" spans="13:14" ht="14.25" customHeight="1">
      <c r="M5242"/>
      <c r="N5242"/>
    </row>
    <row r="5243" spans="13:14" ht="14.25" customHeight="1">
      <c r="M5243"/>
      <c r="N5243"/>
    </row>
    <row r="5244" spans="13:14" ht="14.25" customHeight="1">
      <c r="M5244"/>
      <c r="N5244"/>
    </row>
    <row r="5245" spans="13:14" ht="14.25" customHeight="1">
      <c r="M5245"/>
      <c r="N5245"/>
    </row>
    <row r="5246" spans="13:14" ht="14.25" customHeight="1">
      <c r="M5246"/>
      <c r="N5246"/>
    </row>
    <row r="5247" spans="13:14" ht="14.25" customHeight="1">
      <c r="M5247"/>
      <c r="N5247"/>
    </row>
    <row r="5248" spans="13:14" ht="14.25" customHeight="1">
      <c r="M5248"/>
      <c r="N5248"/>
    </row>
    <row r="5249" spans="13:14" ht="14.25" customHeight="1">
      <c r="M5249"/>
      <c r="N5249"/>
    </row>
    <row r="5250" spans="13:14" ht="14.25" customHeight="1">
      <c r="M5250"/>
      <c r="N5250"/>
    </row>
    <row r="5251" spans="13:14" ht="14.25" customHeight="1">
      <c r="M5251"/>
      <c r="N5251"/>
    </row>
    <row r="5252" spans="13:14" ht="14.25" customHeight="1">
      <c r="M5252"/>
      <c r="N5252"/>
    </row>
    <row r="5253" spans="13:14" ht="14.25" customHeight="1">
      <c r="M5253"/>
      <c r="N5253"/>
    </row>
    <row r="5254" spans="13:14" ht="14.25" customHeight="1">
      <c r="M5254"/>
      <c r="N5254"/>
    </row>
    <row r="5255" spans="13:14" ht="14.25" customHeight="1">
      <c r="M5255"/>
      <c r="N5255"/>
    </row>
    <row r="5256" spans="13:14" ht="14.25" customHeight="1">
      <c r="M5256"/>
      <c r="N5256"/>
    </row>
    <row r="5257" spans="13:14" ht="14.25" customHeight="1">
      <c r="M5257"/>
      <c r="N5257"/>
    </row>
    <row r="5258" spans="13:14" ht="14.25" customHeight="1">
      <c r="M5258"/>
      <c r="N5258"/>
    </row>
    <row r="5259" spans="13:14" ht="14.25" customHeight="1">
      <c r="M5259"/>
      <c r="N5259"/>
    </row>
    <row r="5260" spans="13:14" ht="14.25" customHeight="1">
      <c r="M5260"/>
      <c r="N5260"/>
    </row>
    <row r="5261" spans="13:14" ht="14.25" customHeight="1">
      <c r="M5261"/>
      <c r="N5261"/>
    </row>
    <row r="5262" spans="13:14" ht="14.25" customHeight="1">
      <c r="M5262"/>
      <c r="N5262"/>
    </row>
    <row r="5263" spans="13:14" ht="14.25" customHeight="1">
      <c r="M5263"/>
      <c r="N5263"/>
    </row>
    <row r="5264" spans="13:14" ht="14.25" customHeight="1">
      <c r="M5264"/>
      <c r="N5264"/>
    </row>
    <row r="5265" spans="13:14" ht="14.25" customHeight="1">
      <c r="M5265"/>
      <c r="N5265"/>
    </row>
    <row r="5266" spans="13:14" ht="14.25" customHeight="1">
      <c r="M5266"/>
      <c r="N5266"/>
    </row>
    <row r="5267" spans="13:14" ht="14.25" customHeight="1">
      <c r="M5267"/>
      <c r="N5267"/>
    </row>
    <row r="5268" spans="13:14" ht="14.25" customHeight="1">
      <c r="M5268"/>
      <c r="N5268"/>
    </row>
    <row r="5269" spans="13:14" ht="14.25" customHeight="1">
      <c r="M5269"/>
      <c r="N5269"/>
    </row>
    <row r="5270" spans="13:14" ht="14.25" customHeight="1">
      <c r="M5270"/>
      <c r="N5270"/>
    </row>
    <row r="5271" spans="13:14" ht="14.25" customHeight="1">
      <c r="M5271"/>
      <c r="N5271"/>
    </row>
    <row r="5272" spans="13:14" ht="14.25" customHeight="1">
      <c r="M5272"/>
      <c r="N5272"/>
    </row>
    <row r="5273" spans="13:14" ht="14.25" customHeight="1">
      <c r="M5273"/>
      <c r="N5273"/>
    </row>
    <row r="5274" spans="13:14" ht="14.25" customHeight="1">
      <c r="M5274"/>
      <c r="N5274"/>
    </row>
    <row r="5275" spans="13:14" ht="14.25" customHeight="1">
      <c r="M5275"/>
      <c r="N5275"/>
    </row>
    <row r="5276" spans="13:14" ht="14.25" customHeight="1">
      <c r="M5276"/>
      <c r="N5276"/>
    </row>
    <row r="5277" spans="13:14" ht="14.25" customHeight="1">
      <c r="M5277"/>
      <c r="N5277"/>
    </row>
    <row r="5278" spans="13:14" ht="14.25" customHeight="1">
      <c r="M5278"/>
      <c r="N5278"/>
    </row>
    <row r="5279" spans="13:14" ht="14.25" customHeight="1">
      <c r="M5279"/>
      <c r="N5279"/>
    </row>
    <row r="5280" spans="13:14" ht="14.25" customHeight="1">
      <c r="M5280"/>
      <c r="N5280"/>
    </row>
    <row r="5281" spans="13:14" ht="14.25" customHeight="1">
      <c r="M5281"/>
      <c r="N5281"/>
    </row>
    <row r="5282" spans="13:14" ht="14.25" customHeight="1">
      <c r="M5282"/>
      <c r="N5282"/>
    </row>
    <row r="5283" spans="13:14" ht="14.25" customHeight="1">
      <c r="M5283"/>
      <c r="N5283"/>
    </row>
    <row r="5284" spans="13:14" ht="14.25" customHeight="1">
      <c r="M5284"/>
      <c r="N5284"/>
    </row>
    <row r="5285" spans="13:14" ht="14.25" customHeight="1">
      <c r="M5285"/>
      <c r="N5285"/>
    </row>
    <row r="5286" spans="13:14" ht="14.25" customHeight="1">
      <c r="M5286"/>
      <c r="N5286"/>
    </row>
    <row r="5287" spans="13:14" ht="14.25" customHeight="1">
      <c r="M5287"/>
      <c r="N5287"/>
    </row>
    <row r="5288" spans="13:14" ht="14.25" customHeight="1">
      <c r="M5288"/>
      <c r="N5288"/>
    </row>
    <row r="5289" spans="13:14" ht="14.25" customHeight="1">
      <c r="M5289"/>
      <c r="N5289"/>
    </row>
    <row r="5290" spans="13:14" ht="14.25" customHeight="1">
      <c r="M5290"/>
      <c r="N5290"/>
    </row>
    <row r="5291" spans="13:14" ht="14.25" customHeight="1">
      <c r="M5291"/>
      <c r="N5291"/>
    </row>
    <row r="5292" spans="13:14" ht="14.25" customHeight="1">
      <c r="M5292"/>
      <c r="N5292"/>
    </row>
    <row r="5293" spans="13:14" ht="14.25" customHeight="1">
      <c r="M5293"/>
      <c r="N5293"/>
    </row>
    <row r="5294" spans="13:14" ht="14.25" customHeight="1">
      <c r="M5294"/>
      <c r="N5294"/>
    </row>
    <row r="5295" spans="13:14" ht="14.25" customHeight="1">
      <c r="M5295"/>
      <c r="N5295"/>
    </row>
    <row r="5296" spans="13:14" ht="14.25" customHeight="1">
      <c r="M5296"/>
      <c r="N5296"/>
    </row>
    <row r="5297" spans="13:14" ht="14.25" customHeight="1">
      <c r="M5297"/>
      <c r="N5297"/>
    </row>
    <row r="5298" spans="13:14" ht="14.25" customHeight="1">
      <c r="M5298"/>
      <c r="N5298"/>
    </row>
    <row r="5299" spans="13:14" ht="14.25" customHeight="1">
      <c r="M5299"/>
      <c r="N5299"/>
    </row>
    <row r="5300" spans="13:14" ht="14.25" customHeight="1">
      <c r="M5300"/>
      <c r="N5300"/>
    </row>
    <row r="5301" spans="13:14" ht="14.25" customHeight="1">
      <c r="M5301"/>
      <c r="N5301"/>
    </row>
    <row r="5302" spans="13:14" ht="14.25" customHeight="1">
      <c r="M5302"/>
      <c r="N5302"/>
    </row>
    <row r="5303" spans="13:14" ht="14.25" customHeight="1">
      <c r="M5303"/>
      <c r="N5303"/>
    </row>
    <row r="5304" spans="13:14" ht="14.25" customHeight="1">
      <c r="M5304"/>
      <c r="N5304"/>
    </row>
    <row r="5305" spans="13:14" ht="14.25" customHeight="1">
      <c r="M5305"/>
      <c r="N5305"/>
    </row>
    <row r="5306" spans="13:14" ht="14.25" customHeight="1">
      <c r="M5306"/>
      <c r="N5306"/>
    </row>
    <row r="5307" spans="13:14" ht="14.25" customHeight="1">
      <c r="M5307"/>
      <c r="N5307"/>
    </row>
    <row r="5308" spans="13:14" ht="14.25" customHeight="1">
      <c r="M5308"/>
      <c r="N5308"/>
    </row>
    <row r="5309" spans="13:14" ht="14.25" customHeight="1">
      <c r="M5309"/>
      <c r="N5309"/>
    </row>
    <row r="5310" spans="13:14" ht="14.25" customHeight="1">
      <c r="M5310"/>
      <c r="N5310"/>
    </row>
    <row r="5311" spans="13:14" ht="14.25" customHeight="1">
      <c r="M5311"/>
      <c r="N5311"/>
    </row>
    <row r="5312" spans="13:14" ht="14.25" customHeight="1">
      <c r="M5312"/>
      <c r="N5312"/>
    </row>
    <row r="5313" spans="13:14" ht="14.25" customHeight="1">
      <c r="M5313"/>
      <c r="N5313"/>
    </row>
    <row r="5314" spans="13:14" ht="14.25" customHeight="1">
      <c r="M5314"/>
      <c r="N5314"/>
    </row>
    <row r="5315" spans="13:14" ht="14.25" customHeight="1">
      <c r="M5315"/>
      <c r="N5315"/>
    </row>
    <row r="5316" spans="13:14" ht="14.25" customHeight="1">
      <c r="M5316"/>
      <c r="N5316"/>
    </row>
    <row r="5317" spans="13:14" ht="14.25" customHeight="1">
      <c r="M5317"/>
      <c r="N5317"/>
    </row>
    <row r="5318" spans="13:14" ht="14.25" customHeight="1">
      <c r="M5318"/>
      <c r="N5318"/>
    </row>
    <row r="5319" spans="13:14" ht="14.25" customHeight="1">
      <c r="M5319"/>
      <c r="N5319"/>
    </row>
    <row r="5320" spans="13:14" ht="14.25" customHeight="1">
      <c r="M5320"/>
      <c r="N5320"/>
    </row>
    <row r="5321" spans="13:14" ht="14.25" customHeight="1">
      <c r="M5321"/>
      <c r="N5321"/>
    </row>
    <row r="5322" spans="13:14" ht="14.25" customHeight="1">
      <c r="M5322"/>
      <c r="N5322"/>
    </row>
    <row r="5323" spans="13:14" ht="14.25" customHeight="1">
      <c r="M5323"/>
      <c r="N5323"/>
    </row>
    <row r="5324" spans="13:14" ht="14.25" customHeight="1">
      <c r="M5324"/>
      <c r="N5324"/>
    </row>
    <row r="5325" spans="13:14" ht="14.25" customHeight="1">
      <c r="M5325"/>
      <c r="N5325"/>
    </row>
    <row r="5326" spans="13:14" ht="14.25" customHeight="1">
      <c r="M5326"/>
      <c r="N5326"/>
    </row>
    <row r="5327" spans="13:14" ht="14.25" customHeight="1">
      <c r="M5327"/>
      <c r="N5327"/>
    </row>
    <row r="5328" spans="13:14" ht="14.25" customHeight="1">
      <c r="M5328"/>
      <c r="N5328"/>
    </row>
    <row r="5329" spans="13:14" ht="14.25" customHeight="1">
      <c r="M5329"/>
      <c r="N5329"/>
    </row>
    <row r="5330" spans="13:14" ht="14.25" customHeight="1">
      <c r="M5330"/>
      <c r="N5330"/>
    </row>
    <row r="5331" spans="13:14" ht="14.25" customHeight="1">
      <c r="M5331"/>
      <c r="N5331"/>
    </row>
    <row r="5332" spans="13:14" ht="14.25" customHeight="1">
      <c r="M5332"/>
      <c r="N5332"/>
    </row>
    <row r="5333" spans="13:14" ht="14.25" customHeight="1">
      <c r="M5333"/>
      <c r="N5333"/>
    </row>
    <row r="5334" spans="13:14" ht="14.25" customHeight="1">
      <c r="M5334"/>
      <c r="N5334"/>
    </row>
    <row r="5335" spans="13:14" ht="14.25" customHeight="1">
      <c r="M5335"/>
      <c r="N5335"/>
    </row>
    <row r="5336" spans="13:14" ht="14.25" customHeight="1">
      <c r="M5336"/>
      <c r="N5336"/>
    </row>
    <row r="5337" spans="13:14" ht="14.25" customHeight="1">
      <c r="M5337"/>
      <c r="N5337"/>
    </row>
    <row r="5338" spans="13:14" ht="14.25" customHeight="1">
      <c r="M5338"/>
      <c r="N5338"/>
    </row>
    <row r="5339" spans="13:14" ht="14.25" customHeight="1">
      <c r="M5339"/>
      <c r="N5339"/>
    </row>
    <row r="5340" spans="13:14" ht="14.25" customHeight="1">
      <c r="M5340"/>
      <c r="N5340"/>
    </row>
    <row r="5341" spans="13:14" ht="14.25" customHeight="1">
      <c r="M5341"/>
      <c r="N5341"/>
    </row>
    <row r="5342" spans="13:14" ht="14.25" customHeight="1">
      <c r="M5342"/>
      <c r="N5342"/>
    </row>
    <row r="5343" spans="13:14" ht="14.25" customHeight="1">
      <c r="M5343"/>
      <c r="N5343"/>
    </row>
    <row r="5344" spans="13:14" ht="14.25" customHeight="1">
      <c r="M5344"/>
      <c r="N5344"/>
    </row>
    <row r="5345" spans="13:14" ht="14.25" customHeight="1">
      <c r="M5345"/>
      <c r="N5345"/>
    </row>
    <row r="5346" spans="13:14" ht="14.25" customHeight="1">
      <c r="M5346"/>
      <c r="N5346"/>
    </row>
    <row r="5347" spans="13:14" ht="14.25" customHeight="1">
      <c r="M5347"/>
      <c r="N5347"/>
    </row>
    <row r="5348" spans="13:14" ht="14.25" customHeight="1">
      <c r="M5348"/>
      <c r="N5348"/>
    </row>
    <row r="5349" spans="13:14" ht="14.25" customHeight="1">
      <c r="M5349"/>
      <c r="N5349"/>
    </row>
    <row r="5350" spans="13:14" ht="14.25" customHeight="1">
      <c r="M5350"/>
      <c r="N5350"/>
    </row>
    <row r="5351" spans="13:14" ht="14.25" customHeight="1">
      <c r="M5351"/>
      <c r="N5351"/>
    </row>
    <row r="5352" spans="13:14" ht="14.25" customHeight="1">
      <c r="M5352"/>
      <c r="N5352"/>
    </row>
    <row r="5353" spans="13:14" ht="14.25" customHeight="1">
      <c r="M5353"/>
      <c r="N5353"/>
    </row>
    <row r="5354" spans="13:14" ht="14.25" customHeight="1">
      <c r="M5354"/>
      <c r="N5354"/>
    </row>
    <row r="5355" spans="13:14" ht="14.25" customHeight="1">
      <c r="M5355"/>
      <c r="N5355"/>
    </row>
    <row r="5356" spans="13:14" ht="14.25" customHeight="1">
      <c r="M5356"/>
      <c r="N5356"/>
    </row>
    <row r="5357" spans="13:14" ht="14.25" customHeight="1">
      <c r="M5357"/>
      <c r="N5357"/>
    </row>
    <row r="5358" spans="13:14" ht="14.25" customHeight="1">
      <c r="M5358"/>
      <c r="N5358"/>
    </row>
    <row r="5359" spans="13:14" ht="14.25" customHeight="1">
      <c r="M5359"/>
      <c r="N5359"/>
    </row>
    <row r="5360" spans="13:14" ht="14.25" customHeight="1">
      <c r="M5360"/>
      <c r="N5360"/>
    </row>
    <row r="5361" spans="13:14" ht="14.25" customHeight="1">
      <c r="M5361"/>
      <c r="N5361"/>
    </row>
    <row r="5362" spans="13:14" ht="14.25" customHeight="1">
      <c r="M5362"/>
      <c r="N5362"/>
    </row>
    <row r="5363" spans="13:14" ht="14.25" customHeight="1">
      <c r="M5363"/>
      <c r="N5363"/>
    </row>
    <row r="5364" spans="13:14" ht="14.25" customHeight="1">
      <c r="M5364"/>
      <c r="N5364"/>
    </row>
    <row r="5365" spans="13:14" ht="14.25" customHeight="1">
      <c r="M5365"/>
      <c r="N5365"/>
    </row>
    <row r="5366" spans="13:14" ht="14.25" customHeight="1">
      <c r="M5366"/>
      <c r="N5366"/>
    </row>
    <row r="5367" spans="13:14" ht="14.25" customHeight="1">
      <c r="M5367"/>
      <c r="N5367"/>
    </row>
    <row r="5368" spans="13:14" ht="14.25" customHeight="1">
      <c r="M5368"/>
      <c r="N5368"/>
    </row>
    <row r="5369" spans="13:14" ht="14.25" customHeight="1">
      <c r="M5369"/>
      <c r="N5369"/>
    </row>
    <row r="5370" spans="13:14" ht="14.25" customHeight="1">
      <c r="M5370"/>
      <c r="N5370"/>
    </row>
    <row r="5371" spans="13:14" ht="14.25" customHeight="1">
      <c r="M5371"/>
      <c r="N5371"/>
    </row>
    <row r="5372" spans="13:14" ht="14.25" customHeight="1">
      <c r="M5372"/>
      <c r="N5372"/>
    </row>
    <row r="5373" spans="13:14" ht="14.25" customHeight="1">
      <c r="M5373"/>
      <c r="N5373"/>
    </row>
    <row r="5374" spans="13:14" ht="14.25" customHeight="1">
      <c r="M5374"/>
      <c r="N5374"/>
    </row>
    <row r="5375" spans="13:14" ht="14.25" customHeight="1">
      <c r="M5375"/>
      <c r="N5375"/>
    </row>
    <row r="5376" spans="13:14" ht="14.25" customHeight="1">
      <c r="M5376"/>
      <c r="N5376"/>
    </row>
    <row r="5377" spans="13:14" ht="14.25" customHeight="1">
      <c r="M5377"/>
      <c r="N5377"/>
    </row>
    <row r="5378" spans="13:14" ht="14.25" customHeight="1">
      <c r="M5378"/>
      <c r="N5378"/>
    </row>
    <row r="5379" spans="13:14" ht="14.25" customHeight="1">
      <c r="M5379"/>
      <c r="N5379"/>
    </row>
    <row r="5380" spans="13:14" ht="14.25" customHeight="1">
      <c r="M5380"/>
      <c r="N5380"/>
    </row>
    <row r="5381" spans="13:14" ht="14.25" customHeight="1">
      <c r="M5381"/>
      <c r="N5381"/>
    </row>
    <row r="5382" spans="13:14" ht="14.25" customHeight="1">
      <c r="M5382"/>
      <c r="N5382"/>
    </row>
    <row r="5383" spans="13:14" ht="14.25" customHeight="1">
      <c r="M5383"/>
      <c r="N5383"/>
    </row>
    <row r="5384" spans="13:14" ht="14.25" customHeight="1">
      <c r="M5384"/>
      <c r="N5384"/>
    </row>
    <row r="5385" spans="13:14" ht="14.25" customHeight="1">
      <c r="M5385"/>
      <c r="N5385"/>
    </row>
    <row r="5386" spans="13:14" ht="14.25" customHeight="1">
      <c r="M5386"/>
      <c r="N5386"/>
    </row>
    <row r="5387" spans="13:14" ht="14.25" customHeight="1">
      <c r="M5387"/>
      <c r="N5387"/>
    </row>
    <row r="5388" spans="13:14" ht="14.25" customHeight="1">
      <c r="M5388"/>
      <c r="N5388"/>
    </row>
    <row r="5389" spans="13:14" ht="14.25" customHeight="1">
      <c r="M5389"/>
      <c r="N5389"/>
    </row>
    <row r="5390" spans="13:14" ht="14.25" customHeight="1">
      <c r="M5390"/>
      <c r="N5390"/>
    </row>
    <row r="5391" spans="13:14" ht="14.25" customHeight="1">
      <c r="M5391"/>
      <c r="N5391"/>
    </row>
    <row r="5392" spans="13:14" ht="14.25" customHeight="1">
      <c r="M5392"/>
      <c r="N5392"/>
    </row>
    <row r="5393" spans="13:14" ht="14.25" customHeight="1">
      <c r="M5393"/>
      <c r="N5393"/>
    </row>
    <row r="5394" spans="13:14" ht="14.25" customHeight="1">
      <c r="M5394"/>
      <c r="N5394"/>
    </row>
    <row r="5395" spans="13:14" ht="14.25" customHeight="1">
      <c r="M5395"/>
      <c r="N5395"/>
    </row>
    <row r="5396" spans="13:14" ht="14.25" customHeight="1">
      <c r="M5396"/>
      <c r="N5396"/>
    </row>
    <row r="5397" spans="13:14" ht="14.25" customHeight="1">
      <c r="M5397"/>
      <c r="N5397"/>
    </row>
    <row r="5398" spans="13:14" ht="14.25" customHeight="1">
      <c r="M5398"/>
      <c r="N5398"/>
    </row>
    <row r="5399" spans="13:14" ht="14.25" customHeight="1">
      <c r="M5399"/>
      <c r="N5399"/>
    </row>
    <row r="5400" spans="13:14" ht="14.25" customHeight="1">
      <c r="M5400"/>
      <c r="N5400"/>
    </row>
    <row r="5401" spans="13:14" ht="14.25" customHeight="1">
      <c r="M5401"/>
      <c r="N5401"/>
    </row>
    <row r="5402" spans="13:14" ht="14.25" customHeight="1">
      <c r="M5402"/>
      <c r="N5402"/>
    </row>
    <row r="5403" spans="13:14" ht="14.25" customHeight="1">
      <c r="M5403"/>
      <c r="N5403"/>
    </row>
    <row r="5404" spans="13:14" ht="14.25" customHeight="1">
      <c r="M5404"/>
      <c r="N5404"/>
    </row>
    <row r="5405" spans="13:14" ht="14.25" customHeight="1">
      <c r="M5405"/>
      <c r="N5405"/>
    </row>
    <row r="5406" spans="13:14" ht="14.25" customHeight="1">
      <c r="M5406"/>
      <c r="N5406"/>
    </row>
    <row r="5407" spans="13:14" ht="14.25" customHeight="1">
      <c r="M5407"/>
      <c r="N5407"/>
    </row>
    <row r="5408" spans="13:14" ht="14.25" customHeight="1">
      <c r="M5408"/>
      <c r="N5408"/>
    </row>
    <row r="5409" spans="13:14" ht="14.25" customHeight="1">
      <c r="M5409"/>
      <c r="N5409"/>
    </row>
    <row r="5410" spans="13:14" ht="14.25" customHeight="1">
      <c r="M5410"/>
      <c r="N5410"/>
    </row>
    <row r="5411" spans="13:14" ht="14.25" customHeight="1">
      <c r="M5411"/>
      <c r="N5411"/>
    </row>
    <row r="5412" spans="13:14" ht="14.25" customHeight="1">
      <c r="M5412"/>
      <c r="N5412"/>
    </row>
    <row r="5413" spans="13:14" ht="14.25" customHeight="1">
      <c r="M5413"/>
      <c r="N5413"/>
    </row>
    <row r="5414" spans="13:14" ht="14.25" customHeight="1">
      <c r="M5414"/>
      <c r="N5414"/>
    </row>
    <row r="5415" spans="13:14" ht="14.25" customHeight="1">
      <c r="M5415"/>
      <c r="N5415"/>
    </row>
    <row r="5416" spans="13:14" ht="14.25" customHeight="1">
      <c r="M5416"/>
      <c r="N5416"/>
    </row>
    <row r="5417" spans="13:14" ht="14.25" customHeight="1">
      <c r="M5417"/>
      <c r="N5417"/>
    </row>
    <row r="5418" spans="13:14" ht="14.25" customHeight="1">
      <c r="M5418"/>
      <c r="N5418"/>
    </row>
    <row r="5419" spans="13:14" ht="14.25" customHeight="1">
      <c r="M5419"/>
      <c r="N5419"/>
    </row>
    <row r="5420" spans="13:14" ht="14.25" customHeight="1">
      <c r="M5420"/>
      <c r="N5420"/>
    </row>
    <row r="5421" spans="13:14" ht="14.25" customHeight="1">
      <c r="M5421"/>
      <c r="N5421"/>
    </row>
    <row r="5422" spans="13:14" ht="14.25" customHeight="1">
      <c r="M5422"/>
      <c r="N5422"/>
    </row>
    <row r="5423" spans="13:14" ht="14.25" customHeight="1">
      <c r="M5423"/>
      <c r="N5423"/>
    </row>
    <row r="5424" spans="13:14" ht="14.25" customHeight="1">
      <c r="M5424"/>
      <c r="N5424"/>
    </row>
    <row r="5425" spans="13:14" ht="14.25" customHeight="1">
      <c r="M5425"/>
      <c r="N5425"/>
    </row>
    <row r="5426" spans="13:14" ht="14.25" customHeight="1">
      <c r="M5426"/>
      <c r="N5426"/>
    </row>
    <row r="5427" spans="13:14" ht="14.25" customHeight="1">
      <c r="M5427"/>
      <c r="N5427"/>
    </row>
    <row r="5428" spans="13:14" ht="14.25" customHeight="1">
      <c r="M5428"/>
      <c r="N5428"/>
    </row>
    <row r="5429" spans="13:14" ht="14.25" customHeight="1">
      <c r="M5429"/>
      <c r="N5429"/>
    </row>
    <row r="5430" spans="13:14" ht="14.25" customHeight="1">
      <c r="M5430"/>
      <c r="N5430"/>
    </row>
    <row r="5431" spans="13:14" ht="14.25" customHeight="1">
      <c r="M5431"/>
      <c r="N5431"/>
    </row>
    <row r="5432" spans="13:14" ht="14.25" customHeight="1">
      <c r="M5432"/>
      <c r="N5432"/>
    </row>
    <row r="5433" spans="13:14" ht="14.25" customHeight="1">
      <c r="M5433"/>
      <c r="N5433"/>
    </row>
    <row r="5434" spans="13:14" ht="14.25" customHeight="1">
      <c r="M5434"/>
      <c r="N5434"/>
    </row>
    <row r="5435" spans="13:14" ht="14.25" customHeight="1">
      <c r="M5435"/>
      <c r="N5435"/>
    </row>
    <row r="5436" spans="13:14" ht="14.25" customHeight="1">
      <c r="M5436"/>
      <c r="N5436"/>
    </row>
    <row r="5437" spans="13:14" ht="14.25" customHeight="1">
      <c r="M5437"/>
      <c r="N5437"/>
    </row>
    <row r="5438" spans="13:14" ht="14.25" customHeight="1">
      <c r="M5438"/>
      <c r="N5438"/>
    </row>
    <row r="5439" spans="13:14" ht="14.25" customHeight="1">
      <c r="M5439"/>
      <c r="N5439"/>
    </row>
    <row r="5440" spans="13:14" ht="14.25" customHeight="1">
      <c r="M5440"/>
      <c r="N5440"/>
    </row>
    <row r="5441" spans="13:14" ht="14.25" customHeight="1">
      <c r="M5441"/>
      <c r="N5441"/>
    </row>
    <row r="5442" spans="13:14" ht="14.25" customHeight="1">
      <c r="M5442"/>
      <c r="N5442"/>
    </row>
    <row r="5443" spans="13:14" ht="14.25" customHeight="1">
      <c r="M5443"/>
      <c r="N5443"/>
    </row>
    <row r="5444" spans="13:14" ht="14.25" customHeight="1">
      <c r="M5444"/>
      <c r="N5444"/>
    </row>
    <row r="5445" spans="13:14" ht="14.25" customHeight="1">
      <c r="M5445"/>
      <c r="N5445"/>
    </row>
    <row r="5446" spans="13:14" ht="14.25" customHeight="1">
      <c r="M5446"/>
      <c r="N5446"/>
    </row>
    <row r="5447" spans="13:14" ht="14.25" customHeight="1">
      <c r="M5447"/>
      <c r="N5447"/>
    </row>
    <row r="5448" spans="13:14" ht="14.25" customHeight="1">
      <c r="M5448"/>
      <c r="N5448"/>
    </row>
    <row r="5449" spans="13:14" ht="14.25" customHeight="1">
      <c r="M5449"/>
      <c r="N5449"/>
    </row>
    <row r="5450" spans="13:14" ht="14.25" customHeight="1">
      <c r="M5450"/>
      <c r="N5450"/>
    </row>
    <row r="5451" spans="13:14" ht="14.25" customHeight="1">
      <c r="M5451"/>
      <c r="N5451"/>
    </row>
    <row r="5452" spans="13:14" ht="14.25" customHeight="1">
      <c r="M5452"/>
      <c r="N5452"/>
    </row>
    <row r="5453" spans="13:14" ht="14.25" customHeight="1">
      <c r="M5453"/>
      <c r="N5453"/>
    </row>
    <row r="5454" spans="13:14" ht="14.25" customHeight="1">
      <c r="M5454"/>
      <c r="N5454"/>
    </row>
    <row r="5455" spans="13:14" ht="14.25" customHeight="1">
      <c r="M5455"/>
      <c r="N5455"/>
    </row>
    <row r="5456" spans="13:14" ht="14.25" customHeight="1">
      <c r="M5456"/>
      <c r="N5456"/>
    </row>
    <row r="5457" spans="13:14" ht="14.25" customHeight="1">
      <c r="M5457"/>
      <c r="N5457"/>
    </row>
    <row r="5458" spans="13:14" ht="14.25" customHeight="1">
      <c r="M5458"/>
      <c r="N5458"/>
    </row>
    <row r="5459" spans="13:14" ht="14.25" customHeight="1">
      <c r="M5459"/>
      <c r="N5459"/>
    </row>
    <row r="5460" spans="13:14" ht="14.25" customHeight="1">
      <c r="M5460"/>
      <c r="N5460"/>
    </row>
    <row r="5461" spans="13:14" ht="14.25" customHeight="1">
      <c r="M5461"/>
      <c r="N5461"/>
    </row>
    <row r="5462" spans="13:14" ht="14.25" customHeight="1">
      <c r="M5462"/>
      <c r="N5462"/>
    </row>
    <row r="5463" spans="13:14" ht="14.25" customHeight="1">
      <c r="M5463"/>
      <c r="N5463"/>
    </row>
    <row r="5464" spans="13:14" ht="14.25" customHeight="1">
      <c r="M5464"/>
      <c r="N5464"/>
    </row>
    <row r="5465" spans="13:14" ht="14.25" customHeight="1">
      <c r="M5465"/>
      <c r="N5465"/>
    </row>
    <row r="5466" spans="13:14" ht="14.25" customHeight="1">
      <c r="M5466"/>
      <c r="N5466"/>
    </row>
    <row r="5467" spans="13:14" ht="14.25" customHeight="1">
      <c r="M5467"/>
      <c r="N5467"/>
    </row>
    <row r="5468" spans="13:14" ht="14.25" customHeight="1">
      <c r="M5468"/>
      <c r="N5468"/>
    </row>
    <row r="5469" spans="13:14" ht="14.25" customHeight="1">
      <c r="M5469"/>
      <c r="N5469"/>
    </row>
    <row r="5470" spans="13:14" ht="14.25" customHeight="1">
      <c r="M5470"/>
      <c r="N5470"/>
    </row>
    <row r="5471" spans="13:14" ht="14.25" customHeight="1">
      <c r="M5471"/>
      <c r="N5471"/>
    </row>
    <row r="5472" spans="13:14" ht="14.25" customHeight="1">
      <c r="M5472"/>
      <c r="N5472"/>
    </row>
    <row r="5473" spans="13:14" ht="14.25" customHeight="1">
      <c r="M5473"/>
      <c r="N5473"/>
    </row>
    <row r="5474" spans="13:14" ht="14.25" customHeight="1">
      <c r="M5474"/>
      <c r="N5474"/>
    </row>
    <row r="5475" spans="13:14" ht="14.25" customHeight="1">
      <c r="M5475"/>
      <c r="N5475"/>
    </row>
    <row r="5476" spans="13:14" ht="14.25" customHeight="1">
      <c r="M5476"/>
      <c r="N5476"/>
    </row>
    <row r="5477" spans="13:14" ht="14.25" customHeight="1">
      <c r="M5477"/>
      <c r="N5477"/>
    </row>
    <row r="5478" spans="13:14" ht="14.25" customHeight="1">
      <c r="M5478"/>
      <c r="N5478"/>
    </row>
    <row r="5479" spans="13:14" ht="14.25" customHeight="1">
      <c r="M5479"/>
      <c r="N5479"/>
    </row>
    <row r="5480" spans="13:14" ht="14.25" customHeight="1">
      <c r="M5480"/>
      <c r="N5480"/>
    </row>
    <row r="5481" spans="13:14" ht="14.25" customHeight="1">
      <c r="M5481"/>
      <c r="N5481"/>
    </row>
    <row r="5482" spans="13:14" ht="14.25" customHeight="1">
      <c r="M5482"/>
      <c r="N5482"/>
    </row>
    <row r="5483" spans="13:14" ht="14.25" customHeight="1">
      <c r="M5483"/>
      <c r="N5483"/>
    </row>
    <row r="5484" spans="13:14" ht="14.25" customHeight="1">
      <c r="M5484"/>
      <c r="N5484"/>
    </row>
    <row r="5485" spans="13:14" ht="14.25" customHeight="1">
      <c r="M5485"/>
      <c r="N5485"/>
    </row>
    <row r="5486" spans="13:14" ht="14.25" customHeight="1">
      <c r="M5486"/>
      <c r="N5486"/>
    </row>
    <row r="5487" spans="13:14" ht="14.25" customHeight="1">
      <c r="M5487"/>
      <c r="N5487"/>
    </row>
    <row r="5488" spans="13:14" ht="14.25" customHeight="1">
      <c r="M5488"/>
      <c r="N5488"/>
    </row>
    <row r="5489" spans="13:14" ht="14.25" customHeight="1">
      <c r="M5489"/>
      <c r="N5489"/>
    </row>
    <row r="5490" spans="13:14" ht="14.25" customHeight="1">
      <c r="M5490"/>
      <c r="N5490"/>
    </row>
    <row r="5491" spans="13:14" ht="14.25" customHeight="1">
      <c r="M5491"/>
      <c r="N5491"/>
    </row>
    <row r="5492" spans="13:14" ht="14.25" customHeight="1">
      <c r="M5492"/>
      <c r="N5492"/>
    </row>
    <row r="5493" spans="13:14" ht="14.25" customHeight="1">
      <c r="M5493"/>
      <c r="N5493"/>
    </row>
    <row r="5494" spans="13:14" ht="14.25" customHeight="1">
      <c r="M5494"/>
      <c r="N5494"/>
    </row>
    <row r="5495" spans="13:14" ht="14.25" customHeight="1">
      <c r="M5495"/>
      <c r="N5495"/>
    </row>
    <row r="5496" spans="13:14" ht="14.25" customHeight="1">
      <c r="M5496"/>
      <c r="N5496"/>
    </row>
    <row r="5497" spans="13:14" ht="14.25" customHeight="1">
      <c r="M5497"/>
      <c r="N5497"/>
    </row>
    <row r="5498" spans="13:14" ht="14.25" customHeight="1">
      <c r="M5498"/>
      <c r="N5498"/>
    </row>
    <row r="5499" spans="13:14" ht="14.25" customHeight="1">
      <c r="M5499"/>
      <c r="N5499"/>
    </row>
    <row r="5500" spans="13:14" ht="14.25" customHeight="1">
      <c r="M5500"/>
      <c r="N5500"/>
    </row>
    <row r="5501" spans="13:14" ht="14.25" customHeight="1">
      <c r="M5501"/>
      <c r="N5501"/>
    </row>
    <row r="5502" spans="13:14" ht="14.25" customHeight="1">
      <c r="M5502"/>
      <c r="N5502"/>
    </row>
    <row r="5503" spans="13:14" ht="14.25" customHeight="1">
      <c r="M5503"/>
      <c r="N5503"/>
    </row>
    <row r="5504" spans="13:14" ht="14.25" customHeight="1">
      <c r="M5504"/>
      <c r="N5504"/>
    </row>
    <row r="5505" spans="13:14" ht="14.25" customHeight="1">
      <c r="M5505"/>
      <c r="N5505"/>
    </row>
    <row r="5506" spans="13:14" ht="14.25" customHeight="1">
      <c r="M5506"/>
      <c r="N5506"/>
    </row>
    <row r="5507" spans="13:14" ht="14.25" customHeight="1">
      <c r="M5507"/>
      <c r="N5507"/>
    </row>
    <row r="5508" spans="13:14" ht="14.25" customHeight="1">
      <c r="M5508"/>
      <c r="N5508"/>
    </row>
    <row r="5509" spans="13:14" ht="14.25" customHeight="1">
      <c r="M5509"/>
      <c r="N5509"/>
    </row>
    <row r="5510" spans="13:14" ht="14.25" customHeight="1">
      <c r="M5510"/>
      <c r="N5510"/>
    </row>
    <row r="5511" spans="13:14" ht="14.25" customHeight="1">
      <c r="M5511"/>
      <c r="N5511"/>
    </row>
    <row r="5512" spans="13:14" ht="14.25" customHeight="1">
      <c r="M5512"/>
      <c r="N5512"/>
    </row>
    <row r="5513" spans="13:14" ht="14.25" customHeight="1">
      <c r="M5513"/>
      <c r="N5513"/>
    </row>
    <row r="5514" spans="13:14" ht="14.25" customHeight="1">
      <c r="M5514"/>
      <c r="N5514"/>
    </row>
    <row r="5515" spans="13:14" ht="14.25" customHeight="1">
      <c r="M5515"/>
      <c r="N5515"/>
    </row>
    <row r="5516" spans="13:14" ht="14.25" customHeight="1">
      <c r="M5516"/>
      <c r="N5516"/>
    </row>
    <row r="5517" spans="13:14" ht="14.25" customHeight="1">
      <c r="M5517"/>
      <c r="N5517"/>
    </row>
    <row r="5518" spans="13:14" ht="14.25" customHeight="1">
      <c r="M5518"/>
      <c r="N5518"/>
    </row>
    <row r="5519" spans="13:14" ht="14.25" customHeight="1">
      <c r="M5519"/>
      <c r="N5519"/>
    </row>
    <row r="5520" spans="13:14" ht="14.25" customHeight="1">
      <c r="M5520"/>
      <c r="N5520"/>
    </row>
    <row r="5521" spans="13:14" ht="14.25" customHeight="1">
      <c r="M5521"/>
      <c r="N5521"/>
    </row>
    <row r="5522" spans="13:14" ht="14.25" customHeight="1">
      <c r="M5522"/>
      <c r="N5522"/>
    </row>
    <row r="5523" spans="13:14" ht="14.25" customHeight="1">
      <c r="M5523"/>
      <c r="N5523"/>
    </row>
    <row r="5524" spans="13:14" ht="14.25" customHeight="1">
      <c r="M5524"/>
      <c r="N5524"/>
    </row>
    <row r="5525" spans="13:14" ht="14.25" customHeight="1">
      <c r="M5525"/>
      <c r="N5525"/>
    </row>
    <row r="5526" spans="13:14" ht="14.25" customHeight="1">
      <c r="M5526"/>
      <c r="N5526"/>
    </row>
    <row r="5527" spans="13:14" ht="14.25" customHeight="1">
      <c r="M5527"/>
      <c r="N5527"/>
    </row>
    <row r="5528" spans="13:14" ht="14.25" customHeight="1">
      <c r="M5528"/>
      <c r="N5528"/>
    </row>
    <row r="5529" spans="13:14" ht="14.25" customHeight="1">
      <c r="M5529"/>
      <c r="N5529"/>
    </row>
    <row r="5530" spans="13:14" ht="14.25" customHeight="1">
      <c r="M5530"/>
      <c r="N5530"/>
    </row>
    <row r="5531" spans="13:14" ht="14.25" customHeight="1">
      <c r="M5531"/>
      <c r="N5531"/>
    </row>
    <row r="5532" spans="13:14" ht="14.25" customHeight="1">
      <c r="M5532"/>
      <c r="N5532"/>
    </row>
    <row r="5533" spans="13:14" ht="14.25" customHeight="1">
      <c r="M5533"/>
      <c r="N5533"/>
    </row>
    <row r="5534" spans="13:14" ht="14.25" customHeight="1">
      <c r="M5534"/>
      <c r="N5534"/>
    </row>
    <row r="5535" spans="13:14" ht="14.25" customHeight="1">
      <c r="M5535"/>
      <c r="N5535"/>
    </row>
    <row r="5536" spans="13:14" ht="14.25" customHeight="1">
      <c r="M5536"/>
      <c r="N5536"/>
    </row>
    <row r="5537" spans="13:14" ht="14.25" customHeight="1">
      <c r="M5537"/>
      <c r="N5537"/>
    </row>
    <row r="5538" spans="13:14" ht="14.25" customHeight="1">
      <c r="M5538"/>
      <c r="N5538"/>
    </row>
    <row r="5539" spans="13:14" ht="14.25" customHeight="1">
      <c r="M5539"/>
      <c r="N5539"/>
    </row>
    <row r="5540" spans="13:14" ht="14.25" customHeight="1">
      <c r="M5540"/>
      <c r="N5540"/>
    </row>
    <row r="5541" spans="13:14" ht="14.25" customHeight="1">
      <c r="M5541"/>
      <c r="N5541"/>
    </row>
    <row r="5542" spans="13:14" ht="14.25" customHeight="1">
      <c r="M5542"/>
      <c r="N5542"/>
    </row>
    <row r="5543" spans="13:14" ht="14.25" customHeight="1">
      <c r="M5543"/>
      <c r="N5543"/>
    </row>
    <row r="5544" spans="13:14" ht="14.25" customHeight="1">
      <c r="M5544"/>
      <c r="N5544"/>
    </row>
    <row r="5545" spans="13:14" ht="14.25" customHeight="1">
      <c r="M5545"/>
      <c r="N5545"/>
    </row>
    <row r="5546" spans="13:14" ht="14.25" customHeight="1">
      <c r="M5546"/>
      <c r="N5546"/>
    </row>
    <row r="5547" spans="13:14" ht="14.25" customHeight="1">
      <c r="M5547"/>
      <c r="N5547"/>
    </row>
    <row r="5548" spans="13:14" ht="14.25" customHeight="1">
      <c r="M5548"/>
      <c r="N5548"/>
    </row>
    <row r="5549" spans="13:14" ht="14.25" customHeight="1">
      <c r="M5549"/>
      <c r="N5549"/>
    </row>
    <row r="5550" spans="13:14" ht="14.25" customHeight="1">
      <c r="M5550"/>
      <c r="N5550"/>
    </row>
    <row r="5551" spans="13:14" ht="14.25" customHeight="1">
      <c r="M5551"/>
      <c r="N5551"/>
    </row>
    <row r="5552" spans="13:14" ht="14.25" customHeight="1">
      <c r="M5552"/>
      <c r="N5552"/>
    </row>
    <row r="5553" spans="13:14" ht="14.25" customHeight="1">
      <c r="M5553"/>
      <c r="N5553"/>
    </row>
    <row r="5554" spans="13:14" ht="14.25" customHeight="1">
      <c r="M5554"/>
      <c r="N5554"/>
    </row>
    <row r="5555" spans="13:14" ht="14.25" customHeight="1">
      <c r="M5555"/>
      <c r="N5555"/>
    </row>
    <row r="5556" spans="13:14" ht="14.25" customHeight="1">
      <c r="M5556"/>
      <c r="N5556"/>
    </row>
    <row r="5557" spans="13:14" ht="14.25" customHeight="1">
      <c r="M5557"/>
      <c r="N5557"/>
    </row>
    <row r="5558" spans="13:14" ht="14.25" customHeight="1">
      <c r="M5558"/>
      <c r="N5558"/>
    </row>
    <row r="5559" spans="13:14" ht="14.25" customHeight="1">
      <c r="M5559"/>
      <c r="N5559"/>
    </row>
    <row r="5560" spans="13:14" ht="14.25" customHeight="1">
      <c r="M5560"/>
      <c r="N5560"/>
    </row>
    <row r="5561" spans="13:14" ht="14.25" customHeight="1">
      <c r="M5561"/>
      <c r="N5561"/>
    </row>
    <row r="5562" spans="13:14" ht="14.25" customHeight="1">
      <c r="M5562"/>
      <c r="N5562"/>
    </row>
    <row r="5563" spans="13:14" ht="14.25" customHeight="1">
      <c r="M5563"/>
      <c r="N5563"/>
    </row>
    <row r="5564" spans="13:14" ht="14.25" customHeight="1">
      <c r="M5564"/>
      <c r="N5564"/>
    </row>
    <row r="5565" spans="13:14" ht="14.25" customHeight="1">
      <c r="M5565"/>
      <c r="N5565"/>
    </row>
    <row r="5566" spans="13:14" ht="14.25" customHeight="1">
      <c r="M5566"/>
      <c r="N5566"/>
    </row>
    <row r="5567" spans="13:14" ht="14.25" customHeight="1">
      <c r="M5567"/>
      <c r="N5567"/>
    </row>
    <row r="5568" spans="13:14" ht="14.25" customHeight="1">
      <c r="M5568"/>
      <c r="N5568"/>
    </row>
    <row r="5569" spans="13:14" ht="14.25" customHeight="1">
      <c r="M5569"/>
      <c r="N5569"/>
    </row>
    <row r="5570" spans="13:14" ht="14.25" customHeight="1">
      <c r="M5570"/>
      <c r="N5570"/>
    </row>
    <row r="5571" spans="13:14" ht="14.25" customHeight="1">
      <c r="M5571"/>
      <c r="N5571"/>
    </row>
    <row r="5572" spans="13:14" ht="14.25" customHeight="1">
      <c r="M5572"/>
      <c r="N5572"/>
    </row>
    <row r="5573" spans="13:14" ht="14.25" customHeight="1">
      <c r="M5573"/>
      <c r="N5573"/>
    </row>
    <row r="5574" spans="13:14" ht="14.25" customHeight="1">
      <c r="M5574"/>
      <c r="N5574"/>
    </row>
    <row r="5575" spans="13:14" ht="14.25" customHeight="1">
      <c r="M5575"/>
      <c r="N5575"/>
    </row>
    <row r="5576" spans="13:14" ht="14.25" customHeight="1">
      <c r="M5576"/>
      <c r="N5576"/>
    </row>
    <row r="5577" spans="13:14" ht="14.25" customHeight="1">
      <c r="M5577"/>
      <c r="N5577"/>
    </row>
    <row r="5578" spans="13:14" ht="14.25" customHeight="1">
      <c r="M5578"/>
      <c r="N5578"/>
    </row>
    <row r="5579" spans="13:14" ht="14.25" customHeight="1">
      <c r="M5579"/>
      <c r="N5579"/>
    </row>
    <row r="5580" spans="13:14" ht="14.25" customHeight="1">
      <c r="M5580"/>
      <c r="N5580"/>
    </row>
    <row r="5581" spans="13:14" ht="14.25" customHeight="1">
      <c r="M5581"/>
      <c r="N5581"/>
    </row>
    <row r="5582" spans="13:14" ht="14.25" customHeight="1">
      <c r="M5582"/>
      <c r="N5582"/>
    </row>
    <row r="5583" spans="13:14" ht="14.25" customHeight="1">
      <c r="M5583"/>
      <c r="N5583"/>
    </row>
    <row r="5584" spans="13:14" ht="14.25" customHeight="1">
      <c r="M5584"/>
      <c r="N5584"/>
    </row>
    <row r="5585" spans="13:14" ht="14.25" customHeight="1">
      <c r="M5585"/>
      <c r="N5585"/>
    </row>
    <row r="5586" spans="13:14" ht="14.25" customHeight="1">
      <c r="M5586"/>
      <c r="N5586"/>
    </row>
    <row r="5587" spans="13:14" ht="14.25" customHeight="1">
      <c r="M5587"/>
      <c r="N5587"/>
    </row>
    <row r="5588" spans="13:14" ht="14.25" customHeight="1">
      <c r="M5588"/>
      <c r="N5588"/>
    </row>
    <row r="5589" spans="13:14" ht="14.25" customHeight="1">
      <c r="M5589"/>
      <c r="N5589"/>
    </row>
    <row r="5590" spans="13:14" ht="14.25" customHeight="1">
      <c r="M5590"/>
      <c r="N5590"/>
    </row>
    <row r="5591" spans="13:14" ht="14.25" customHeight="1">
      <c r="M5591"/>
      <c r="N5591"/>
    </row>
    <row r="5592" spans="13:14" ht="14.25" customHeight="1">
      <c r="M5592"/>
      <c r="N5592"/>
    </row>
    <row r="5593" spans="13:14" ht="14.25" customHeight="1">
      <c r="M5593"/>
      <c r="N5593"/>
    </row>
    <row r="5594" spans="13:14" ht="14.25" customHeight="1">
      <c r="M5594"/>
      <c r="N5594"/>
    </row>
    <row r="5595" spans="13:14" ht="14.25" customHeight="1">
      <c r="M5595"/>
      <c r="N5595"/>
    </row>
    <row r="5596" spans="13:14" ht="14.25" customHeight="1">
      <c r="M5596"/>
      <c r="N5596"/>
    </row>
    <row r="5597" spans="13:14" ht="14.25" customHeight="1">
      <c r="M5597"/>
      <c r="N5597"/>
    </row>
    <row r="5598" spans="13:14" ht="14.25" customHeight="1">
      <c r="M5598"/>
      <c r="N5598"/>
    </row>
    <row r="5599" spans="13:14" ht="14.25" customHeight="1">
      <c r="M5599"/>
      <c r="N5599"/>
    </row>
    <row r="5600" spans="13:14" ht="14.25" customHeight="1">
      <c r="M5600"/>
      <c r="N5600"/>
    </row>
    <row r="5601" spans="13:14" ht="14.25" customHeight="1">
      <c r="M5601"/>
      <c r="N5601"/>
    </row>
    <row r="5602" spans="13:14" ht="14.25" customHeight="1">
      <c r="M5602"/>
      <c r="N5602"/>
    </row>
    <row r="5603" spans="13:14" ht="14.25" customHeight="1">
      <c r="M5603"/>
      <c r="N5603"/>
    </row>
    <row r="5604" spans="13:14" ht="14.25" customHeight="1">
      <c r="M5604"/>
      <c r="N5604"/>
    </row>
    <row r="5605" spans="13:14" ht="14.25" customHeight="1">
      <c r="M5605"/>
      <c r="N5605"/>
    </row>
    <row r="5606" spans="13:14" ht="14.25" customHeight="1">
      <c r="M5606"/>
      <c r="N5606"/>
    </row>
    <row r="5607" spans="13:14" ht="14.25" customHeight="1">
      <c r="M5607"/>
      <c r="N5607"/>
    </row>
    <row r="5608" spans="13:14" ht="14.25" customHeight="1">
      <c r="M5608"/>
      <c r="N5608"/>
    </row>
    <row r="5609" spans="13:14" ht="14.25" customHeight="1">
      <c r="M5609"/>
      <c r="N5609"/>
    </row>
    <row r="5610" spans="13:14" ht="14.25" customHeight="1">
      <c r="M5610"/>
      <c r="N5610"/>
    </row>
    <row r="5611" spans="13:14" ht="14.25" customHeight="1">
      <c r="M5611"/>
      <c r="N5611"/>
    </row>
    <row r="5612" spans="13:14" ht="14.25" customHeight="1">
      <c r="M5612"/>
      <c r="N5612"/>
    </row>
    <row r="5613" spans="13:14" ht="14.25" customHeight="1">
      <c r="M5613"/>
      <c r="N5613"/>
    </row>
    <row r="5614" spans="13:14" ht="14.25" customHeight="1">
      <c r="M5614"/>
      <c r="N5614"/>
    </row>
    <row r="5615" spans="13:14" ht="14.25" customHeight="1">
      <c r="M5615"/>
      <c r="N5615"/>
    </row>
    <row r="5616" spans="13:14" ht="14.25" customHeight="1">
      <c r="M5616"/>
      <c r="N5616"/>
    </row>
    <row r="5617" spans="13:14" ht="14.25" customHeight="1">
      <c r="M5617"/>
      <c r="N5617"/>
    </row>
    <row r="5618" spans="13:14" ht="14.25" customHeight="1">
      <c r="M5618"/>
      <c r="N5618"/>
    </row>
    <row r="5619" spans="13:14" ht="14.25" customHeight="1">
      <c r="M5619"/>
      <c r="N5619"/>
    </row>
    <row r="5620" spans="13:14" ht="14.25" customHeight="1">
      <c r="M5620"/>
      <c r="N5620"/>
    </row>
    <row r="5621" spans="13:14" ht="14.25" customHeight="1">
      <c r="M5621"/>
      <c r="N5621"/>
    </row>
    <row r="5622" spans="13:14" ht="14.25" customHeight="1">
      <c r="M5622"/>
      <c r="N5622"/>
    </row>
    <row r="5623" spans="13:14" ht="14.25" customHeight="1">
      <c r="M5623"/>
      <c r="N5623"/>
    </row>
    <row r="5624" spans="13:14" ht="14.25" customHeight="1">
      <c r="M5624"/>
      <c r="N5624"/>
    </row>
    <row r="5625" spans="13:14" ht="14.25" customHeight="1">
      <c r="M5625"/>
      <c r="N5625"/>
    </row>
    <row r="5626" spans="13:14" ht="14.25" customHeight="1">
      <c r="M5626"/>
      <c r="N5626"/>
    </row>
    <row r="5627" spans="13:14" ht="14.25" customHeight="1">
      <c r="M5627"/>
      <c r="N5627"/>
    </row>
    <row r="5628" spans="13:14" ht="14.25" customHeight="1">
      <c r="M5628"/>
      <c r="N5628"/>
    </row>
    <row r="5629" spans="13:14" ht="14.25" customHeight="1">
      <c r="M5629"/>
      <c r="N5629"/>
    </row>
    <row r="5630" spans="13:14" ht="14.25" customHeight="1">
      <c r="M5630"/>
      <c r="N5630"/>
    </row>
    <row r="5631" spans="13:14" ht="14.25" customHeight="1">
      <c r="M5631"/>
      <c r="N5631"/>
    </row>
    <row r="5632" spans="13:14" ht="14.25" customHeight="1">
      <c r="M5632"/>
      <c r="N5632"/>
    </row>
    <row r="5633" spans="13:14" ht="14.25" customHeight="1">
      <c r="M5633"/>
      <c r="N5633"/>
    </row>
    <row r="5634" spans="13:14" ht="14.25" customHeight="1">
      <c r="M5634"/>
      <c r="N5634"/>
    </row>
    <row r="5635" spans="13:14" ht="14.25" customHeight="1">
      <c r="M5635"/>
      <c r="N5635"/>
    </row>
    <row r="5636" spans="13:14" ht="14.25" customHeight="1">
      <c r="M5636"/>
      <c r="N5636"/>
    </row>
    <row r="5637" spans="13:14" ht="14.25" customHeight="1">
      <c r="M5637"/>
      <c r="N5637"/>
    </row>
    <row r="5638" spans="13:14" ht="14.25" customHeight="1">
      <c r="M5638"/>
      <c r="N5638"/>
    </row>
    <row r="5639" spans="13:14" ht="14.25" customHeight="1">
      <c r="M5639"/>
      <c r="N5639"/>
    </row>
    <row r="5640" spans="13:14" ht="14.25" customHeight="1">
      <c r="M5640"/>
      <c r="N5640"/>
    </row>
    <row r="5641" spans="13:14" ht="14.25" customHeight="1">
      <c r="M5641"/>
      <c r="N5641"/>
    </row>
    <row r="5642" spans="13:14" ht="14.25" customHeight="1">
      <c r="M5642"/>
      <c r="N5642"/>
    </row>
    <row r="5643" spans="13:14" ht="14.25" customHeight="1">
      <c r="M5643"/>
      <c r="N5643"/>
    </row>
    <row r="5644" spans="13:14" ht="14.25" customHeight="1">
      <c r="M5644"/>
      <c r="N5644"/>
    </row>
    <row r="5645" spans="13:14" ht="14.25" customHeight="1">
      <c r="M5645"/>
      <c r="N5645"/>
    </row>
    <row r="5646" spans="13:14" ht="14.25" customHeight="1">
      <c r="M5646"/>
      <c r="N5646"/>
    </row>
    <row r="5647" spans="13:14" ht="14.25" customHeight="1">
      <c r="M5647"/>
      <c r="N5647"/>
    </row>
    <row r="5648" spans="13:14" ht="14.25" customHeight="1">
      <c r="M5648"/>
      <c r="N5648"/>
    </row>
    <row r="5649" spans="13:14" ht="14.25" customHeight="1">
      <c r="M5649"/>
      <c r="N5649"/>
    </row>
    <row r="5650" spans="13:14" ht="14.25" customHeight="1">
      <c r="M5650"/>
      <c r="N5650"/>
    </row>
    <row r="5651" spans="13:14" ht="14.25" customHeight="1">
      <c r="M5651"/>
      <c r="N5651"/>
    </row>
    <row r="5652" spans="13:14" ht="14.25" customHeight="1">
      <c r="M5652"/>
      <c r="N5652"/>
    </row>
    <row r="5653" spans="13:14" ht="14.25" customHeight="1">
      <c r="M5653"/>
      <c r="N5653"/>
    </row>
    <row r="5654" spans="13:14" ht="14.25" customHeight="1">
      <c r="M5654"/>
      <c r="N5654"/>
    </row>
    <row r="5655" spans="13:14" ht="14.25" customHeight="1">
      <c r="M5655"/>
      <c r="N5655"/>
    </row>
    <row r="5656" spans="13:14" ht="14.25" customHeight="1">
      <c r="M5656"/>
      <c r="N5656"/>
    </row>
    <row r="5657" spans="13:14" ht="14.25" customHeight="1">
      <c r="M5657"/>
      <c r="N5657"/>
    </row>
    <row r="5658" spans="13:14" ht="14.25" customHeight="1">
      <c r="M5658"/>
      <c r="N5658"/>
    </row>
    <row r="5659" spans="13:14" ht="14.25" customHeight="1">
      <c r="M5659"/>
      <c r="N5659"/>
    </row>
    <row r="5660" spans="13:14" ht="14.25" customHeight="1">
      <c r="M5660"/>
      <c r="N5660"/>
    </row>
    <row r="5661" spans="13:14" ht="14.25" customHeight="1">
      <c r="M5661"/>
      <c r="N5661"/>
    </row>
    <row r="5662" spans="13:14" ht="14.25" customHeight="1">
      <c r="M5662"/>
      <c r="N5662"/>
    </row>
    <row r="5663" spans="13:14" ht="14.25" customHeight="1">
      <c r="M5663"/>
      <c r="N5663"/>
    </row>
    <row r="5664" spans="13:14" ht="14.25" customHeight="1">
      <c r="M5664"/>
      <c r="N5664"/>
    </row>
    <row r="5665" spans="13:14" ht="14.25" customHeight="1">
      <c r="M5665"/>
      <c r="N5665"/>
    </row>
    <row r="5666" spans="13:14" ht="14.25" customHeight="1">
      <c r="M5666"/>
      <c r="N5666"/>
    </row>
    <row r="5667" spans="13:14" ht="14.25" customHeight="1">
      <c r="M5667"/>
      <c r="N5667"/>
    </row>
    <row r="5668" spans="13:14" ht="14.25" customHeight="1">
      <c r="M5668"/>
      <c r="N5668"/>
    </row>
    <row r="5669" spans="13:14" ht="14.25" customHeight="1">
      <c r="M5669"/>
      <c r="N5669"/>
    </row>
    <row r="5670" spans="13:14" ht="14.25" customHeight="1">
      <c r="M5670"/>
      <c r="N5670"/>
    </row>
    <row r="5671" spans="13:14" ht="14.25" customHeight="1">
      <c r="M5671"/>
      <c r="N5671"/>
    </row>
    <row r="5672" spans="13:14" ht="14.25" customHeight="1">
      <c r="M5672"/>
      <c r="N5672"/>
    </row>
    <row r="5673" spans="13:14" ht="14.25" customHeight="1">
      <c r="M5673"/>
      <c r="N5673"/>
    </row>
    <row r="5674" spans="13:14" ht="14.25" customHeight="1">
      <c r="M5674"/>
      <c r="N5674"/>
    </row>
    <row r="5675" spans="13:14" ht="14.25" customHeight="1">
      <c r="M5675"/>
      <c r="N5675"/>
    </row>
    <row r="5676" spans="13:14" ht="14.25" customHeight="1">
      <c r="M5676"/>
      <c r="N5676"/>
    </row>
    <row r="5677" spans="13:14" ht="14.25" customHeight="1">
      <c r="M5677"/>
      <c r="N5677"/>
    </row>
    <row r="5678" spans="13:14" ht="14.25" customHeight="1">
      <c r="M5678"/>
      <c r="N5678"/>
    </row>
    <row r="5679" spans="13:14" ht="14.25" customHeight="1">
      <c r="M5679"/>
      <c r="N5679"/>
    </row>
    <row r="5680" spans="13:14" ht="14.25" customHeight="1">
      <c r="M5680"/>
      <c r="N5680"/>
    </row>
    <row r="5681" spans="13:14" ht="14.25" customHeight="1">
      <c r="M5681"/>
      <c r="N5681"/>
    </row>
    <row r="5682" spans="13:14" ht="14.25" customHeight="1">
      <c r="M5682"/>
      <c r="N5682"/>
    </row>
    <row r="5683" spans="13:14" ht="14.25" customHeight="1">
      <c r="M5683"/>
      <c r="N5683"/>
    </row>
    <row r="5684" spans="13:14" ht="14.25" customHeight="1">
      <c r="M5684"/>
      <c r="N5684"/>
    </row>
    <row r="5685" spans="13:14" ht="14.25" customHeight="1">
      <c r="M5685"/>
      <c r="N5685"/>
    </row>
    <row r="5686" spans="13:14" ht="14.25" customHeight="1">
      <c r="M5686"/>
      <c r="N5686"/>
    </row>
    <row r="5687" spans="13:14" ht="14.25" customHeight="1">
      <c r="M5687"/>
      <c r="N5687"/>
    </row>
    <row r="5688" spans="13:14" ht="14.25" customHeight="1">
      <c r="M5688"/>
      <c r="N5688"/>
    </row>
    <row r="5689" spans="13:14" ht="14.25" customHeight="1">
      <c r="M5689"/>
      <c r="N5689"/>
    </row>
    <row r="5690" spans="13:14" ht="14.25" customHeight="1">
      <c r="M5690"/>
      <c r="N5690"/>
    </row>
    <row r="5691" spans="13:14" ht="14.25" customHeight="1">
      <c r="M5691"/>
      <c r="N5691"/>
    </row>
    <row r="5692" spans="13:14" ht="14.25" customHeight="1">
      <c r="M5692"/>
      <c r="N5692"/>
    </row>
    <row r="5693" spans="13:14" ht="14.25" customHeight="1">
      <c r="M5693"/>
      <c r="N5693"/>
    </row>
    <row r="5694" spans="13:14" ht="14.25" customHeight="1">
      <c r="M5694"/>
      <c r="N5694"/>
    </row>
    <row r="5695" spans="13:14" ht="14.25" customHeight="1">
      <c r="M5695"/>
      <c r="N5695"/>
    </row>
    <row r="5696" spans="13:14" ht="14.25" customHeight="1">
      <c r="M5696"/>
      <c r="N5696"/>
    </row>
    <row r="5697" spans="13:14" ht="14.25" customHeight="1">
      <c r="M5697"/>
      <c r="N5697"/>
    </row>
    <row r="5698" spans="13:14" ht="14.25" customHeight="1">
      <c r="M5698"/>
      <c r="N5698"/>
    </row>
    <row r="5699" spans="13:14" ht="14.25" customHeight="1">
      <c r="M5699"/>
      <c r="N5699"/>
    </row>
    <row r="5700" spans="13:14" ht="14.25" customHeight="1">
      <c r="M5700"/>
      <c r="N5700"/>
    </row>
    <row r="5701" spans="13:14" ht="14.25" customHeight="1">
      <c r="M5701"/>
      <c r="N5701"/>
    </row>
    <row r="5702" spans="13:14" ht="14.25" customHeight="1">
      <c r="M5702"/>
      <c r="N5702"/>
    </row>
    <row r="5703" spans="13:14" ht="14.25" customHeight="1">
      <c r="M5703"/>
      <c r="N5703"/>
    </row>
    <row r="5704" spans="13:14" ht="14.25" customHeight="1">
      <c r="M5704"/>
      <c r="N5704"/>
    </row>
    <row r="5705" spans="13:14" ht="14.25" customHeight="1">
      <c r="M5705"/>
      <c r="N5705"/>
    </row>
    <row r="5706" spans="13:14" ht="14.25" customHeight="1">
      <c r="M5706"/>
      <c r="N5706"/>
    </row>
    <row r="5707" spans="13:14" ht="14.25" customHeight="1">
      <c r="M5707"/>
      <c r="N5707"/>
    </row>
    <row r="5708" spans="13:14" ht="14.25" customHeight="1">
      <c r="M5708"/>
      <c r="N5708"/>
    </row>
    <row r="5709" spans="13:14" ht="14.25" customHeight="1">
      <c r="M5709"/>
      <c r="N5709"/>
    </row>
    <row r="5710" spans="13:14" ht="14.25" customHeight="1">
      <c r="M5710"/>
      <c r="N5710"/>
    </row>
    <row r="5711" spans="13:14" ht="14.25" customHeight="1">
      <c r="M5711"/>
      <c r="N5711"/>
    </row>
    <row r="5712" spans="13:14" ht="14.25" customHeight="1">
      <c r="M5712"/>
      <c r="N5712"/>
    </row>
    <row r="5713" spans="13:14" ht="14.25" customHeight="1">
      <c r="M5713"/>
      <c r="N5713"/>
    </row>
    <row r="5714" spans="13:14" ht="14.25" customHeight="1">
      <c r="M5714"/>
      <c r="N5714"/>
    </row>
    <row r="5715" spans="13:14" ht="14.25" customHeight="1">
      <c r="M5715"/>
      <c r="N5715"/>
    </row>
    <row r="5716" spans="13:14" ht="14.25" customHeight="1">
      <c r="M5716"/>
      <c r="N5716"/>
    </row>
    <row r="5717" spans="13:14" ht="14.25" customHeight="1">
      <c r="M5717"/>
      <c r="N5717"/>
    </row>
    <row r="5718" spans="13:14" ht="14.25" customHeight="1">
      <c r="M5718"/>
      <c r="N5718"/>
    </row>
    <row r="5719" spans="13:14" ht="14.25" customHeight="1">
      <c r="M5719"/>
      <c r="N5719"/>
    </row>
    <row r="5720" spans="13:14" ht="14.25" customHeight="1">
      <c r="M5720"/>
      <c r="N5720"/>
    </row>
    <row r="5721" spans="13:14" ht="14.25" customHeight="1">
      <c r="M5721"/>
      <c r="N5721"/>
    </row>
    <row r="5722" spans="13:14" ht="14.25" customHeight="1">
      <c r="M5722"/>
      <c r="N5722"/>
    </row>
    <row r="5723" spans="13:14" ht="14.25" customHeight="1">
      <c r="M5723"/>
      <c r="N5723"/>
    </row>
    <row r="5724" spans="13:14" ht="14.25" customHeight="1">
      <c r="M5724"/>
      <c r="N5724"/>
    </row>
    <row r="5725" spans="13:14" ht="14.25" customHeight="1">
      <c r="M5725"/>
      <c r="N5725"/>
    </row>
    <row r="5726" spans="13:14" ht="14.25" customHeight="1">
      <c r="M5726"/>
      <c r="N5726"/>
    </row>
    <row r="5727" spans="13:14" ht="14.25" customHeight="1">
      <c r="M5727"/>
      <c r="N5727"/>
    </row>
    <row r="5728" spans="13:14" ht="14.25" customHeight="1">
      <c r="M5728"/>
      <c r="N5728"/>
    </row>
    <row r="5729" spans="13:14" ht="14.25" customHeight="1">
      <c r="M5729"/>
      <c r="N5729"/>
    </row>
    <row r="5730" spans="13:14" ht="14.25" customHeight="1">
      <c r="M5730"/>
      <c r="N5730"/>
    </row>
    <row r="5731" spans="13:14" ht="14.25" customHeight="1">
      <c r="M5731"/>
      <c r="N5731"/>
    </row>
    <row r="5732" spans="13:14" ht="14.25" customHeight="1">
      <c r="M5732"/>
      <c r="N5732"/>
    </row>
    <row r="5733" spans="13:14" ht="14.25" customHeight="1">
      <c r="M5733"/>
      <c r="N5733"/>
    </row>
    <row r="5734" spans="13:14" ht="14.25" customHeight="1">
      <c r="M5734"/>
      <c r="N5734"/>
    </row>
    <row r="5735" spans="13:14" ht="14.25" customHeight="1">
      <c r="M5735"/>
      <c r="N5735"/>
    </row>
    <row r="5736" spans="13:14" ht="14.25" customHeight="1">
      <c r="M5736"/>
      <c r="N5736"/>
    </row>
    <row r="5737" spans="13:14" ht="14.25" customHeight="1">
      <c r="M5737"/>
      <c r="N5737"/>
    </row>
    <row r="5738" spans="13:14" ht="14.25" customHeight="1">
      <c r="M5738"/>
      <c r="N5738"/>
    </row>
    <row r="5739" spans="13:14" ht="14.25" customHeight="1">
      <c r="M5739"/>
      <c r="N5739"/>
    </row>
    <row r="5740" spans="13:14" ht="14.25" customHeight="1">
      <c r="M5740"/>
      <c r="N5740"/>
    </row>
    <row r="5741" spans="13:14" ht="14.25" customHeight="1">
      <c r="M5741"/>
      <c r="N5741"/>
    </row>
    <row r="5742" spans="13:14" ht="14.25" customHeight="1">
      <c r="M5742"/>
      <c r="N5742"/>
    </row>
    <row r="5743" spans="13:14" ht="14.25" customHeight="1">
      <c r="M5743"/>
      <c r="N5743"/>
    </row>
    <row r="5744" spans="13:14" ht="14.25" customHeight="1">
      <c r="M5744"/>
      <c r="N5744"/>
    </row>
    <row r="5745" spans="13:14" ht="14.25" customHeight="1">
      <c r="M5745"/>
      <c r="N5745"/>
    </row>
    <row r="5746" spans="13:14" ht="14.25" customHeight="1">
      <c r="M5746"/>
      <c r="N5746"/>
    </row>
    <row r="5747" spans="13:14" ht="14.25" customHeight="1">
      <c r="M5747"/>
      <c r="N5747"/>
    </row>
    <row r="5748" spans="13:14" ht="14.25" customHeight="1">
      <c r="M5748"/>
      <c r="N5748"/>
    </row>
    <row r="5749" spans="13:14" ht="14.25" customHeight="1">
      <c r="M5749"/>
      <c r="N5749"/>
    </row>
    <row r="5750" spans="13:14" ht="14.25" customHeight="1">
      <c r="M5750"/>
      <c r="N5750"/>
    </row>
    <row r="5751" spans="13:14" ht="14.25" customHeight="1">
      <c r="M5751"/>
      <c r="N5751"/>
    </row>
    <row r="5752" spans="13:14" ht="14.25" customHeight="1">
      <c r="M5752"/>
      <c r="N5752"/>
    </row>
    <row r="5753" spans="13:14" ht="14.25" customHeight="1">
      <c r="M5753"/>
      <c r="N5753"/>
    </row>
    <row r="5754" spans="13:14" ht="14.25" customHeight="1">
      <c r="M5754"/>
      <c r="N5754"/>
    </row>
    <row r="5755" spans="13:14" ht="14.25" customHeight="1">
      <c r="M5755"/>
      <c r="N5755"/>
    </row>
    <row r="5756" spans="13:14" ht="14.25" customHeight="1">
      <c r="M5756"/>
      <c r="N5756"/>
    </row>
    <row r="5757" spans="13:14" ht="14.25" customHeight="1">
      <c r="M5757"/>
      <c r="N5757"/>
    </row>
    <row r="5758" spans="13:14" ht="14.25" customHeight="1">
      <c r="M5758"/>
      <c r="N5758"/>
    </row>
    <row r="5759" spans="13:14" ht="14.25" customHeight="1">
      <c r="M5759"/>
      <c r="N5759"/>
    </row>
    <row r="5760" spans="13:14" ht="14.25" customHeight="1">
      <c r="M5760"/>
      <c r="N5760"/>
    </row>
    <row r="5761" spans="13:14" ht="14.25" customHeight="1">
      <c r="M5761"/>
      <c r="N5761"/>
    </row>
    <row r="5762" spans="13:14" ht="14.25" customHeight="1">
      <c r="M5762"/>
      <c r="N5762"/>
    </row>
    <row r="5763" spans="13:14" ht="14.25" customHeight="1">
      <c r="M5763"/>
      <c r="N5763"/>
    </row>
    <row r="5764" spans="13:14" ht="14.25" customHeight="1">
      <c r="M5764"/>
      <c r="N5764"/>
    </row>
    <row r="5765" spans="13:14" ht="14.25" customHeight="1">
      <c r="M5765"/>
      <c r="N5765"/>
    </row>
    <row r="5766" spans="13:14" ht="14.25" customHeight="1">
      <c r="M5766"/>
      <c r="N5766"/>
    </row>
    <row r="5767" spans="13:14" ht="14.25" customHeight="1">
      <c r="M5767"/>
      <c r="N5767"/>
    </row>
    <row r="5768" spans="13:14" ht="14.25" customHeight="1">
      <c r="M5768"/>
      <c r="N5768"/>
    </row>
    <row r="5769" spans="13:14" ht="14.25" customHeight="1">
      <c r="M5769"/>
      <c r="N5769"/>
    </row>
    <row r="5770" spans="13:14" ht="14.25" customHeight="1">
      <c r="M5770"/>
      <c r="N5770"/>
    </row>
    <row r="5771" spans="13:14" ht="14.25" customHeight="1">
      <c r="M5771"/>
      <c r="N5771"/>
    </row>
    <row r="5772" spans="13:14" ht="14.25" customHeight="1">
      <c r="M5772"/>
      <c r="N5772"/>
    </row>
    <row r="5773" spans="13:14" ht="14.25" customHeight="1">
      <c r="M5773"/>
      <c r="N5773"/>
    </row>
    <row r="5774" spans="13:14" ht="14.25" customHeight="1">
      <c r="M5774"/>
      <c r="N5774"/>
    </row>
    <row r="5775" spans="13:14" ht="14.25" customHeight="1">
      <c r="M5775"/>
      <c r="N5775"/>
    </row>
    <row r="5776" spans="13:14" ht="14.25" customHeight="1">
      <c r="M5776"/>
      <c r="N5776"/>
    </row>
    <row r="5777" spans="13:14" ht="14.25" customHeight="1">
      <c r="M5777"/>
      <c r="N5777"/>
    </row>
    <row r="5778" spans="13:14" ht="14.25" customHeight="1">
      <c r="M5778"/>
      <c r="N5778"/>
    </row>
    <row r="5779" spans="13:14" ht="14.25" customHeight="1">
      <c r="M5779"/>
      <c r="N5779"/>
    </row>
    <row r="5780" spans="13:14" ht="14.25" customHeight="1">
      <c r="M5780"/>
      <c r="N5780"/>
    </row>
    <row r="5781" spans="13:14" ht="14.25" customHeight="1">
      <c r="M5781"/>
      <c r="N5781"/>
    </row>
    <row r="5782" spans="13:14" ht="14.25" customHeight="1">
      <c r="M5782"/>
      <c r="N5782"/>
    </row>
    <row r="5783" spans="13:14" ht="14.25" customHeight="1">
      <c r="M5783"/>
      <c r="N5783"/>
    </row>
    <row r="5784" spans="13:14" ht="14.25" customHeight="1">
      <c r="M5784"/>
      <c r="N5784"/>
    </row>
    <row r="5785" spans="13:14" ht="14.25" customHeight="1">
      <c r="M5785"/>
      <c r="N5785"/>
    </row>
    <row r="5786" spans="13:14" ht="14.25" customHeight="1">
      <c r="M5786"/>
      <c r="N5786"/>
    </row>
    <row r="5787" spans="13:14" ht="14.25" customHeight="1">
      <c r="M5787"/>
      <c r="N5787"/>
    </row>
    <row r="5788" spans="13:14" ht="14.25" customHeight="1">
      <c r="M5788"/>
      <c r="N5788"/>
    </row>
    <row r="5789" spans="13:14" ht="14.25" customHeight="1">
      <c r="M5789"/>
      <c r="N5789"/>
    </row>
    <row r="5790" spans="13:14" ht="14.25" customHeight="1">
      <c r="M5790"/>
      <c r="N5790"/>
    </row>
    <row r="5791" spans="13:14" ht="14.25" customHeight="1">
      <c r="M5791"/>
      <c r="N5791"/>
    </row>
    <row r="5792" spans="13:14" ht="14.25" customHeight="1">
      <c r="M5792"/>
      <c r="N5792"/>
    </row>
    <row r="5793" spans="13:14" ht="14.25" customHeight="1">
      <c r="M5793"/>
      <c r="N5793"/>
    </row>
    <row r="5794" spans="13:14" ht="14.25" customHeight="1">
      <c r="M5794"/>
      <c r="N5794"/>
    </row>
    <row r="5795" spans="13:14" ht="14.25" customHeight="1">
      <c r="M5795"/>
      <c r="N5795"/>
    </row>
    <row r="5796" spans="13:14" ht="14.25" customHeight="1">
      <c r="M5796"/>
      <c r="N5796"/>
    </row>
    <row r="5797" spans="13:14" ht="14.25" customHeight="1">
      <c r="M5797"/>
      <c r="N5797"/>
    </row>
    <row r="5798" spans="13:14" ht="14.25" customHeight="1">
      <c r="M5798"/>
      <c r="N5798"/>
    </row>
    <row r="5799" spans="13:14" ht="14.25" customHeight="1">
      <c r="M5799"/>
      <c r="N5799"/>
    </row>
    <row r="5800" spans="13:14" ht="14.25" customHeight="1">
      <c r="M5800"/>
      <c r="N5800"/>
    </row>
    <row r="5801" spans="13:14" ht="14.25" customHeight="1">
      <c r="M5801"/>
      <c r="N5801"/>
    </row>
    <row r="5802" spans="13:14" ht="14.25" customHeight="1">
      <c r="M5802"/>
      <c r="N5802"/>
    </row>
    <row r="5803" spans="13:14" ht="14.25" customHeight="1">
      <c r="M5803"/>
      <c r="N5803"/>
    </row>
    <row r="5804" spans="13:14" ht="14.25" customHeight="1">
      <c r="M5804"/>
      <c r="N5804"/>
    </row>
    <row r="5805" spans="13:14" ht="14.25" customHeight="1">
      <c r="M5805"/>
      <c r="N5805"/>
    </row>
    <row r="5806" spans="13:14" ht="14.25" customHeight="1">
      <c r="M5806"/>
      <c r="N5806"/>
    </row>
    <row r="5807" spans="13:14" ht="14.25" customHeight="1">
      <c r="M5807"/>
      <c r="N5807"/>
    </row>
    <row r="5808" spans="13:14" ht="14.25" customHeight="1">
      <c r="M5808"/>
      <c r="N5808"/>
    </row>
    <row r="5809" spans="13:14" ht="14.25" customHeight="1">
      <c r="M5809"/>
      <c r="N5809"/>
    </row>
    <row r="5810" spans="13:14" ht="14.25" customHeight="1">
      <c r="M5810"/>
      <c r="N5810"/>
    </row>
    <row r="5811" spans="13:14" ht="14.25" customHeight="1">
      <c r="M5811"/>
      <c r="N5811"/>
    </row>
    <row r="5812" spans="13:14" ht="14.25" customHeight="1">
      <c r="M5812"/>
      <c r="N5812"/>
    </row>
    <row r="5813" spans="13:14" ht="14.25" customHeight="1">
      <c r="M5813"/>
      <c r="N5813"/>
    </row>
    <row r="5814" spans="13:14" ht="14.25" customHeight="1">
      <c r="M5814"/>
      <c r="N5814"/>
    </row>
    <row r="5815" spans="13:14" ht="14.25" customHeight="1">
      <c r="M5815"/>
      <c r="N5815"/>
    </row>
    <row r="5816" spans="13:14" ht="14.25" customHeight="1">
      <c r="M5816"/>
      <c r="N5816"/>
    </row>
    <row r="5817" spans="13:14" ht="14.25" customHeight="1">
      <c r="M5817"/>
      <c r="N5817"/>
    </row>
    <row r="5818" spans="13:14" ht="14.25" customHeight="1">
      <c r="M5818"/>
      <c r="N5818"/>
    </row>
    <row r="5819" spans="13:14" ht="14.25" customHeight="1">
      <c r="M5819"/>
      <c r="N5819"/>
    </row>
    <row r="5820" spans="13:14" ht="14.25" customHeight="1">
      <c r="M5820"/>
      <c r="N5820"/>
    </row>
    <row r="5821" spans="13:14" ht="14.25" customHeight="1">
      <c r="M5821"/>
      <c r="N5821"/>
    </row>
    <row r="5822" spans="13:14" ht="14.25" customHeight="1">
      <c r="M5822"/>
      <c r="N5822"/>
    </row>
    <row r="5823" spans="13:14" ht="14.25" customHeight="1">
      <c r="M5823"/>
      <c r="N5823"/>
    </row>
    <row r="5824" spans="13:14" ht="14.25" customHeight="1">
      <c r="M5824"/>
      <c r="N5824"/>
    </row>
    <row r="5825" spans="13:14" ht="14.25" customHeight="1">
      <c r="M5825"/>
      <c r="N5825"/>
    </row>
    <row r="5826" spans="13:14" ht="14.25" customHeight="1">
      <c r="M5826"/>
      <c r="N5826"/>
    </row>
    <row r="5827" spans="13:14" ht="14.25" customHeight="1">
      <c r="M5827"/>
      <c r="N5827"/>
    </row>
    <row r="5828" spans="13:14" ht="14.25" customHeight="1">
      <c r="M5828"/>
      <c r="N5828"/>
    </row>
    <row r="5829" spans="13:14" ht="14.25" customHeight="1">
      <c r="M5829"/>
      <c r="N5829"/>
    </row>
    <row r="5830" spans="13:14" ht="14.25" customHeight="1">
      <c r="M5830"/>
      <c r="N5830"/>
    </row>
    <row r="5831" spans="13:14" ht="14.25" customHeight="1">
      <c r="M5831"/>
      <c r="N5831"/>
    </row>
    <row r="5832" spans="13:14" ht="14.25" customHeight="1">
      <c r="M5832"/>
      <c r="N5832"/>
    </row>
    <row r="5833" spans="13:14" ht="14.25" customHeight="1">
      <c r="M5833"/>
      <c r="N5833"/>
    </row>
    <row r="5834" spans="13:14" ht="14.25" customHeight="1">
      <c r="M5834"/>
      <c r="N5834"/>
    </row>
    <row r="5835" spans="13:14" ht="14.25" customHeight="1">
      <c r="M5835"/>
      <c r="N5835"/>
    </row>
    <row r="5836" spans="13:14" ht="14.25" customHeight="1">
      <c r="M5836"/>
      <c r="N5836"/>
    </row>
    <row r="5837" spans="13:14" ht="14.25" customHeight="1">
      <c r="M5837"/>
      <c r="N5837"/>
    </row>
    <row r="5838" spans="13:14" ht="14.25" customHeight="1">
      <c r="M5838"/>
      <c r="N5838"/>
    </row>
    <row r="5839" spans="13:14" ht="14.25" customHeight="1">
      <c r="M5839"/>
      <c r="N5839"/>
    </row>
    <row r="5840" spans="13:14" ht="14.25" customHeight="1">
      <c r="M5840"/>
      <c r="N5840"/>
    </row>
    <row r="5841" spans="13:14" ht="14.25" customHeight="1">
      <c r="M5841"/>
      <c r="N5841"/>
    </row>
    <row r="5842" spans="13:14" ht="14.25" customHeight="1">
      <c r="M5842"/>
      <c r="N5842"/>
    </row>
    <row r="5843" spans="13:14" ht="14.25" customHeight="1">
      <c r="M5843"/>
      <c r="N5843"/>
    </row>
    <row r="5844" spans="13:14" ht="14.25" customHeight="1">
      <c r="M5844"/>
      <c r="N5844"/>
    </row>
    <row r="5845" spans="13:14" ht="14.25" customHeight="1">
      <c r="M5845"/>
      <c r="N5845"/>
    </row>
    <row r="5846" spans="13:14" ht="14.25" customHeight="1">
      <c r="M5846"/>
      <c r="N5846"/>
    </row>
    <row r="5847" spans="13:14" ht="14.25" customHeight="1">
      <c r="M5847"/>
      <c r="N5847"/>
    </row>
    <row r="5848" spans="13:14" ht="14.25" customHeight="1">
      <c r="M5848"/>
      <c r="N5848"/>
    </row>
    <row r="5849" spans="13:14" ht="14.25" customHeight="1">
      <c r="M5849"/>
      <c r="N5849"/>
    </row>
    <row r="5850" spans="13:14" ht="14.25" customHeight="1">
      <c r="M5850"/>
      <c r="N5850"/>
    </row>
    <row r="5851" spans="13:14" ht="14.25" customHeight="1">
      <c r="M5851"/>
      <c r="N5851"/>
    </row>
    <row r="5852" spans="13:14" ht="14.25" customHeight="1">
      <c r="M5852"/>
      <c r="N5852"/>
    </row>
    <row r="5853" spans="13:14" ht="14.25" customHeight="1">
      <c r="M5853"/>
      <c r="N5853"/>
    </row>
    <row r="5854" spans="13:14" ht="14.25" customHeight="1">
      <c r="M5854"/>
      <c r="N5854"/>
    </row>
    <row r="5855" spans="13:14" ht="14.25" customHeight="1">
      <c r="M5855"/>
      <c r="N5855"/>
    </row>
    <row r="5856" spans="13:14" ht="14.25" customHeight="1">
      <c r="M5856"/>
      <c r="N5856"/>
    </row>
    <row r="5857" spans="13:14" ht="14.25" customHeight="1">
      <c r="M5857"/>
      <c r="N5857"/>
    </row>
    <row r="5858" spans="13:14" ht="14.25" customHeight="1">
      <c r="M5858"/>
      <c r="N5858"/>
    </row>
    <row r="5859" spans="13:14" ht="14.25" customHeight="1">
      <c r="M5859"/>
      <c r="N5859"/>
    </row>
    <row r="5860" spans="13:14" ht="14.25" customHeight="1">
      <c r="M5860"/>
      <c r="N5860"/>
    </row>
    <row r="5861" spans="13:14" ht="14.25" customHeight="1">
      <c r="M5861"/>
      <c r="N5861"/>
    </row>
    <row r="5862" spans="13:14" ht="14.25" customHeight="1">
      <c r="M5862"/>
      <c r="N5862"/>
    </row>
    <row r="5863" spans="13:14" ht="14.25" customHeight="1">
      <c r="M5863"/>
      <c r="N5863"/>
    </row>
    <row r="5864" spans="13:14" ht="14.25" customHeight="1">
      <c r="M5864"/>
      <c r="N5864"/>
    </row>
    <row r="5865" spans="13:14" ht="14.25" customHeight="1">
      <c r="M5865"/>
      <c r="N5865"/>
    </row>
    <row r="5866" spans="13:14" ht="14.25" customHeight="1">
      <c r="M5866"/>
      <c r="N5866"/>
    </row>
    <row r="5867" spans="13:14" ht="14.25" customHeight="1">
      <c r="M5867"/>
      <c r="N5867"/>
    </row>
    <row r="5868" spans="13:14" ht="14.25" customHeight="1">
      <c r="M5868"/>
      <c r="N5868"/>
    </row>
    <row r="5869" spans="13:14" ht="14.25" customHeight="1">
      <c r="M5869"/>
      <c r="N5869"/>
    </row>
    <row r="5870" spans="13:14" ht="14.25" customHeight="1">
      <c r="M5870"/>
      <c r="N5870"/>
    </row>
    <row r="5871" spans="13:14" ht="14.25" customHeight="1">
      <c r="M5871"/>
      <c r="N5871"/>
    </row>
    <row r="5872" spans="13:14" ht="14.25" customHeight="1">
      <c r="M5872"/>
      <c r="N5872"/>
    </row>
    <row r="5873" spans="13:14" ht="14.25" customHeight="1">
      <c r="M5873"/>
      <c r="N5873"/>
    </row>
    <row r="5874" spans="13:14" ht="14.25" customHeight="1">
      <c r="M5874"/>
      <c r="N5874"/>
    </row>
    <row r="5875" spans="13:14" ht="14.25" customHeight="1">
      <c r="M5875"/>
      <c r="N5875"/>
    </row>
    <row r="5876" spans="13:14" ht="14.25" customHeight="1">
      <c r="M5876"/>
      <c r="N5876"/>
    </row>
    <row r="5877" spans="13:14" ht="14.25" customHeight="1">
      <c r="M5877"/>
      <c r="N5877"/>
    </row>
    <row r="5878" spans="13:14" ht="14.25" customHeight="1">
      <c r="M5878"/>
      <c r="N5878"/>
    </row>
    <row r="5879" spans="13:14" ht="14.25" customHeight="1">
      <c r="M5879"/>
      <c r="N5879"/>
    </row>
    <row r="5880" spans="13:14" ht="14.25" customHeight="1">
      <c r="M5880"/>
      <c r="N5880"/>
    </row>
    <row r="5881" spans="13:14" ht="14.25" customHeight="1">
      <c r="M5881"/>
      <c r="N5881"/>
    </row>
    <row r="5882" spans="13:14" ht="14.25" customHeight="1">
      <c r="M5882"/>
      <c r="N5882"/>
    </row>
    <row r="5883" spans="13:14" ht="14.25" customHeight="1">
      <c r="M5883"/>
      <c r="N5883"/>
    </row>
    <row r="5884" spans="13:14" ht="14.25" customHeight="1">
      <c r="M5884"/>
      <c r="N5884"/>
    </row>
    <row r="5885" spans="13:14" ht="14.25" customHeight="1">
      <c r="M5885"/>
      <c r="N5885"/>
    </row>
    <row r="5886" spans="13:14" ht="14.25" customHeight="1">
      <c r="M5886"/>
      <c r="N5886"/>
    </row>
    <row r="5887" spans="13:14" ht="14.25" customHeight="1">
      <c r="M5887"/>
      <c r="N5887"/>
    </row>
    <row r="5888" spans="13:14" ht="14.25" customHeight="1">
      <c r="M5888"/>
      <c r="N5888"/>
    </row>
    <row r="5889" spans="13:14" ht="14.25" customHeight="1">
      <c r="M5889"/>
      <c r="N5889"/>
    </row>
    <row r="5890" spans="13:14" ht="14.25" customHeight="1">
      <c r="M5890"/>
      <c r="N5890"/>
    </row>
    <row r="5891" spans="13:14" ht="14.25" customHeight="1">
      <c r="M5891"/>
      <c r="N5891"/>
    </row>
    <row r="5892" spans="13:14" ht="14.25" customHeight="1">
      <c r="M5892"/>
      <c r="N5892"/>
    </row>
    <row r="5893" spans="13:14" ht="14.25" customHeight="1">
      <c r="M5893"/>
      <c r="N5893"/>
    </row>
    <row r="5894" spans="13:14" ht="14.25" customHeight="1">
      <c r="M5894"/>
      <c r="N5894"/>
    </row>
    <row r="5895" spans="13:14" ht="14.25" customHeight="1">
      <c r="M5895"/>
      <c r="N5895"/>
    </row>
    <row r="5896" spans="13:14" ht="14.25" customHeight="1">
      <c r="M5896"/>
      <c r="N5896"/>
    </row>
    <row r="5897" spans="13:14" ht="14.25" customHeight="1">
      <c r="M5897"/>
      <c r="N5897"/>
    </row>
    <row r="5898" spans="13:14" ht="14.25" customHeight="1">
      <c r="M5898"/>
      <c r="N5898"/>
    </row>
    <row r="5899" spans="13:14" ht="14.25" customHeight="1">
      <c r="M5899"/>
      <c r="N5899"/>
    </row>
    <row r="5900" spans="13:14" ht="14.25" customHeight="1">
      <c r="M5900"/>
      <c r="N5900"/>
    </row>
    <row r="5901" spans="13:14" ht="14.25" customHeight="1">
      <c r="M5901"/>
      <c r="N5901"/>
    </row>
    <row r="5902" spans="13:14" ht="14.25" customHeight="1">
      <c r="M5902"/>
      <c r="N5902"/>
    </row>
    <row r="5903" spans="13:14" ht="14.25" customHeight="1">
      <c r="M5903"/>
      <c r="N5903"/>
    </row>
    <row r="5904" spans="13:14" ht="14.25" customHeight="1">
      <c r="M5904"/>
      <c r="N5904"/>
    </row>
    <row r="5905" spans="13:14" ht="14.25" customHeight="1">
      <c r="M5905"/>
      <c r="N5905"/>
    </row>
    <row r="5906" spans="13:14" ht="14.25" customHeight="1">
      <c r="M5906"/>
      <c r="N5906"/>
    </row>
    <row r="5907" spans="13:14" ht="14.25" customHeight="1">
      <c r="M5907"/>
      <c r="N5907"/>
    </row>
    <row r="5908" spans="13:14" ht="14.25" customHeight="1">
      <c r="M5908"/>
      <c r="N5908"/>
    </row>
    <row r="5909" spans="13:14" ht="14.25" customHeight="1">
      <c r="M5909"/>
      <c r="N5909"/>
    </row>
    <row r="5910" spans="13:14" ht="14.25" customHeight="1">
      <c r="M5910"/>
      <c r="N5910"/>
    </row>
    <row r="5911" spans="13:14" ht="14.25" customHeight="1">
      <c r="M5911"/>
      <c r="N5911"/>
    </row>
    <row r="5912" spans="13:14" ht="14.25" customHeight="1">
      <c r="M5912"/>
      <c r="N5912"/>
    </row>
    <row r="5913" spans="13:14" ht="14.25" customHeight="1">
      <c r="M5913"/>
      <c r="N5913"/>
    </row>
    <row r="5914" spans="13:14" ht="14.25" customHeight="1">
      <c r="M5914"/>
      <c r="N5914"/>
    </row>
    <row r="5915" spans="13:14" ht="14.25" customHeight="1">
      <c r="M5915"/>
      <c r="N5915"/>
    </row>
    <row r="5916" spans="13:14" ht="14.25" customHeight="1">
      <c r="M5916"/>
      <c r="N5916"/>
    </row>
    <row r="5917" spans="13:14" ht="14.25" customHeight="1">
      <c r="M5917"/>
      <c r="N5917"/>
    </row>
    <row r="5918" spans="13:14" ht="14.25" customHeight="1">
      <c r="M5918"/>
      <c r="N5918"/>
    </row>
    <row r="5919" spans="13:14" ht="14.25" customHeight="1">
      <c r="M5919"/>
      <c r="N5919"/>
    </row>
    <row r="5920" spans="13:14" ht="14.25" customHeight="1">
      <c r="M5920"/>
      <c r="N5920"/>
    </row>
    <row r="5921" spans="13:14" ht="14.25" customHeight="1">
      <c r="M5921"/>
      <c r="N5921"/>
    </row>
    <row r="5922" spans="13:14" ht="14.25" customHeight="1">
      <c r="M5922"/>
      <c r="N5922"/>
    </row>
    <row r="5923" spans="13:14" ht="14.25" customHeight="1">
      <c r="M5923"/>
      <c r="N5923"/>
    </row>
    <row r="5924" spans="13:14" ht="14.25" customHeight="1">
      <c r="M5924"/>
      <c r="N5924"/>
    </row>
    <row r="5925" spans="13:14" ht="14.25" customHeight="1">
      <c r="M5925"/>
      <c r="N5925"/>
    </row>
    <row r="5926" spans="13:14" ht="14.25" customHeight="1">
      <c r="M5926"/>
      <c r="N5926"/>
    </row>
    <row r="5927" spans="13:14" ht="14.25" customHeight="1">
      <c r="M5927"/>
      <c r="N5927"/>
    </row>
    <row r="5928" spans="13:14" ht="14.25" customHeight="1">
      <c r="M5928"/>
      <c r="N5928"/>
    </row>
    <row r="5929" spans="13:14" ht="14.25" customHeight="1">
      <c r="M5929"/>
      <c r="N5929"/>
    </row>
    <row r="5930" spans="13:14" ht="14.25" customHeight="1">
      <c r="M5930"/>
      <c r="N5930"/>
    </row>
    <row r="5931" spans="13:14" ht="14.25" customHeight="1">
      <c r="M5931"/>
      <c r="N5931"/>
    </row>
    <row r="5932" spans="13:14" ht="14.25" customHeight="1">
      <c r="M5932"/>
      <c r="N5932"/>
    </row>
    <row r="5933" spans="13:14" ht="14.25" customHeight="1">
      <c r="M5933"/>
      <c r="N5933"/>
    </row>
    <row r="5934" spans="13:14" ht="14.25" customHeight="1">
      <c r="M5934"/>
      <c r="N5934"/>
    </row>
    <row r="5935" spans="13:14" ht="14.25" customHeight="1">
      <c r="M5935"/>
      <c r="N5935"/>
    </row>
    <row r="5936" spans="13:14" ht="14.25" customHeight="1">
      <c r="M5936"/>
      <c r="N5936"/>
    </row>
    <row r="5937" spans="13:14" ht="14.25" customHeight="1">
      <c r="M5937"/>
      <c r="N5937"/>
    </row>
    <row r="5938" spans="13:14" ht="14.25" customHeight="1">
      <c r="M5938"/>
      <c r="N5938"/>
    </row>
    <row r="5939" spans="13:14" ht="14.25" customHeight="1">
      <c r="M5939"/>
      <c r="N5939"/>
    </row>
    <row r="5940" spans="13:14" ht="14.25" customHeight="1">
      <c r="M5940"/>
      <c r="N5940"/>
    </row>
    <row r="5941" spans="13:14" ht="14.25" customHeight="1">
      <c r="M5941"/>
      <c r="N5941"/>
    </row>
    <row r="5942" spans="13:14" ht="14.25" customHeight="1">
      <c r="M5942"/>
      <c r="N5942"/>
    </row>
    <row r="5943" spans="13:14" ht="14.25" customHeight="1">
      <c r="M5943"/>
      <c r="N5943"/>
    </row>
    <row r="5944" spans="13:14" ht="14.25" customHeight="1">
      <c r="M5944"/>
      <c r="N5944"/>
    </row>
    <row r="5945" spans="13:14" ht="14.25" customHeight="1">
      <c r="M5945"/>
      <c r="N5945"/>
    </row>
    <row r="5946" spans="13:14" ht="14.25" customHeight="1">
      <c r="M5946"/>
      <c r="N5946"/>
    </row>
    <row r="5947" spans="13:14" ht="14.25" customHeight="1">
      <c r="M5947"/>
      <c r="N5947"/>
    </row>
    <row r="5948" spans="13:14" ht="14.25" customHeight="1">
      <c r="M5948"/>
      <c r="N5948"/>
    </row>
    <row r="5949" spans="13:14" ht="14.25" customHeight="1">
      <c r="M5949"/>
      <c r="N5949"/>
    </row>
    <row r="5950" spans="13:14" ht="14.25" customHeight="1">
      <c r="M5950"/>
      <c r="N5950"/>
    </row>
    <row r="5951" spans="13:14" ht="14.25" customHeight="1">
      <c r="M5951"/>
      <c r="N5951"/>
    </row>
    <row r="5952" spans="13:14" ht="14.25" customHeight="1">
      <c r="M5952"/>
      <c r="N5952"/>
    </row>
    <row r="5953" spans="13:14" ht="14.25" customHeight="1">
      <c r="M5953"/>
      <c r="N5953"/>
    </row>
    <row r="5954" spans="13:14" ht="14.25" customHeight="1">
      <c r="M5954"/>
      <c r="N5954"/>
    </row>
    <row r="5955" spans="13:14" ht="14.25" customHeight="1">
      <c r="M5955"/>
      <c r="N5955"/>
    </row>
    <row r="5956" spans="13:14" ht="14.25" customHeight="1">
      <c r="M5956"/>
      <c r="N5956"/>
    </row>
    <row r="5957" spans="13:14" ht="14.25" customHeight="1">
      <c r="M5957"/>
      <c r="N5957"/>
    </row>
    <row r="5958" spans="13:14" ht="14.25" customHeight="1">
      <c r="M5958"/>
      <c r="N5958"/>
    </row>
    <row r="5959" spans="13:14" ht="14.25" customHeight="1">
      <c r="M5959"/>
      <c r="N5959"/>
    </row>
    <row r="5960" spans="13:14" ht="14.25" customHeight="1">
      <c r="M5960"/>
      <c r="N5960"/>
    </row>
    <row r="5961" spans="13:14" ht="14.25" customHeight="1">
      <c r="M5961"/>
      <c r="N5961"/>
    </row>
    <row r="5962" spans="13:14" ht="14.25" customHeight="1">
      <c r="M5962"/>
      <c r="N5962"/>
    </row>
    <row r="5963" spans="13:14" ht="14.25" customHeight="1">
      <c r="M5963"/>
      <c r="N5963"/>
    </row>
    <row r="5964" spans="13:14" ht="14.25" customHeight="1">
      <c r="M5964"/>
      <c r="N5964"/>
    </row>
    <row r="5965" spans="13:14" ht="14.25" customHeight="1">
      <c r="M5965"/>
      <c r="N5965"/>
    </row>
    <row r="5966" spans="13:14" ht="14.25" customHeight="1">
      <c r="M5966"/>
      <c r="N5966"/>
    </row>
    <row r="5967" spans="13:14" ht="14.25" customHeight="1">
      <c r="M5967"/>
      <c r="N5967"/>
    </row>
    <row r="5968" spans="13:14" ht="14.25" customHeight="1">
      <c r="M5968"/>
      <c r="N5968"/>
    </row>
    <row r="5969" spans="13:14" ht="14.25" customHeight="1">
      <c r="M5969"/>
      <c r="N5969"/>
    </row>
    <row r="5970" spans="13:14" ht="14.25" customHeight="1">
      <c r="M5970"/>
      <c r="N5970"/>
    </row>
    <row r="5971" spans="13:14" ht="14.25" customHeight="1">
      <c r="M5971"/>
      <c r="N5971"/>
    </row>
    <row r="5972" spans="13:14" ht="14.25" customHeight="1">
      <c r="M5972"/>
      <c r="N5972"/>
    </row>
    <row r="5973" spans="13:14" ht="14.25" customHeight="1">
      <c r="M5973"/>
      <c r="N5973"/>
    </row>
    <row r="5974" spans="13:14" ht="14.25" customHeight="1">
      <c r="M5974"/>
      <c r="N5974"/>
    </row>
    <row r="5975" spans="13:14" ht="14.25" customHeight="1">
      <c r="M5975"/>
      <c r="N5975"/>
    </row>
    <row r="5976" spans="13:14" ht="14.25" customHeight="1">
      <c r="M5976"/>
      <c r="N5976"/>
    </row>
    <row r="5977" spans="13:14" ht="14.25" customHeight="1">
      <c r="M5977"/>
      <c r="N5977"/>
    </row>
    <row r="5978" spans="13:14" ht="14.25" customHeight="1">
      <c r="M5978"/>
      <c r="N5978"/>
    </row>
    <row r="5979" spans="13:14" ht="14.25" customHeight="1">
      <c r="M5979"/>
      <c r="N5979"/>
    </row>
    <row r="5980" spans="13:14" ht="14.25" customHeight="1">
      <c r="M5980"/>
      <c r="N5980"/>
    </row>
    <row r="5981" spans="13:14" ht="14.25" customHeight="1">
      <c r="M5981"/>
      <c r="N5981"/>
    </row>
    <row r="5982" spans="13:14" ht="14.25" customHeight="1">
      <c r="M5982"/>
      <c r="N5982"/>
    </row>
    <row r="5983" spans="13:14" ht="14.25" customHeight="1">
      <c r="M5983"/>
      <c r="N5983"/>
    </row>
    <row r="5984" spans="13:14" ht="14.25" customHeight="1">
      <c r="M5984"/>
      <c r="N5984"/>
    </row>
    <row r="5985" spans="13:14" ht="14.25" customHeight="1">
      <c r="M5985"/>
      <c r="N5985"/>
    </row>
    <row r="5986" spans="13:14" ht="14.25" customHeight="1">
      <c r="M5986"/>
      <c r="N5986"/>
    </row>
    <row r="5987" spans="13:14" ht="14.25" customHeight="1">
      <c r="M5987"/>
      <c r="N5987"/>
    </row>
    <row r="5988" spans="13:14" ht="14.25" customHeight="1">
      <c r="M5988"/>
      <c r="N5988"/>
    </row>
    <row r="5989" spans="13:14" ht="14.25" customHeight="1">
      <c r="M5989"/>
      <c r="N5989"/>
    </row>
    <row r="5990" spans="13:14" ht="14.25" customHeight="1">
      <c r="M5990"/>
      <c r="N5990"/>
    </row>
    <row r="5991" spans="13:14" ht="14.25" customHeight="1">
      <c r="M5991"/>
      <c r="N5991"/>
    </row>
    <row r="5992" spans="13:14" ht="14.25" customHeight="1">
      <c r="M5992"/>
      <c r="N5992"/>
    </row>
    <row r="5993" spans="13:14" ht="14.25" customHeight="1">
      <c r="M5993"/>
      <c r="N5993"/>
    </row>
    <row r="5994" spans="13:14" ht="14.25" customHeight="1">
      <c r="M5994"/>
      <c r="N5994"/>
    </row>
    <row r="5995" spans="13:14" ht="14.25" customHeight="1">
      <c r="M5995"/>
      <c r="N5995"/>
    </row>
    <row r="5996" spans="13:14" ht="14.25" customHeight="1">
      <c r="M5996"/>
      <c r="N5996"/>
    </row>
    <row r="5997" spans="13:14" ht="14.25" customHeight="1">
      <c r="M5997"/>
      <c r="N5997"/>
    </row>
    <row r="5998" spans="13:14" ht="14.25" customHeight="1">
      <c r="M5998"/>
      <c r="N5998"/>
    </row>
    <row r="5999" spans="13:14" ht="14.25" customHeight="1">
      <c r="M5999"/>
      <c r="N5999"/>
    </row>
    <row r="6000" spans="13:14" ht="14.25" customHeight="1">
      <c r="M6000"/>
      <c r="N6000"/>
    </row>
    <row r="6001" spans="13:14" ht="14.25" customHeight="1">
      <c r="M6001"/>
      <c r="N6001"/>
    </row>
    <row r="6002" spans="13:14" ht="14.25" customHeight="1">
      <c r="M6002"/>
      <c r="N6002"/>
    </row>
    <row r="6003" spans="13:14" ht="14.25" customHeight="1">
      <c r="M6003"/>
      <c r="N6003"/>
    </row>
    <row r="6004" spans="13:14" ht="14.25" customHeight="1">
      <c r="M6004"/>
      <c r="N6004"/>
    </row>
    <row r="6005" spans="13:14" ht="14.25" customHeight="1">
      <c r="M6005"/>
      <c r="N6005"/>
    </row>
    <row r="6006" spans="13:14" ht="14.25" customHeight="1">
      <c r="M6006"/>
      <c r="N6006"/>
    </row>
    <row r="6007" spans="13:14" ht="14.25" customHeight="1">
      <c r="M6007"/>
      <c r="N6007"/>
    </row>
    <row r="6008" spans="13:14" ht="14.25" customHeight="1">
      <c r="M6008"/>
      <c r="N6008"/>
    </row>
    <row r="6009" spans="13:14" ht="14.25" customHeight="1">
      <c r="M6009"/>
      <c r="N6009"/>
    </row>
    <row r="6010" spans="13:14" ht="14.25" customHeight="1">
      <c r="M6010"/>
      <c r="N6010"/>
    </row>
    <row r="6011" spans="13:14" ht="14.25" customHeight="1">
      <c r="M6011"/>
      <c r="N6011"/>
    </row>
    <row r="6012" spans="13:14" ht="14.25" customHeight="1">
      <c r="M6012"/>
      <c r="N6012"/>
    </row>
    <row r="6013" spans="13:14" ht="14.25" customHeight="1">
      <c r="M6013"/>
      <c r="N6013"/>
    </row>
    <row r="6014" spans="13:14" ht="14.25" customHeight="1">
      <c r="M6014"/>
      <c r="N6014"/>
    </row>
    <row r="6015" spans="13:14" ht="14.25" customHeight="1">
      <c r="M6015"/>
      <c r="N6015"/>
    </row>
    <row r="6016" spans="13:14" ht="14.25" customHeight="1">
      <c r="M6016"/>
      <c r="N6016"/>
    </row>
    <row r="6017" spans="13:14" ht="14.25" customHeight="1">
      <c r="M6017"/>
      <c r="N6017"/>
    </row>
    <row r="6018" spans="13:14" ht="14.25" customHeight="1">
      <c r="M6018"/>
      <c r="N6018"/>
    </row>
    <row r="6019" spans="13:14" ht="14.25" customHeight="1">
      <c r="M6019"/>
      <c r="N6019"/>
    </row>
    <row r="6020" spans="13:14" ht="14.25" customHeight="1">
      <c r="M6020"/>
      <c r="N6020"/>
    </row>
    <row r="6021" spans="13:14" ht="14.25" customHeight="1">
      <c r="M6021"/>
      <c r="N6021"/>
    </row>
    <row r="6022" spans="13:14" ht="14.25" customHeight="1">
      <c r="M6022"/>
      <c r="N6022"/>
    </row>
    <row r="6023" spans="13:14" ht="14.25" customHeight="1">
      <c r="M6023"/>
      <c r="N6023"/>
    </row>
    <row r="6024" spans="13:14" ht="14.25" customHeight="1">
      <c r="M6024"/>
      <c r="N6024"/>
    </row>
    <row r="6025" spans="13:14" ht="14.25" customHeight="1">
      <c r="M6025"/>
      <c r="N6025"/>
    </row>
    <row r="6026" spans="13:14" ht="14.25" customHeight="1">
      <c r="M6026"/>
      <c r="N6026"/>
    </row>
    <row r="6027" spans="13:14" ht="14.25" customHeight="1">
      <c r="M6027"/>
      <c r="N6027"/>
    </row>
    <row r="6028" spans="13:14" ht="14.25" customHeight="1">
      <c r="M6028"/>
      <c r="N6028"/>
    </row>
    <row r="6029" spans="13:14" ht="14.25" customHeight="1">
      <c r="M6029"/>
      <c r="N6029"/>
    </row>
    <row r="6030" spans="13:14" ht="14.25" customHeight="1">
      <c r="M6030"/>
      <c r="N6030"/>
    </row>
    <row r="6031" spans="13:14" ht="14.25" customHeight="1">
      <c r="M6031"/>
      <c r="N6031"/>
    </row>
    <row r="6032" spans="13:14" ht="14.25" customHeight="1">
      <c r="M6032"/>
      <c r="N6032"/>
    </row>
    <row r="6033" spans="13:14" ht="14.25" customHeight="1">
      <c r="M6033"/>
      <c r="N6033"/>
    </row>
    <row r="6034" spans="13:14" ht="14.25" customHeight="1">
      <c r="M6034"/>
      <c r="N6034"/>
    </row>
    <row r="6035" spans="13:14" ht="14.25" customHeight="1">
      <c r="M6035"/>
      <c r="N6035"/>
    </row>
    <row r="6036" spans="13:14" ht="14.25" customHeight="1">
      <c r="M6036"/>
      <c r="N6036"/>
    </row>
    <row r="6037" spans="13:14" ht="14.25" customHeight="1">
      <c r="M6037"/>
      <c r="N6037"/>
    </row>
    <row r="6038" spans="13:14" ht="14.25" customHeight="1">
      <c r="M6038"/>
      <c r="N6038"/>
    </row>
    <row r="6039" spans="13:14" ht="14.25" customHeight="1">
      <c r="M6039"/>
      <c r="N6039"/>
    </row>
    <row r="6040" spans="13:14" ht="14.25" customHeight="1">
      <c r="M6040"/>
      <c r="N6040"/>
    </row>
    <row r="6041" spans="13:14" ht="14.25" customHeight="1">
      <c r="M6041"/>
      <c r="N6041"/>
    </row>
    <row r="6042" spans="13:14" ht="14.25" customHeight="1">
      <c r="M6042"/>
      <c r="N6042"/>
    </row>
    <row r="6043" spans="13:14" ht="14.25" customHeight="1">
      <c r="M6043"/>
      <c r="N6043"/>
    </row>
    <row r="6044" spans="13:14" ht="14.25" customHeight="1">
      <c r="M6044"/>
      <c r="N6044"/>
    </row>
    <row r="6045" spans="13:14" ht="14.25" customHeight="1">
      <c r="M6045"/>
      <c r="N6045"/>
    </row>
    <row r="6046" spans="13:14" ht="14.25" customHeight="1">
      <c r="M6046"/>
      <c r="N6046"/>
    </row>
    <row r="6047" spans="13:14" ht="14.25" customHeight="1">
      <c r="M6047"/>
      <c r="N6047"/>
    </row>
    <row r="6048" spans="13:14" ht="14.25" customHeight="1">
      <c r="M6048"/>
      <c r="N6048"/>
    </row>
    <row r="6049" spans="13:14" ht="14.25" customHeight="1">
      <c r="M6049"/>
      <c r="N6049"/>
    </row>
    <row r="6050" spans="13:14" ht="14.25" customHeight="1">
      <c r="M6050"/>
      <c r="N6050"/>
    </row>
    <row r="6051" spans="13:14" ht="14.25" customHeight="1">
      <c r="M6051"/>
      <c r="N6051"/>
    </row>
    <row r="6052" spans="13:14" ht="14.25" customHeight="1">
      <c r="M6052"/>
      <c r="N6052"/>
    </row>
    <row r="6053" spans="13:14" ht="14.25" customHeight="1">
      <c r="M6053"/>
      <c r="N6053"/>
    </row>
    <row r="6054" spans="13:14" ht="14.25" customHeight="1">
      <c r="M6054"/>
      <c r="N6054"/>
    </row>
    <row r="6055" spans="13:14" ht="14.25" customHeight="1">
      <c r="M6055"/>
      <c r="N6055"/>
    </row>
    <row r="6056" spans="13:14" ht="14.25" customHeight="1">
      <c r="M6056"/>
      <c r="N6056"/>
    </row>
    <row r="6057" spans="13:14" ht="14.25" customHeight="1">
      <c r="M6057"/>
      <c r="N6057"/>
    </row>
    <row r="6058" spans="13:14" ht="14.25" customHeight="1">
      <c r="M6058"/>
      <c r="N6058"/>
    </row>
    <row r="6059" spans="13:14" ht="14.25" customHeight="1">
      <c r="M6059"/>
      <c r="N6059"/>
    </row>
    <row r="6060" spans="13:14" ht="14.25" customHeight="1">
      <c r="M6060"/>
      <c r="N6060"/>
    </row>
    <row r="6061" spans="13:14" ht="14.25" customHeight="1">
      <c r="M6061"/>
      <c r="N6061"/>
    </row>
    <row r="6062" spans="13:14" ht="14.25" customHeight="1">
      <c r="M6062"/>
      <c r="N6062"/>
    </row>
    <row r="6063" spans="13:14" ht="14.25" customHeight="1">
      <c r="M6063"/>
      <c r="N6063"/>
    </row>
    <row r="6064" spans="13:14" ht="14.25" customHeight="1">
      <c r="M6064"/>
      <c r="N6064"/>
    </row>
    <row r="6065" spans="13:14" ht="14.25" customHeight="1">
      <c r="M6065"/>
      <c r="N6065"/>
    </row>
    <row r="6066" spans="13:14" ht="14.25" customHeight="1">
      <c r="M6066"/>
      <c r="N6066"/>
    </row>
    <row r="6067" spans="13:14" ht="14.25" customHeight="1">
      <c r="M6067"/>
      <c r="N6067"/>
    </row>
    <row r="6068" spans="13:14" ht="14.25" customHeight="1">
      <c r="M6068"/>
      <c r="N6068"/>
    </row>
    <row r="6069" spans="13:14" ht="14.25" customHeight="1">
      <c r="M6069"/>
      <c r="N6069"/>
    </row>
    <row r="6070" spans="13:14" ht="14.25" customHeight="1">
      <c r="M6070"/>
      <c r="N6070"/>
    </row>
    <row r="6071" spans="13:14" ht="14.25" customHeight="1">
      <c r="M6071"/>
      <c r="N6071"/>
    </row>
    <row r="6072" spans="13:14" ht="14.25" customHeight="1">
      <c r="M6072"/>
      <c r="N6072"/>
    </row>
    <row r="6073" spans="13:14" ht="14.25" customHeight="1">
      <c r="M6073"/>
      <c r="N6073"/>
    </row>
    <row r="6074" spans="13:14" ht="14.25" customHeight="1">
      <c r="M6074"/>
      <c r="N6074"/>
    </row>
    <row r="6075" spans="13:14" ht="14.25" customHeight="1">
      <c r="M6075"/>
      <c r="N6075"/>
    </row>
    <row r="6076" spans="13:14" ht="14.25" customHeight="1">
      <c r="M6076"/>
      <c r="N6076"/>
    </row>
    <row r="6077" spans="13:14" ht="14.25" customHeight="1">
      <c r="M6077"/>
      <c r="N6077"/>
    </row>
    <row r="6078" spans="13:14" ht="14.25" customHeight="1">
      <c r="M6078"/>
      <c r="N6078"/>
    </row>
    <row r="6079" spans="13:14" ht="14.25" customHeight="1">
      <c r="M6079"/>
      <c r="N6079"/>
    </row>
    <row r="6080" spans="13:14" ht="14.25" customHeight="1">
      <c r="M6080"/>
      <c r="N6080"/>
    </row>
    <row r="6081" spans="13:14" ht="14.25" customHeight="1">
      <c r="M6081"/>
      <c r="N6081"/>
    </row>
    <row r="6082" spans="13:14" ht="14.25" customHeight="1">
      <c r="M6082"/>
      <c r="N6082"/>
    </row>
    <row r="6083" spans="13:14" ht="14.25" customHeight="1">
      <c r="M6083"/>
      <c r="N6083"/>
    </row>
    <row r="6084" spans="13:14" ht="14.25" customHeight="1">
      <c r="M6084"/>
      <c r="N6084"/>
    </row>
    <row r="6085" spans="13:14" ht="14.25" customHeight="1">
      <c r="M6085"/>
      <c r="N6085"/>
    </row>
    <row r="6086" spans="13:14" ht="14.25" customHeight="1">
      <c r="M6086"/>
      <c r="N6086"/>
    </row>
    <row r="6087" spans="13:14" ht="14.25" customHeight="1">
      <c r="M6087"/>
      <c r="N6087"/>
    </row>
    <row r="6088" spans="13:14" ht="14.25" customHeight="1">
      <c r="M6088"/>
      <c r="N6088"/>
    </row>
    <row r="6089" spans="13:14" ht="14.25" customHeight="1">
      <c r="M6089"/>
      <c r="N6089"/>
    </row>
    <row r="6090" spans="13:14" ht="14.25" customHeight="1">
      <c r="M6090"/>
      <c r="N6090"/>
    </row>
    <row r="6091" spans="13:14" ht="14.25" customHeight="1">
      <c r="M6091"/>
      <c r="N6091"/>
    </row>
    <row r="6092" spans="13:14" ht="14.25" customHeight="1">
      <c r="M6092"/>
      <c r="N6092"/>
    </row>
    <row r="6093" spans="13:14" ht="14.25" customHeight="1">
      <c r="M6093"/>
      <c r="N6093"/>
    </row>
    <row r="6094" spans="13:14" ht="14.25" customHeight="1">
      <c r="M6094"/>
      <c r="N6094"/>
    </row>
    <row r="6095" spans="13:14" ht="14.25" customHeight="1">
      <c r="M6095"/>
      <c r="N6095"/>
    </row>
    <row r="6096" spans="13:14" ht="14.25" customHeight="1">
      <c r="M6096"/>
      <c r="N6096"/>
    </row>
    <row r="6097" spans="13:14" ht="14.25" customHeight="1">
      <c r="M6097"/>
      <c r="N6097"/>
    </row>
    <row r="6098" spans="13:14" ht="14.25" customHeight="1">
      <c r="M6098"/>
      <c r="N6098"/>
    </row>
    <row r="6099" spans="13:14" ht="14.25" customHeight="1">
      <c r="M6099"/>
      <c r="N6099"/>
    </row>
    <row r="6100" spans="13:14" ht="14.25" customHeight="1">
      <c r="M6100"/>
      <c r="N6100"/>
    </row>
    <row r="6101" spans="13:14" ht="14.25" customHeight="1">
      <c r="M6101"/>
      <c r="N6101"/>
    </row>
    <row r="6102" spans="13:14" ht="14.25" customHeight="1">
      <c r="M6102"/>
      <c r="N6102"/>
    </row>
    <row r="6103" spans="13:14" ht="14.25" customHeight="1">
      <c r="M6103"/>
      <c r="N6103"/>
    </row>
    <row r="6104" spans="13:14" ht="14.25" customHeight="1">
      <c r="M6104"/>
      <c r="N6104"/>
    </row>
    <row r="6105" spans="13:14" ht="14.25" customHeight="1">
      <c r="M6105"/>
      <c r="N6105"/>
    </row>
    <row r="6106" spans="13:14" ht="14.25" customHeight="1">
      <c r="M6106"/>
      <c r="N6106"/>
    </row>
    <row r="6107" spans="13:14" ht="14.25" customHeight="1">
      <c r="M6107"/>
      <c r="N6107"/>
    </row>
    <row r="6108" spans="13:14" ht="14.25" customHeight="1">
      <c r="M6108"/>
      <c r="N6108"/>
    </row>
    <row r="6109" spans="13:14" ht="14.25" customHeight="1">
      <c r="M6109"/>
      <c r="N6109"/>
    </row>
    <row r="6110" spans="13:14" ht="14.25" customHeight="1">
      <c r="M6110"/>
      <c r="N6110"/>
    </row>
    <row r="6111" spans="13:14" ht="14.25" customHeight="1">
      <c r="M6111"/>
      <c r="N6111"/>
    </row>
    <row r="6112" spans="13:14" ht="14.25" customHeight="1">
      <c r="M6112"/>
      <c r="N6112"/>
    </row>
    <row r="6113" spans="13:14" ht="14.25" customHeight="1">
      <c r="M6113"/>
      <c r="N6113"/>
    </row>
    <row r="6114" spans="13:14" ht="14.25" customHeight="1">
      <c r="M6114"/>
      <c r="N6114"/>
    </row>
    <row r="6115" spans="13:14" ht="14.25" customHeight="1">
      <c r="M6115"/>
      <c r="N6115"/>
    </row>
    <row r="6116" spans="13:14" ht="14.25" customHeight="1">
      <c r="M6116"/>
      <c r="N6116"/>
    </row>
    <row r="6117" spans="13:14" ht="14.25" customHeight="1">
      <c r="M6117"/>
      <c r="N6117"/>
    </row>
    <row r="6118" spans="13:14" ht="14.25" customHeight="1">
      <c r="M6118"/>
      <c r="N6118"/>
    </row>
    <row r="6119" spans="13:14" ht="14.25" customHeight="1">
      <c r="M6119"/>
      <c r="N6119"/>
    </row>
    <row r="6120" spans="13:14" ht="14.25" customHeight="1">
      <c r="M6120"/>
      <c r="N6120"/>
    </row>
    <row r="6121" spans="13:14" ht="14.25" customHeight="1">
      <c r="M6121"/>
      <c r="N6121"/>
    </row>
    <row r="6122" spans="13:14" ht="14.25" customHeight="1">
      <c r="M6122"/>
      <c r="N6122"/>
    </row>
    <row r="6123" spans="13:14" ht="14.25" customHeight="1">
      <c r="M6123"/>
      <c r="N6123"/>
    </row>
    <row r="6124" spans="13:14" ht="14.25" customHeight="1">
      <c r="M6124"/>
      <c r="N6124"/>
    </row>
    <row r="6125" spans="13:14" ht="14.25" customHeight="1">
      <c r="M6125"/>
      <c r="N6125"/>
    </row>
    <row r="6126" spans="13:14" ht="14.25" customHeight="1">
      <c r="M6126"/>
      <c r="N6126"/>
    </row>
    <row r="6127" spans="13:14" ht="14.25" customHeight="1">
      <c r="M6127"/>
      <c r="N6127"/>
    </row>
    <row r="6128" spans="13:14" ht="14.25" customHeight="1">
      <c r="M6128"/>
      <c r="N6128"/>
    </row>
    <row r="6129" spans="13:14" ht="14.25" customHeight="1">
      <c r="M6129"/>
      <c r="N6129"/>
    </row>
    <row r="6130" spans="13:14" ht="14.25" customHeight="1">
      <c r="M6130"/>
      <c r="N6130"/>
    </row>
    <row r="6131" spans="13:14" ht="14.25" customHeight="1">
      <c r="M6131"/>
      <c r="N6131"/>
    </row>
    <row r="6132" spans="13:14" ht="14.25" customHeight="1">
      <c r="M6132"/>
      <c r="N6132"/>
    </row>
    <row r="6133" spans="13:14" ht="14.25" customHeight="1">
      <c r="M6133"/>
      <c r="N6133"/>
    </row>
    <row r="6134" spans="13:14" ht="14.25" customHeight="1">
      <c r="M6134"/>
      <c r="N6134"/>
    </row>
    <row r="6135" spans="13:14" ht="14.25" customHeight="1">
      <c r="M6135"/>
      <c r="N6135"/>
    </row>
    <row r="6136" spans="13:14" ht="14.25" customHeight="1">
      <c r="M6136"/>
      <c r="N6136"/>
    </row>
    <row r="6137" spans="13:14" ht="14.25" customHeight="1">
      <c r="M6137"/>
      <c r="N6137"/>
    </row>
    <row r="6138" spans="13:14" ht="14.25" customHeight="1">
      <c r="M6138"/>
      <c r="N6138"/>
    </row>
    <row r="6139" spans="13:14" ht="14.25" customHeight="1">
      <c r="M6139"/>
      <c r="N6139"/>
    </row>
    <row r="6140" spans="13:14" ht="14.25" customHeight="1">
      <c r="M6140"/>
      <c r="N6140"/>
    </row>
    <row r="6141" spans="13:14" ht="14.25" customHeight="1">
      <c r="M6141"/>
      <c r="N6141"/>
    </row>
    <row r="6142" spans="13:14" ht="14.25" customHeight="1">
      <c r="M6142"/>
      <c r="N6142"/>
    </row>
    <row r="6143" spans="13:14" ht="14.25" customHeight="1">
      <c r="M6143"/>
      <c r="N6143"/>
    </row>
    <row r="6144" spans="13:14" ht="14.25" customHeight="1">
      <c r="M6144"/>
      <c r="N6144"/>
    </row>
    <row r="6145" spans="13:14" ht="14.25" customHeight="1">
      <c r="M6145"/>
      <c r="N6145"/>
    </row>
    <row r="6146" spans="13:14" ht="14.25" customHeight="1">
      <c r="M6146"/>
      <c r="N6146"/>
    </row>
    <row r="6147" spans="13:14" ht="14.25" customHeight="1">
      <c r="M6147"/>
      <c r="N6147"/>
    </row>
    <row r="6148" spans="13:14" ht="14.25" customHeight="1">
      <c r="M6148"/>
      <c r="N6148"/>
    </row>
    <row r="6149" spans="13:14" ht="14.25" customHeight="1">
      <c r="M6149"/>
      <c r="N6149"/>
    </row>
    <row r="6150" spans="13:14" ht="14.25" customHeight="1">
      <c r="M6150"/>
      <c r="N6150"/>
    </row>
    <row r="6151" spans="13:14" ht="14.25" customHeight="1">
      <c r="M6151"/>
      <c r="N6151"/>
    </row>
    <row r="6152" spans="13:14" ht="14.25" customHeight="1">
      <c r="M6152"/>
      <c r="N6152"/>
    </row>
    <row r="6153" spans="13:14" ht="14.25" customHeight="1">
      <c r="M6153"/>
      <c r="N6153"/>
    </row>
    <row r="6154" spans="13:14" ht="14.25" customHeight="1">
      <c r="M6154"/>
      <c r="N6154"/>
    </row>
    <row r="6155" spans="13:14" ht="14.25" customHeight="1">
      <c r="M6155"/>
      <c r="N6155"/>
    </row>
    <row r="6156" spans="13:14" ht="14.25" customHeight="1">
      <c r="M6156"/>
      <c r="N6156"/>
    </row>
    <row r="6157" spans="13:14" ht="14.25" customHeight="1">
      <c r="M6157"/>
      <c r="N6157"/>
    </row>
    <row r="6158" spans="13:14" ht="14.25" customHeight="1">
      <c r="M6158"/>
      <c r="N6158"/>
    </row>
    <row r="6159" spans="13:14" ht="14.25" customHeight="1">
      <c r="M6159"/>
      <c r="N6159"/>
    </row>
    <row r="6160" spans="13:14" ht="14.25" customHeight="1">
      <c r="M6160"/>
      <c r="N6160"/>
    </row>
    <row r="6161" spans="13:14" ht="14.25" customHeight="1">
      <c r="M6161"/>
      <c r="N6161"/>
    </row>
    <row r="6162" spans="13:14" ht="14.25" customHeight="1">
      <c r="M6162"/>
      <c r="N6162"/>
    </row>
    <row r="6163" spans="13:14" ht="14.25" customHeight="1">
      <c r="M6163"/>
      <c r="N6163"/>
    </row>
    <row r="6164" spans="13:14" ht="14.25" customHeight="1">
      <c r="M6164"/>
      <c r="N6164"/>
    </row>
    <row r="6165" spans="13:14" ht="14.25" customHeight="1">
      <c r="M6165"/>
      <c r="N6165"/>
    </row>
    <row r="6166" spans="13:14" ht="14.25" customHeight="1">
      <c r="M6166"/>
      <c r="N6166"/>
    </row>
    <row r="6167" spans="13:14" ht="14.25" customHeight="1">
      <c r="M6167"/>
      <c r="N6167"/>
    </row>
    <row r="6168" spans="13:14" ht="14.25" customHeight="1">
      <c r="M6168"/>
      <c r="N6168"/>
    </row>
    <row r="6169" spans="13:14" ht="14.25" customHeight="1">
      <c r="M6169"/>
      <c r="N6169"/>
    </row>
    <row r="6170" spans="13:14" ht="14.25" customHeight="1">
      <c r="M6170"/>
      <c r="N6170"/>
    </row>
    <row r="6171" spans="13:14" ht="14.25" customHeight="1">
      <c r="M6171"/>
      <c r="N6171"/>
    </row>
    <row r="6172" spans="13:14" ht="14.25" customHeight="1">
      <c r="M6172"/>
      <c r="N6172"/>
    </row>
    <row r="6173" spans="13:14" ht="14.25" customHeight="1">
      <c r="M6173"/>
      <c r="N6173"/>
    </row>
    <row r="6174" spans="13:14" ht="14.25" customHeight="1">
      <c r="M6174"/>
      <c r="N6174"/>
    </row>
    <row r="6175" spans="13:14" ht="14.25" customHeight="1">
      <c r="M6175"/>
      <c r="N6175"/>
    </row>
    <row r="6176" spans="13:14" ht="14.25" customHeight="1">
      <c r="M6176"/>
      <c r="N6176"/>
    </row>
    <row r="6177" spans="13:14" ht="14.25" customHeight="1">
      <c r="M6177"/>
      <c r="N6177"/>
    </row>
    <row r="6178" spans="13:14" ht="14.25" customHeight="1">
      <c r="M6178"/>
      <c r="N6178"/>
    </row>
    <row r="6179" spans="13:14" ht="14.25" customHeight="1">
      <c r="M6179"/>
      <c r="N6179"/>
    </row>
    <row r="6180" spans="13:14" ht="14.25" customHeight="1">
      <c r="M6180"/>
      <c r="N6180"/>
    </row>
    <row r="6181" spans="13:14" ht="14.25" customHeight="1">
      <c r="M6181"/>
      <c r="N6181"/>
    </row>
    <row r="6182" spans="13:14" ht="14.25" customHeight="1">
      <c r="M6182"/>
      <c r="N6182"/>
    </row>
    <row r="6183" spans="13:14" ht="14.25" customHeight="1">
      <c r="M6183"/>
      <c r="N6183"/>
    </row>
    <row r="6184" spans="13:14" ht="14.25" customHeight="1">
      <c r="M6184"/>
      <c r="N6184"/>
    </row>
    <row r="6185" spans="13:14" ht="14.25" customHeight="1">
      <c r="M6185"/>
      <c r="N6185"/>
    </row>
    <row r="6186" spans="13:14" ht="14.25" customHeight="1">
      <c r="M6186"/>
      <c r="N6186"/>
    </row>
    <row r="6187" spans="13:14" ht="14.25" customHeight="1">
      <c r="M6187"/>
      <c r="N6187"/>
    </row>
    <row r="6188" spans="13:14" ht="14.25" customHeight="1">
      <c r="M6188"/>
      <c r="N6188"/>
    </row>
    <row r="6189" spans="13:14" ht="14.25" customHeight="1">
      <c r="M6189"/>
      <c r="N6189"/>
    </row>
    <row r="6190" spans="13:14" ht="14.25" customHeight="1">
      <c r="M6190"/>
      <c r="N6190"/>
    </row>
    <row r="6191" spans="13:14" ht="14.25" customHeight="1">
      <c r="M6191"/>
      <c r="N6191"/>
    </row>
    <row r="6192" spans="13:14" ht="14.25" customHeight="1">
      <c r="M6192"/>
      <c r="N6192"/>
    </row>
    <row r="6193" spans="13:14" ht="14.25" customHeight="1">
      <c r="M6193"/>
      <c r="N6193"/>
    </row>
    <row r="6194" spans="13:14" ht="14.25" customHeight="1">
      <c r="M6194"/>
      <c r="N6194"/>
    </row>
    <row r="6195" spans="13:14" ht="14.25" customHeight="1">
      <c r="M6195"/>
      <c r="N6195"/>
    </row>
    <row r="6196" spans="13:14" ht="14.25" customHeight="1">
      <c r="M6196"/>
      <c r="N6196"/>
    </row>
    <row r="6197" spans="13:14" ht="14.25" customHeight="1">
      <c r="M6197"/>
      <c r="N6197"/>
    </row>
    <row r="6198" spans="13:14" ht="14.25" customHeight="1">
      <c r="M6198"/>
      <c r="N6198"/>
    </row>
    <row r="6199" spans="13:14" ht="14.25" customHeight="1">
      <c r="M6199"/>
      <c r="N6199"/>
    </row>
    <row r="6200" spans="13:14" ht="14.25" customHeight="1">
      <c r="M6200"/>
      <c r="N6200"/>
    </row>
    <row r="6201" spans="13:14" ht="14.25" customHeight="1">
      <c r="M6201"/>
      <c r="N6201"/>
    </row>
    <row r="6202" spans="13:14" ht="14.25" customHeight="1">
      <c r="M6202"/>
      <c r="N6202"/>
    </row>
    <row r="6203" spans="13:14" ht="14.25" customHeight="1">
      <c r="M6203"/>
      <c r="N6203"/>
    </row>
    <row r="6204" spans="13:14" ht="14.25" customHeight="1">
      <c r="M6204"/>
      <c r="N6204"/>
    </row>
    <row r="6205" spans="13:14" ht="14.25" customHeight="1">
      <c r="M6205"/>
      <c r="N6205"/>
    </row>
    <row r="6206" spans="13:14" ht="14.25" customHeight="1">
      <c r="M6206"/>
      <c r="N6206"/>
    </row>
    <row r="6207" spans="13:14" ht="14.25" customHeight="1">
      <c r="M6207"/>
      <c r="N6207"/>
    </row>
    <row r="6208" spans="13:14" ht="14.25" customHeight="1">
      <c r="M6208"/>
      <c r="N6208"/>
    </row>
    <row r="6209" spans="13:14" ht="14.25" customHeight="1">
      <c r="M6209"/>
      <c r="N6209"/>
    </row>
    <row r="6210" spans="13:14" ht="14.25" customHeight="1">
      <c r="M6210"/>
      <c r="N6210"/>
    </row>
    <row r="6211" spans="13:14" ht="14.25" customHeight="1">
      <c r="M6211"/>
      <c r="N6211"/>
    </row>
    <row r="6212" spans="13:14" ht="14.25" customHeight="1">
      <c r="M6212"/>
      <c r="N6212"/>
    </row>
    <row r="6213" spans="13:14" ht="14.25" customHeight="1">
      <c r="M6213"/>
      <c r="N6213"/>
    </row>
    <row r="6214" spans="13:14" ht="14.25" customHeight="1">
      <c r="M6214"/>
      <c r="N6214"/>
    </row>
    <row r="6215" spans="13:14" ht="14.25" customHeight="1">
      <c r="M6215"/>
      <c r="N6215"/>
    </row>
    <row r="6216" spans="13:14" ht="14.25" customHeight="1">
      <c r="M6216"/>
      <c r="N6216"/>
    </row>
    <row r="6217" spans="13:14" ht="14.25" customHeight="1">
      <c r="M6217"/>
      <c r="N6217"/>
    </row>
    <row r="6218" spans="13:14" ht="14.25" customHeight="1">
      <c r="M6218"/>
      <c r="N6218"/>
    </row>
    <row r="6219" spans="13:14" ht="14.25" customHeight="1">
      <c r="M6219"/>
      <c r="N6219"/>
    </row>
    <row r="6220" spans="13:14" ht="14.25" customHeight="1">
      <c r="M6220"/>
      <c r="N6220"/>
    </row>
    <row r="6221" spans="13:14" ht="14.25" customHeight="1">
      <c r="M6221"/>
      <c r="N6221"/>
    </row>
    <row r="6222" spans="13:14" ht="14.25" customHeight="1">
      <c r="M6222"/>
      <c r="N6222"/>
    </row>
    <row r="6223" spans="13:14" ht="14.25" customHeight="1">
      <c r="M6223"/>
      <c r="N6223"/>
    </row>
    <row r="6224" spans="13:14" ht="14.25" customHeight="1">
      <c r="M6224"/>
      <c r="N6224"/>
    </row>
    <row r="6225" spans="13:14" ht="14.25" customHeight="1">
      <c r="M6225"/>
      <c r="N6225"/>
    </row>
    <row r="6226" spans="13:14" ht="14.25" customHeight="1">
      <c r="M6226"/>
      <c r="N6226"/>
    </row>
    <row r="6227" spans="13:14" ht="14.25" customHeight="1">
      <c r="M6227"/>
      <c r="N6227"/>
    </row>
    <row r="6228" spans="13:14" ht="14.25" customHeight="1">
      <c r="M6228"/>
      <c r="N6228"/>
    </row>
    <row r="6229" spans="13:14" ht="14.25" customHeight="1">
      <c r="M6229"/>
      <c r="N6229"/>
    </row>
    <row r="6230" spans="13:14" ht="14.25" customHeight="1">
      <c r="M6230"/>
      <c r="N6230"/>
    </row>
    <row r="6231" spans="13:14" ht="14.25" customHeight="1">
      <c r="M6231"/>
      <c r="N6231"/>
    </row>
    <row r="6232" spans="13:14" ht="14.25" customHeight="1">
      <c r="M6232"/>
      <c r="N6232"/>
    </row>
    <row r="6233" spans="13:14" ht="14.25" customHeight="1">
      <c r="M6233"/>
      <c r="N6233"/>
    </row>
    <row r="6234" spans="13:14" ht="14.25" customHeight="1">
      <c r="M6234"/>
      <c r="N6234"/>
    </row>
    <row r="6235" spans="13:14" ht="14.25" customHeight="1">
      <c r="M6235"/>
      <c r="N6235"/>
    </row>
    <row r="6236" spans="13:14" ht="14.25" customHeight="1">
      <c r="M6236"/>
      <c r="N6236"/>
    </row>
    <row r="6237" spans="13:14" ht="14.25" customHeight="1">
      <c r="M6237"/>
      <c r="N6237"/>
    </row>
    <row r="6238" spans="13:14" ht="14.25" customHeight="1">
      <c r="M6238"/>
      <c r="N6238"/>
    </row>
    <row r="6239" spans="13:14" ht="14.25" customHeight="1">
      <c r="M6239"/>
      <c r="N6239"/>
    </row>
    <row r="6240" spans="13:14" ht="14.25" customHeight="1">
      <c r="M6240"/>
      <c r="N6240"/>
    </row>
    <row r="6241" spans="13:14" ht="14.25" customHeight="1">
      <c r="M6241"/>
      <c r="N6241"/>
    </row>
    <row r="6242" spans="13:14" ht="14.25" customHeight="1">
      <c r="M6242"/>
      <c r="N6242"/>
    </row>
    <row r="6243" spans="13:14" ht="14.25" customHeight="1">
      <c r="M6243"/>
      <c r="N6243"/>
    </row>
    <row r="6244" spans="13:14" ht="14.25" customHeight="1">
      <c r="M6244"/>
      <c r="N6244"/>
    </row>
    <row r="6245" spans="13:14" ht="14.25" customHeight="1">
      <c r="M6245"/>
      <c r="N6245"/>
    </row>
    <row r="6246" spans="13:14" ht="14.25" customHeight="1">
      <c r="M6246"/>
      <c r="N6246"/>
    </row>
    <row r="6247" spans="13:14" ht="14.25" customHeight="1">
      <c r="M6247"/>
      <c r="N6247"/>
    </row>
    <row r="6248" spans="13:14" ht="14.25" customHeight="1">
      <c r="M6248"/>
      <c r="N6248"/>
    </row>
    <row r="6249" spans="13:14" ht="14.25" customHeight="1">
      <c r="M6249"/>
      <c r="N6249"/>
    </row>
    <row r="6250" spans="13:14" ht="14.25" customHeight="1">
      <c r="M6250"/>
      <c r="N6250"/>
    </row>
    <row r="6251" spans="13:14" ht="14.25" customHeight="1">
      <c r="M6251"/>
      <c r="N6251"/>
    </row>
    <row r="6252" spans="13:14" ht="14.25" customHeight="1">
      <c r="M6252"/>
      <c r="N6252"/>
    </row>
    <row r="6253" spans="13:14" ht="14.25" customHeight="1">
      <c r="M6253"/>
      <c r="N6253"/>
    </row>
    <row r="6254" spans="13:14" ht="14.25" customHeight="1">
      <c r="M6254"/>
      <c r="N6254"/>
    </row>
    <row r="6255" spans="13:14" ht="14.25" customHeight="1">
      <c r="M6255"/>
      <c r="N6255"/>
    </row>
    <row r="6256" spans="13:14" ht="14.25" customHeight="1">
      <c r="M6256"/>
      <c r="N6256"/>
    </row>
  </sheetData>
  <mergeCells count="1">
    <mergeCell ref="J1:O1"/>
  </mergeCells>
  <phoneticPr fontId="7" type="noConversion"/>
  <dataValidations count="4">
    <dataValidation type="list" allowBlank="1" showInputMessage="1" showErrorMessage="1" sqref="P2:P149" xr:uid="{BBEE060F-B180-46D8-BB7E-4A0F82BF7F07}">
      <formula1>GCmethod</formula1>
    </dataValidation>
    <dataValidation type="list" allowBlank="1" showInputMessage="1" showErrorMessage="1" sqref="G2:H65145" xr:uid="{DF8F2150-7637-412C-9737-0FAA19F4FE16}">
      <formula1>IS</formula1>
    </dataValidation>
    <dataValidation type="list" allowBlank="1" showInputMessage="1" showErrorMessage="1" sqref="I2:I65145" xr:uid="{7EF559C5-409B-400C-86D6-B092876104E2}">
      <formula1>protocol</formula1>
    </dataValidation>
    <dataValidation type="list" allowBlank="1" showInputMessage="1" showErrorMessage="1" sqref="L2:L65145 E2:E65145" xr:uid="{385A4C6D-B616-47E2-BC94-3F915E77BC0A}">
      <formula1>Storage</formula1>
    </dataValidation>
  </dataValidations>
  <pageMargins left="0.70866141732283472" right="0.70866141732283472" top="0.74803149606299213" bottom="0.74803149606299213" header="0.31496062992125984" footer="0.31496062992125984"/>
  <pageSetup paperSize="9" scale="88" orientation="landscape" horizontalDpi="300" verticalDpi="300" r:id="rId1"/>
  <colBreaks count="2" manualBreakCount="2">
    <brk id="11" min="1" max="97" man="1"/>
    <brk id="14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482CA-0E01-4F3A-90BC-927DEB50EEA9}">
  <dimension ref="A1:AB129"/>
  <sheetViews>
    <sheetView topLeftCell="A34" zoomScale="95" zoomScaleNormal="95" workbookViewId="0">
      <selection activeCell="A4" sqref="A4:AB129"/>
    </sheetView>
  </sheetViews>
  <sheetFormatPr defaultRowHeight="14.4"/>
  <cols>
    <col min="1" max="1" width="9.6640625" customWidth="1"/>
    <col min="2" max="2" width="20" customWidth="1"/>
    <col min="3" max="3" width="22" bestFit="1" customWidth="1"/>
    <col min="4" max="4" width="30.6640625" bestFit="1" customWidth="1"/>
    <col min="7" max="9" width="17.33203125" customWidth="1"/>
    <col min="10" max="10" width="9.6640625" bestFit="1" customWidth="1"/>
    <col min="11" max="11" width="15.33203125" bestFit="1" customWidth="1"/>
    <col min="12" max="12" width="14.33203125" bestFit="1" customWidth="1"/>
    <col min="13" max="14" width="14.33203125" customWidth="1"/>
    <col min="15" max="15" width="11.33203125" customWidth="1"/>
    <col min="17" max="17" width="19.33203125" customWidth="1"/>
    <col min="18" max="18" width="20.44140625" bestFit="1" customWidth="1"/>
    <col min="19" max="19" width="20.44140625" customWidth="1"/>
    <col min="20" max="20" width="31.109375" bestFit="1" customWidth="1"/>
    <col min="21" max="22" width="17.33203125" customWidth="1"/>
    <col min="23" max="23" width="32.6640625" customWidth="1"/>
    <col min="24" max="24" width="23.33203125" customWidth="1"/>
    <col min="25" max="25" width="21.6640625" customWidth="1"/>
    <col min="26" max="26" width="26.33203125" bestFit="1" customWidth="1"/>
    <col min="27" max="27" width="26.33203125" style="39" customWidth="1"/>
    <col min="28" max="28" width="26.33203125" customWidth="1"/>
  </cols>
  <sheetData>
    <row r="1" spans="1:28" ht="28.95" customHeight="1">
      <c r="A1" s="507" t="s">
        <v>32</v>
      </c>
      <c r="B1" s="509" t="s">
        <v>33</v>
      </c>
      <c r="C1" s="509" t="s">
        <v>34</v>
      </c>
      <c r="D1" s="511" t="s">
        <v>35</v>
      </c>
      <c r="E1" s="512" t="s">
        <v>36</v>
      </c>
      <c r="F1" s="505" t="s">
        <v>37</v>
      </c>
      <c r="G1" s="497" t="s">
        <v>148</v>
      </c>
      <c r="H1" s="503" t="s">
        <v>24</v>
      </c>
      <c r="I1" s="503" t="s">
        <v>25</v>
      </c>
      <c r="J1" s="491" t="s">
        <v>175</v>
      </c>
      <c r="K1" s="491" t="s">
        <v>26</v>
      </c>
      <c r="L1" s="491" t="s">
        <v>184</v>
      </c>
      <c r="M1" s="491" t="s">
        <v>173</v>
      </c>
      <c r="N1" s="491" t="s">
        <v>172</v>
      </c>
      <c r="O1" s="491" t="s">
        <v>27</v>
      </c>
      <c r="P1" s="491" t="s">
        <v>149</v>
      </c>
      <c r="Q1" s="491" t="s">
        <v>153</v>
      </c>
      <c r="R1" s="500" t="s">
        <v>150</v>
      </c>
      <c r="S1" s="489" t="s">
        <v>185</v>
      </c>
      <c r="T1" s="501" t="s">
        <v>186</v>
      </c>
      <c r="U1" s="495" t="s">
        <v>151</v>
      </c>
      <c r="V1" s="491" t="s">
        <v>166</v>
      </c>
      <c r="W1" s="491" t="s">
        <v>169</v>
      </c>
      <c r="X1" s="491" t="s">
        <v>168</v>
      </c>
      <c r="Y1" s="495" t="s">
        <v>167</v>
      </c>
      <c r="Z1" s="496" t="s">
        <v>152</v>
      </c>
      <c r="AA1" s="494" t="s">
        <v>170</v>
      </c>
      <c r="AB1" s="494" t="s">
        <v>171</v>
      </c>
    </row>
    <row r="2" spans="1:28" ht="28.95" customHeight="1">
      <c r="A2" s="508"/>
      <c r="B2" s="510"/>
      <c r="C2" s="510"/>
      <c r="D2" s="510"/>
      <c r="E2" s="513"/>
      <c r="F2" s="503"/>
      <c r="G2" s="498"/>
      <c r="H2" s="503" t="s">
        <v>24</v>
      </c>
      <c r="I2" s="503" t="s">
        <v>25</v>
      </c>
      <c r="J2" s="492" t="s">
        <v>175</v>
      </c>
      <c r="K2" s="492" t="s">
        <v>26</v>
      </c>
      <c r="L2" s="492" t="s">
        <v>184</v>
      </c>
      <c r="M2" s="492"/>
      <c r="N2" s="492" t="s">
        <v>172</v>
      </c>
      <c r="O2" s="492"/>
      <c r="P2" s="492"/>
      <c r="Q2" s="492"/>
      <c r="R2" s="489"/>
      <c r="S2" s="489"/>
      <c r="T2" s="501"/>
      <c r="U2" s="495"/>
      <c r="V2" s="492"/>
      <c r="W2" s="492"/>
      <c r="X2" s="492"/>
      <c r="Y2" s="495"/>
      <c r="Z2" s="496"/>
      <c r="AA2" s="494"/>
      <c r="AB2" s="494"/>
    </row>
    <row r="3" spans="1:28" ht="28.95" customHeight="1">
      <c r="A3" s="508"/>
      <c r="B3" s="506"/>
      <c r="C3" s="506"/>
      <c r="D3" s="510"/>
      <c r="E3" s="506"/>
      <c r="F3" s="506"/>
      <c r="G3" s="499"/>
      <c r="H3" s="504" t="s">
        <v>24</v>
      </c>
      <c r="I3" s="504" t="s">
        <v>25</v>
      </c>
      <c r="J3" s="493" t="s">
        <v>175</v>
      </c>
      <c r="K3" s="493" t="s">
        <v>26</v>
      </c>
      <c r="L3" s="493" t="s">
        <v>184</v>
      </c>
      <c r="M3" s="493"/>
      <c r="N3" s="493" t="s">
        <v>172</v>
      </c>
      <c r="O3" s="493"/>
      <c r="P3" s="493"/>
      <c r="Q3" s="493"/>
      <c r="R3" s="490"/>
      <c r="S3" s="490"/>
      <c r="T3" s="502"/>
      <c r="U3" s="495"/>
      <c r="V3" s="493"/>
      <c r="W3" s="493"/>
      <c r="X3" s="493"/>
      <c r="Y3" s="495"/>
      <c r="Z3" s="496"/>
      <c r="AA3" s="494"/>
      <c r="AB3" s="494"/>
    </row>
    <row r="4" spans="1:28">
      <c r="A4" s="110"/>
      <c r="B4" s="107"/>
      <c r="C4" s="89"/>
      <c r="D4" s="92"/>
      <c r="E4" s="90"/>
      <c r="F4" s="90"/>
      <c r="G4" s="90"/>
      <c r="H4" s="92"/>
      <c r="I4" s="92"/>
      <c r="J4" s="92"/>
      <c r="K4" s="273"/>
      <c r="L4" s="279"/>
      <c r="M4" s="282"/>
      <c r="N4" s="346"/>
      <c r="O4" s="157"/>
      <c r="P4" s="91"/>
      <c r="Q4" s="458"/>
      <c r="R4" s="164"/>
      <c r="S4" s="164"/>
      <c r="T4" s="164"/>
      <c r="U4" s="164"/>
      <c r="V4" s="164"/>
      <c r="W4" s="265"/>
      <c r="X4" s="265"/>
      <c r="Y4" s="265"/>
      <c r="Z4" s="262"/>
      <c r="AA4" s="266"/>
      <c r="AB4" s="266"/>
    </row>
    <row r="5" spans="1:28">
      <c r="A5" s="110"/>
      <c r="B5" s="107"/>
      <c r="C5" s="89"/>
      <c r="D5" s="92"/>
      <c r="E5" s="90"/>
      <c r="F5" s="90"/>
      <c r="G5" s="90"/>
      <c r="H5" s="92"/>
      <c r="I5" s="92"/>
      <c r="J5" s="92"/>
      <c r="K5" s="273"/>
      <c r="L5" s="279"/>
      <c r="M5" s="282"/>
      <c r="N5" s="346"/>
      <c r="O5" s="157"/>
      <c r="P5" s="91"/>
      <c r="Q5" s="458"/>
      <c r="R5" s="164"/>
      <c r="S5" s="164"/>
      <c r="T5" s="164"/>
      <c r="U5" s="164"/>
      <c r="V5" s="164"/>
      <c r="W5" s="265"/>
      <c r="X5" s="265"/>
      <c r="Y5" s="265"/>
      <c r="Z5" s="262"/>
      <c r="AA5" s="266"/>
      <c r="AB5" s="266"/>
    </row>
    <row r="6" spans="1:28">
      <c r="A6" s="110"/>
      <c r="B6" s="107"/>
      <c r="C6" s="89"/>
      <c r="D6" s="92"/>
      <c r="E6" s="90"/>
      <c r="F6" s="90"/>
      <c r="G6" s="90"/>
      <c r="H6" s="92"/>
      <c r="I6" s="92"/>
      <c r="J6" s="92"/>
      <c r="K6" s="273"/>
      <c r="L6" s="279"/>
      <c r="M6" s="282"/>
      <c r="N6" s="346"/>
      <c r="O6" s="157"/>
      <c r="P6" s="91"/>
      <c r="Q6" s="458"/>
      <c r="R6" s="164"/>
      <c r="S6" s="164"/>
      <c r="T6" s="164"/>
      <c r="U6" s="164"/>
      <c r="V6" s="164"/>
      <c r="W6" s="265"/>
      <c r="X6" s="265"/>
      <c r="Y6" s="265"/>
      <c r="Z6" s="262"/>
      <c r="AA6" s="266"/>
      <c r="AB6" s="266"/>
    </row>
    <row r="7" spans="1:28">
      <c r="A7" s="110"/>
      <c r="B7" s="107"/>
      <c r="C7" s="89"/>
      <c r="D7" s="92"/>
      <c r="E7" s="90"/>
      <c r="F7" s="90"/>
      <c r="G7" s="90"/>
      <c r="H7" s="92"/>
      <c r="I7" s="92"/>
      <c r="J7" s="92"/>
      <c r="K7" s="273"/>
      <c r="L7" s="279"/>
      <c r="M7" s="282"/>
      <c r="N7" s="347"/>
      <c r="O7" s="157"/>
      <c r="P7" s="91"/>
      <c r="Q7" s="458"/>
      <c r="R7" s="164"/>
      <c r="S7" s="164"/>
      <c r="T7" s="164"/>
      <c r="U7" s="164"/>
      <c r="V7" s="164"/>
      <c r="W7" s="265"/>
      <c r="X7" s="265"/>
      <c r="Y7" s="265"/>
      <c r="Z7" s="262"/>
      <c r="AA7" s="266"/>
      <c r="AB7" s="266"/>
    </row>
    <row r="8" spans="1:28">
      <c r="A8" s="110"/>
      <c r="B8" s="107"/>
      <c r="C8" s="89"/>
      <c r="D8" s="92"/>
      <c r="E8" s="90"/>
      <c r="F8" s="90"/>
      <c r="G8" s="90"/>
      <c r="H8" s="92"/>
      <c r="I8" s="92"/>
      <c r="J8" s="92"/>
      <c r="K8" s="273"/>
      <c r="L8" s="279"/>
      <c r="M8" s="282"/>
      <c r="N8" s="347"/>
      <c r="O8" s="157"/>
      <c r="P8" s="91"/>
      <c r="Q8" s="458"/>
      <c r="R8" s="164"/>
      <c r="S8" s="164"/>
      <c r="T8" s="164"/>
      <c r="U8" s="164"/>
      <c r="V8" s="164"/>
      <c r="W8" s="265"/>
      <c r="X8" s="265"/>
      <c r="Y8" s="265"/>
      <c r="Z8" s="262"/>
      <c r="AA8" s="266"/>
      <c r="AB8" s="266"/>
    </row>
    <row r="9" spans="1:28">
      <c r="A9" s="110"/>
      <c r="B9" s="107"/>
      <c r="C9" s="89"/>
      <c r="D9" s="92"/>
      <c r="E9" s="90"/>
      <c r="F9" s="90"/>
      <c r="G9" s="90"/>
      <c r="H9" s="92"/>
      <c r="I9" s="92"/>
      <c r="J9" s="92"/>
      <c r="K9" s="273"/>
      <c r="L9" s="279"/>
      <c r="M9" s="282"/>
      <c r="N9" s="347"/>
      <c r="O9" s="157"/>
      <c r="P9" s="91"/>
      <c r="Q9" s="458"/>
      <c r="R9" s="164"/>
      <c r="S9" s="164"/>
      <c r="T9" s="164"/>
      <c r="U9" s="164"/>
      <c r="V9" s="164"/>
      <c r="W9" s="265"/>
      <c r="X9" s="265"/>
      <c r="Y9" s="265"/>
      <c r="Z9" s="262"/>
      <c r="AA9" s="266"/>
      <c r="AB9" s="266"/>
    </row>
    <row r="10" spans="1:28">
      <c r="A10" s="110"/>
      <c r="B10" s="107"/>
      <c r="C10" s="89"/>
      <c r="D10" s="92"/>
      <c r="E10" s="90"/>
      <c r="F10" s="90"/>
      <c r="G10" s="90"/>
      <c r="H10" s="92"/>
      <c r="I10" s="92"/>
      <c r="J10" s="92"/>
      <c r="K10" s="273"/>
      <c r="L10" s="279"/>
      <c r="M10" s="282"/>
      <c r="N10" s="347"/>
      <c r="O10" s="157"/>
      <c r="P10" s="91"/>
      <c r="Q10" s="458"/>
      <c r="R10" s="164"/>
      <c r="S10" s="164"/>
      <c r="T10" s="164"/>
      <c r="U10" s="164"/>
      <c r="V10" s="164"/>
      <c r="W10" s="265"/>
      <c r="X10" s="265"/>
      <c r="Y10" s="265"/>
      <c r="Z10" s="262"/>
      <c r="AA10" s="266"/>
      <c r="AB10" s="266"/>
    </row>
    <row r="11" spans="1:28">
      <c r="A11" s="110"/>
      <c r="B11" s="107"/>
      <c r="C11" s="89"/>
      <c r="D11" s="92"/>
      <c r="E11" s="90"/>
      <c r="F11" s="90"/>
      <c r="G11" s="90"/>
      <c r="H11" s="92"/>
      <c r="I11" s="92"/>
      <c r="J11" s="92"/>
      <c r="K11" s="273"/>
      <c r="L11" s="279"/>
      <c r="M11" s="282"/>
      <c r="N11" s="347"/>
      <c r="O11" s="157"/>
      <c r="P11" s="91"/>
      <c r="Q11" s="458"/>
      <c r="R11" s="164"/>
      <c r="S11" s="164"/>
      <c r="T11" s="164"/>
      <c r="U11" s="164"/>
      <c r="V11" s="164"/>
      <c r="W11" s="265"/>
      <c r="X11" s="265"/>
      <c r="Y11" s="265"/>
      <c r="Z11" s="262"/>
      <c r="AA11" s="266"/>
      <c r="AB11" s="266"/>
    </row>
    <row r="12" spans="1:28">
      <c r="A12" s="110"/>
      <c r="B12" s="107"/>
      <c r="C12" s="89"/>
      <c r="D12" s="92"/>
      <c r="E12" s="90"/>
      <c r="F12" s="90"/>
      <c r="G12" s="90"/>
      <c r="H12" s="92"/>
      <c r="I12" s="92"/>
      <c r="J12" s="92"/>
      <c r="K12" s="273"/>
      <c r="L12" s="279"/>
      <c r="M12" s="282"/>
      <c r="N12" s="347"/>
      <c r="O12" s="157"/>
      <c r="P12" s="91"/>
      <c r="Q12" s="458"/>
      <c r="R12" s="164"/>
      <c r="S12" s="164"/>
      <c r="T12" s="164"/>
      <c r="U12" s="164"/>
      <c r="V12" s="164"/>
      <c r="W12" s="265"/>
      <c r="X12" s="265"/>
      <c r="Y12" s="265"/>
      <c r="Z12" s="262"/>
      <c r="AA12" s="266"/>
      <c r="AB12" s="266"/>
    </row>
    <row r="13" spans="1:28">
      <c r="A13" s="110"/>
      <c r="B13" s="107"/>
      <c r="C13" s="89"/>
      <c r="D13" s="107"/>
      <c r="E13" s="90"/>
      <c r="F13" s="90"/>
      <c r="G13" s="90"/>
      <c r="H13" s="92"/>
      <c r="I13" s="92"/>
      <c r="J13" s="92"/>
      <c r="K13" s="274"/>
      <c r="L13" s="279"/>
      <c r="M13" s="283"/>
      <c r="N13" s="346"/>
      <c r="O13" s="157"/>
      <c r="P13" s="91"/>
      <c r="Q13" s="458"/>
      <c r="R13" s="164"/>
      <c r="S13" s="164"/>
      <c r="T13" s="164"/>
      <c r="U13" s="164"/>
      <c r="V13" s="164"/>
      <c r="W13" s="265"/>
      <c r="X13" s="265"/>
      <c r="Y13" s="265"/>
      <c r="Z13" s="262"/>
      <c r="AA13" s="266"/>
      <c r="AB13" s="266"/>
    </row>
    <row r="14" spans="1:28">
      <c r="A14" s="110"/>
      <c r="B14" s="107"/>
      <c r="C14" s="89"/>
      <c r="D14" s="107"/>
      <c r="E14" s="90"/>
      <c r="F14" s="90"/>
      <c r="G14" s="90"/>
      <c r="H14" s="92"/>
      <c r="I14" s="92"/>
      <c r="J14" s="92"/>
      <c r="K14" s="274"/>
      <c r="L14" s="279"/>
      <c r="M14" s="283"/>
      <c r="N14" s="346"/>
      <c r="O14" s="157"/>
      <c r="P14" s="91"/>
      <c r="Q14" s="458"/>
      <c r="R14" s="164"/>
      <c r="S14" s="164"/>
      <c r="T14" s="164"/>
      <c r="U14" s="164"/>
      <c r="V14" s="164"/>
      <c r="W14" s="265"/>
      <c r="X14" s="265"/>
      <c r="Y14" s="265"/>
      <c r="Z14" s="262"/>
      <c r="AA14" s="266"/>
      <c r="AB14" s="266"/>
    </row>
    <row r="15" spans="1:28">
      <c r="A15" s="110"/>
      <c r="B15" s="107"/>
      <c r="C15" s="89"/>
      <c r="D15" s="107"/>
      <c r="E15" s="90"/>
      <c r="F15" s="90"/>
      <c r="G15" s="90"/>
      <c r="H15" s="92"/>
      <c r="I15" s="92"/>
      <c r="J15" s="92"/>
      <c r="K15" s="274"/>
      <c r="L15" s="279"/>
      <c r="M15" s="283"/>
      <c r="N15" s="346"/>
      <c r="O15" s="157"/>
      <c r="P15" s="91"/>
      <c r="Q15" s="458"/>
      <c r="R15" s="164"/>
      <c r="S15" s="164"/>
      <c r="T15" s="164"/>
      <c r="U15" s="164"/>
      <c r="V15" s="164"/>
      <c r="W15" s="265"/>
      <c r="X15" s="265"/>
      <c r="Y15" s="265"/>
      <c r="Z15" s="262"/>
      <c r="AA15" s="266"/>
      <c r="AB15" s="266"/>
    </row>
    <row r="16" spans="1:28">
      <c r="A16" s="110"/>
      <c r="B16" s="107"/>
      <c r="C16" s="89"/>
      <c r="D16" s="107"/>
      <c r="E16" s="90"/>
      <c r="F16" s="90"/>
      <c r="G16" s="90"/>
      <c r="H16" s="92"/>
      <c r="I16" s="92"/>
      <c r="J16" s="92"/>
      <c r="K16" s="274"/>
      <c r="L16" s="279"/>
      <c r="M16" s="283"/>
      <c r="N16" s="347"/>
      <c r="O16" s="157"/>
      <c r="P16" s="91"/>
      <c r="Q16" s="458"/>
      <c r="R16" s="164"/>
      <c r="S16" s="164"/>
      <c r="T16" s="164"/>
      <c r="U16" s="164"/>
      <c r="V16" s="164"/>
      <c r="W16" s="265"/>
      <c r="X16" s="265"/>
      <c r="Y16" s="265"/>
      <c r="Z16" s="262"/>
      <c r="AA16" s="266"/>
      <c r="AB16" s="266"/>
    </row>
    <row r="17" spans="1:28">
      <c r="A17" s="110"/>
      <c r="B17" s="107"/>
      <c r="C17" s="89"/>
      <c r="D17" s="107"/>
      <c r="E17" s="90"/>
      <c r="F17" s="90"/>
      <c r="G17" s="90"/>
      <c r="H17" s="92"/>
      <c r="I17" s="92"/>
      <c r="J17" s="92"/>
      <c r="K17" s="274"/>
      <c r="L17" s="279"/>
      <c r="M17" s="283"/>
      <c r="N17" s="347"/>
      <c r="O17" s="157"/>
      <c r="P17" s="91"/>
      <c r="Q17" s="458"/>
      <c r="R17" s="164"/>
      <c r="S17" s="164"/>
      <c r="T17" s="164"/>
      <c r="U17" s="164"/>
      <c r="V17" s="164"/>
      <c r="W17" s="265"/>
      <c r="X17" s="265"/>
      <c r="Y17" s="265"/>
      <c r="Z17" s="262"/>
      <c r="AA17" s="266"/>
      <c r="AB17" s="266"/>
    </row>
    <row r="18" spans="1:28">
      <c r="A18" s="110"/>
      <c r="B18" s="107"/>
      <c r="C18" s="89"/>
      <c r="D18" s="107"/>
      <c r="E18" s="90"/>
      <c r="F18" s="90"/>
      <c r="G18" s="90"/>
      <c r="H18" s="92"/>
      <c r="I18" s="92"/>
      <c r="J18" s="92"/>
      <c r="K18" s="274"/>
      <c r="L18" s="279"/>
      <c r="M18" s="283"/>
      <c r="N18" s="347"/>
      <c r="O18" s="157"/>
      <c r="P18" s="91"/>
      <c r="Q18" s="458"/>
      <c r="R18" s="164"/>
      <c r="S18" s="164"/>
      <c r="T18" s="164"/>
      <c r="U18" s="164"/>
      <c r="V18" s="164"/>
      <c r="W18" s="265"/>
      <c r="X18" s="265"/>
      <c r="Y18" s="265"/>
      <c r="Z18" s="262"/>
      <c r="AA18" s="266"/>
      <c r="AB18" s="266"/>
    </row>
    <row r="19" spans="1:28">
      <c r="A19" s="110"/>
      <c r="B19" s="107"/>
      <c r="C19" s="89"/>
      <c r="D19" s="107"/>
      <c r="E19" s="90"/>
      <c r="F19" s="90"/>
      <c r="G19" s="90"/>
      <c r="H19" s="92"/>
      <c r="I19" s="92"/>
      <c r="J19" s="92"/>
      <c r="K19" s="274"/>
      <c r="L19" s="279"/>
      <c r="M19" s="283"/>
      <c r="N19" s="347"/>
      <c r="O19" s="157"/>
      <c r="P19" s="91"/>
      <c r="Q19" s="458"/>
      <c r="R19" s="164"/>
      <c r="S19" s="164"/>
      <c r="T19" s="164"/>
      <c r="U19" s="164"/>
      <c r="V19" s="164"/>
      <c r="W19" s="265"/>
      <c r="X19" s="265"/>
      <c r="Y19" s="265"/>
      <c r="Z19" s="262"/>
      <c r="AA19" s="266"/>
      <c r="AB19" s="266"/>
    </row>
    <row r="20" spans="1:28">
      <c r="A20" s="110"/>
      <c r="B20" s="107"/>
      <c r="C20" s="89"/>
      <c r="D20" s="107"/>
      <c r="E20" s="90"/>
      <c r="F20" s="90"/>
      <c r="G20" s="90"/>
      <c r="H20" s="92"/>
      <c r="I20" s="92"/>
      <c r="J20" s="92"/>
      <c r="K20" s="274"/>
      <c r="L20" s="279"/>
      <c r="M20" s="283"/>
      <c r="N20" s="347"/>
      <c r="O20" s="157"/>
      <c r="P20" s="91"/>
      <c r="Q20" s="458"/>
      <c r="R20" s="164"/>
      <c r="S20" s="164"/>
      <c r="T20" s="164"/>
      <c r="U20" s="164"/>
      <c r="V20" s="164"/>
      <c r="W20" s="265"/>
      <c r="X20" s="265"/>
      <c r="Y20" s="265"/>
      <c r="Z20" s="262"/>
      <c r="AA20" s="266"/>
      <c r="AB20" s="266"/>
    </row>
    <row r="21" spans="1:28">
      <c r="A21" s="110"/>
      <c r="B21" s="107"/>
      <c r="C21" s="89"/>
      <c r="D21" s="107"/>
      <c r="E21" s="90"/>
      <c r="F21" s="90"/>
      <c r="G21" s="90"/>
      <c r="H21" s="92"/>
      <c r="I21" s="92"/>
      <c r="J21" s="92"/>
      <c r="K21" s="274"/>
      <c r="L21" s="279"/>
      <c r="M21" s="283"/>
      <c r="N21" s="347"/>
      <c r="O21" s="157"/>
      <c r="P21" s="91"/>
      <c r="Q21" s="458"/>
      <c r="R21" s="164"/>
      <c r="S21" s="164"/>
      <c r="T21" s="164"/>
      <c r="U21" s="164"/>
      <c r="V21" s="164"/>
      <c r="W21" s="265"/>
      <c r="X21" s="265"/>
      <c r="Y21" s="265"/>
      <c r="Z21" s="262"/>
      <c r="AA21" s="266"/>
      <c r="AB21" s="266"/>
    </row>
    <row r="22" spans="1:28">
      <c r="A22" s="110"/>
      <c r="B22" s="107"/>
      <c r="C22" s="89"/>
      <c r="D22" s="107"/>
      <c r="E22" s="90"/>
      <c r="F22" s="90"/>
      <c r="G22" s="90"/>
      <c r="H22" s="92"/>
      <c r="I22" s="92"/>
      <c r="J22" s="92"/>
      <c r="K22" s="275"/>
      <c r="L22" s="280"/>
      <c r="M22" s="284"/>
      <c r="N22" s="346"/>
      <c r="O22" s="157"/>
      <c r="P22" s="91"/>
      <c r="Q22" s="458"/>
      <c r="R22" s="164"/>
      <c r="S22" s="164"/>
      <c r="T22" s="164"/>
      <c r="U22" s="164"/>
      <c r="V22" s="164"/>
      <c r="W22" s="265"/>
      <c r="X22" s="265"/>
      <c r="Y22" s="265"/>
      <c r="Z22" s="262"/>
      <c r="AA22" s="266"/>
      <c r="AB22" s="266"/>
    </row>
    <row r="23" spans="1:28">
      <c r="A23" s="110"/>
      <c r="B23" s="107"/>
      <c r="C23" s="89"/>
      <c r="D23" s="107"/>
      <c r="E23" s="90"/>
      <c r="F23" s="90"/>
      <c r="G23" s="90"/>
      <c r="H23" s="92"/>
      <c r="I23" s="92"/>
      <c r="J23" s="92"/>
      <c r="K23" s="275"/>
      <c r="L23" s="280"/>
      <c r="M23" s="284"/>
      <c r="N23" s="346"/>
      <c r="O23" s="157"/>
      <c r="P23" s="91"/>
      <c r="Q23" s="458"/>
      <c r="R23" s="164"/>
      <c r="S23" s="164"/>
      <c r="T23" s="164"/>
      <c r="U23" s="164"/>
      <c r="V23" s="164"/>
      <c r="W23" s="265"/>
      <c r="X23" s="265"/>
      <c r="Y23" s="265"/>
      <c r="Z23" s="262"/>
      <c r="AA23" s="266"/>
      <c r="AB23" s="266"/>
    </row>
    <row r="24" spans="1:28">
      <c r="A24" s="110"/>
      <c r="B24" s="107"/>
      <c r="C24" s="89"/>
      <c r="D24" s="107"/>
      <c r="E24" s="90"/>
      <c r="F24" s="90"/>
      <c r="G24" s="90"/>
      <c r="H24" s="92"/>
      <c r="I24" s="92"/>
      <c r="J24" s="92"/>
      <c r="K24" s="275"/>
      <c r="L24" s="280"/>
      <c r="M24" s="284"/>
      <c r="N24" s="346"/>
      <c r="O24" s="157"/>
      <c r="P24" s="91"/>
      <c r="Q24" s="458"/>
      <c r="R24" s="164"/>
      <c r="S24" s="164"/>
      <c r="T24" s="164"/>
      <c r="U24" s="164"/>
      <c r="V24" s="164"/>
      <c r="W24" s="265"/>
      <c r="X24" s="265"/>
      <c r="Y24" s="265"/>
      <c r="Z24" s="262"/>
      <c r="AA24" s="266"/>
      <c r="AB24" s="266"/>
    </row>
    <row r="25" spans="1:28">
      <c r="A25" s="110"/>
      <c r="B25" s="107"/>
      <c r="C25" s="89"/>
      <c r="D25" s="107"/>
      <c r="E25" s="90"/>
      <c r="F25" s="90"/>
      <c r="G25" s="90"/>
      <c r="H25" s="92"/>
      <c r="I25" s="92"/>
      <c r="J25" s="92"/>
      <c r="K25" s="275"/>
      <c r="L25" s="280"/>
      <c r="M25" s="284"/>
      <c r="N25" s="347"/>
      <c r="O25" s="157"/>
      <c r="P25" s="91"/>
      <c r="Q25" s="458"/>
      <c r="R25" s="164"/>
      <c r="S25" s="164"/>
      <c r="T25" s="164"/>
      <c r="U25" s="164"/>
      <c r="V25" s="164"/>
      <c r="W25" s="265"/>
      <c r="X25" s="265"/>
      <c r="Y25" s="265"/>
      <c r="Z25" s="262"/>
      <c r="AA25" s="266"/>
      <c r="AB25" s="266"/>
    </row>
    <row r="26" spans="1:28">
      <c r="A26" s="110"/>
      <c r="B26" s="107"/>
      <c r="C26" s="89"/>
      <c r="D26" s="107"/>
      <c r="E26" s="90"/>
      <c r="F26" s="90"/>
      <c r="G26" s="90"/>
      <c r="H26" s="92"/>
      <c r="I26" s="92"/>
      <c r="J26" s="92"/>
      <c r="K26" s="275"/>
      <c r="L26" s="280"/>
      <c r="M26" s="284"/>
      <c r="N26" s="347"/>
      <c r="O26" s="157"/>
      <c r="P26" s="91"/>
      <c r="Q26" s="458"/>
      <c r="R26" s="164"/>
      <c r="S26" s="164"/>
      <c r="T26" s="164"/>
      <c r="U26" s="164"/>
      <c r="V26" s="164"/>
      <c r="W26" s="265"/>
      <c r="X26" s="265"/>
      <c r="Y26" s="265"/>
      <c r="Z26" s="262"/>
      <c r="AA26" s="266"/>
      <c r="AB26" s="266"/>
    </row>
    <row r="27" spans="1:28">
      <c r="A27" s="110"/>
      <c r="B27" s="107"/>
      <c r="C27" s="89"/>
      <c r="D27" s="107"/>
      <c r="E27" s="90"/>
      <c r="F27" s="90"/>
      <c r="G27" s="90"/>
      <c r="H27" s="92"/>
      <c r="I27" s="92"/>
      <c r="J27" s="92"/>
      <c r="K27" s="275"/>
      <c r="L27" s="280"/>
      <c r="M27" s="284"/>
      <c r="N27" s="347"/>
      <c r="O27" s="157"/>
      <c r="P27" s="91"/>
      <c r="Q27" s="458"/>
      <c r="R27" s="164"/>
      <c r="S27" s="164"/>
      <c r="T27" s="164"/>
      <c r="U27" s="164"/>
      <c r="V27" s="164"/>
      <c r="W27" s="265"/>
      <c r="X27" s="265"/>
      <c r="Y27" s="265"/>
      <c r="Z27" s="262"/>
      <c r="AA27" s="266"/>
      <c r="AB27" s="266"/>
    </row>
    <row r="28" spans="1:28">
      <c r="A28" s="110"/>
      <c r="B28" s="107"/>
      <c r="C28" s="89"/>
      <c r="D28" s="107"/>
      <c r="E28" s="90"/>
      <c r="F28" s="90"/>
      <c r="G28" s="90"/>
      <c r="H28" s="92"/>
      <c r="I28" s="92"/>
      <c r="J28" s="92"/>
      <c r="K28" s="275"/>
      <c r="L28" s="280"/>
      <c r="M28" s="284"/>
      <c r="N28" s="347"/>
      <c r="O28" s="157"/>
      <c r="P28" s="91"/>
      <c r="Q28" s="458"/>
      <c r="R28" s="164"/>
      <c r="S28" s="164"/>
      <c r="T28" s="164"/>
      <c r="U28" s="164"/>
      <c r="V28" s="164"/>
      <c r="W28" s="265"/>
      <c r="X28" s="265"/>
      <c r="Y28" s="265"/>
      <c r="Z28" s="262"/>
      <c r="AA28" s="266"/>
      <c r="AB28" s="266"/>
    </row>
    <row r="29" spans="1:28">
      <c r="A29" s="110"/>
      <c r="B29" s="107"/>
      <c r="C29" s="89"/>
      <c r="D29" s="107"/>
      <c r="E29" s="90"/>
      <c r="F29" s="90"/>
      <c r="G29" s="90"/>
      <c r="H29" s="92"/>
      <c r="I29" s="92"/>
      <c r="J29" s="92"/>
      <c r="K29" s="275"/>
      <c r="L29" s="280"/>
      <c r="M29" s="284"/>
      <c r="N29" s="347"/>
      <c r="O29" s="157"/>
      <c r="P29" s="91"/>
      <c r="Q29" s="458"/>
      <c r="R29" s="164"/>
      <c r="S29" s="164"/>
      <c r="T29" s="164"/>
      <c r="U29" s="164"/>
      <c r="V29" s="164"/>
      <c r="W29" s="265"/>
      <c r="X29" s="265"/>
      <c r="Y29" s="265"/>
      <c r="Z29" s="262"/>
      <c r="AA29" s="266"/>
      <c r="AB29" s="266"/>
    </row>
    <row r="30" spans="1:28">
      <c r="A30" s="110"/>
      <c r="B30" s="107"/>
      <c r="C30" s="89"/>
      <c r="D30" s="107"/>
      <c r="E30" s="90"/>
      <c r="F30" s="90"/>
      <c r="G30" s="90"/>
      <c r="H30" s="92"/>
      <c r="I30" s="92"/>
      <c r="J30" s="92"/>
      <c r="K30" s="275"/>
      <c r="L30" s="280"/>
      <c r="M30" s="284"/>
      <c r="N30" s="347"/>
      <c r="O30" s="157"/>
      <c r="P30" s="91"/>
      <c r="Q30" s="458"/>
      <c r="R30" s="164"/>
      <c r="S30" s="164"/>
      <c r="T30" s="164"/>
      <c r="U30" s="164"/>
      <c r="V30" s="164"/>
      <c r="W30" s="265"/>
      <c r="X30" s="265"/>
      <c r="Y30" s="265"/>
      <c r="Z30" s="262"/>
      <c r="AA30" s="266"/>
      <c r="AB30" s="266"/>
    </row>
    <row r="31" spans="1:28">
      <c r="A31" s="110"/>
      <c r="B31" s="107"/>
      <c r="C31" s="89"/>
      <c r="D31" s="107"/>
      <c r="E31" s="90"/>
      <c r="F31" s="90"/>
      <c r="G31" s="90"/>
      <c r="H31" s="92"/>
      <c r="I31" s="92"/>
      <c r="J31" s="92"/>
      <c r="K31" s="276"/>
      <c r="L31" s="280"/>
      <c r="M31" s="285"/>
      <c r="N31" s="346"/>
      <c r="O31" s="157"/>
      <c r="P31" s="91"/>
      <c r="Q31" s="458"/>
      <c r="R31" s="164"/>
      <c r="S31" s="164"/>
      <c r="T31" s="164"/>
      <c r="U31" s="164"/>
      <c r="V31" s="164"/>
      <c r="W31" s="265"/>
      <c r="X31" s="265"/>
      <c r="Y31" s="265"/>
      <c r="Z31" s="262"/>
      <c r="AA31" s="266"/>
      <c r="AB31" s="266"/>
    </row>
    <row r="32" spans="1:28">
      <c r="A32" s="110"/>
      <c r="B32" s="107"/>
      <c r="C32" s="89"/>
      <c r="D32" s="107"/>
      <c r="E32" s="90"/>
      <c r="F32" s="90"/>
      <c r="G32" s="90"/>
      <c r="H32" s="92"/>
      <c r="I32" s="92"/>
      <c r="J32" s="92"/>
      <c r="K32" s="276"/>
      <c r="L32" s="280"/>
      <c r="M32" s="285"/>
      <c r="N32" s="346"/>
      <c r="O32" s="157"/>
      <c r="P32" s="91"/>
      <c r="Q32" s="458"/>
      <c r="R32" s="164"/>
      <c r="S32" s="164"/>
      <c r="T32" s="164"/>
      <c r="U32" s="164"/>
      <c r="V32" s="164"/>
      <c r="W32" s="265"/>
      <c r="X32" s="265"/>
      <c r="Y32" s="265"/>
      <c r="Z32" s="262"/>
      <c r="AA32" s="266"/>
      <c r="AB32" s="266"/>
    </row>
    <row r="33" spans="1:28">
      <c r="A33" s="110"/>
      <c r="B33" s="107"/>
      <c r="C33" s="89"/>
      <c r="D33" s="107"/>
      <c r="E33" s="90"/>
      <c r="F33" s="90"/>
      <c r="G33" s="90"/>
      <c r="H33" s="92"/>
      <c r="I33" s="92"/>
      <c r="J33" s="92"/>
      <c r="K33" s="276"/>
      <c r="L33" s="280"/>
      <c r="M33" s="285"/>
      <c r="N33" s="346"/>
      <c r="O33" s="157"/>
      <c r="P33" s="91"/>
      <c r="Q33" s="458"/>
      <c r="R33" s="164"/>
      <c r="S33" s="164"/>
      <c r="T33" s="164"/>
      <c r="U33" s="164"/>
      <c r="V33" s="164"/>
      <c r="W33" s="265"/>
      <c r="X33" s="265"/>
      <c r="Y33" s="265"/>
      <c r="Z33" s="262"/>
      <c r="AA33" s="266"/>
      <c r="AB33" s="266"/>
    </row>
    <row r="34" spans="1:28">
      <c r="A34" s="110"/>
      <c r="B34" s="107"/>
      <c r="C34" s="89"/>
      <c r="D34" s="107"/>
      <c r="E34" s="90"/>
      <c r="F34" s="90"/>
      <c r="G34" s="90"/>
      <c r="H34" s="92"/>
      <c r="I34" s="92"/>
      <c r="J34" s="92"/>
      <c r="K34" s="276"/>
      <c r="L34" s="280"/>
      <c r="M34" s="285"/>
      <c r="N34" s="347"/>
      <c r="O34" s="157"/>
      <c r="P34" s="91"/>
      <c r="Q34" s="458"/>
      <c r="R34" s="164"/>
      <c r="S34" s="164"/>
      <c r="T34" s="164"/>
      <c r="U34" s="164"/>
      <c r="V34" s="164"/>
      <c r="W34" s="265"/>
      <c r="X34" s="265"/>
      <c r="Y34" s="265"/>
      <c r="Z34" s="262"/>
      <c r="AA34" s="266"/>
      <c r="AB34" s="266"/>
    </row>
    <row r="35" spans="1:28">
      <c r="A35" s="110"/>
      <c r="B35" s="107"/>
      <c r="C35" s="89"/>
      <c r="D35" s="107"/>
      <c r="E35" s="90"/>
      <c r="F35" s="90"/>
      <c r="G35" s="90"/>
      <c r="H35" s="92"/>
      <c r="I35" s="92"/>
      <c r="J35" s="92"/>
      <c r="K35" s="276"/>
      <c r="L35" s="280"/>
      <c r="M35" s="285"/>
      <c r="N35" s="347"/>
      <c r="O35" s="157"/>
      <c r="P35" s="91"/>
      <c r="Q35" s="458"/>
      <c r="R35" s="164"/>
      <c r="S35" s="164"/>
      <c r="T35" s="164"/>
      <c r="U35" s="164"/>
      <c r="V35" s="164"/>
      <c r="W35" s="265"/>
      <c r="X35" s="265"/>
      <c r="Y35" s="265"/>
      <c r="Z35" s="262"/>
      <c r="AA35" s="266"/>
      <c r="AB35" s="266"/>
    </row>
    <row r="36" spans="1:28">
      <c r="A36" s="110"/>
      <c r="B36" s="107"/>
      <c r="C36" s="89"/>
      <c r="D36" s="107"/>
      <c r="E36" s="90"/>
      <c r="F36" s="90"/>
      <c r="G36" s="90"/>
      <c r="H36" s="92"/>
      <c r="I36" s="92"/>
      <c r="J36" s="92"/>
      <c r="K36" s="276"/>
      <c r="L36" s="280"/>
      <c r="M36" s="285"/>
      <c r="N36" s="347"/>
      <c r="O36" s="157"/>
      <c r="P36" s="91"/>
      <c r="Q36" s="458"/>
      <c r="R36" s="164"/>
      <c r="S36" s="164"/>
      <c r="T36" s="164"/>
      <c r="U36" s="164"/>
      <c r="V36" s="164"/>
      <c r="W36" s="265"/>
      <c r="X36" s="265"/>
      <c r="Y36" s="265"/>
      <c r="Z36" s="262"/>
      <c r="AA36" s="266"/>
      <c r="AB36" s="266"/>
    </row>
    <row r="37" spans="1:28">
      <c r="A37" s="110"/>
      <c r="B37" s="107"/>
      <c r="C37" s="89"/>
      <c r="D37" s="107"/>
      <c r="E37" s="90"/>
      <c r="F37" s="90"/>
      <c r="G37" s="90"/>
      <c r="H37" s="92"/>
      <c r="I37" s="92"/>
      <c r="J37" s="92"/>
      <c r="K37" s="276"/>
      <c r="L37" s="280"/>
      <c r="M37" s="285"/>
      <c r="N37" s="347"/>
      <c r="O37" s="157"/>
      <c r="P37" s="91"/>
      <c r="Q37" s="458"/>
      <c r="R37" s="164"/>
      <c r="S37" s="164"/>
      <c r="T37" s="164"/>
      <c r="U37" s="164"/>
      <c r="V37" s="164"/>
      <c r="W37" s="265"/>
      <c r="X37" s="265"/>
      <c r="Y37" s="265"/>
      <c r="Z37" s="262"/>
      <c r="AA37" s="266"/>
      <c r="AB37" s="266"/>
    </row>
    <row r="38" spans="1:28">
      <c r="A38" s="110"/>
      <c r="B38" s="107"/>
      <c r="C38" s="89"/>
      <c r="D38" s="107"/>
      <c r="E38" s="90"/>
      <c r="F38" s="90"/>
      <c r="G38" s="90"/>
      <c r="H38" s="92"/>
      <c r="I38" s="92"/>
      <c r="J38" s="92"/>
      <c r="K38" s="276"/>
      <c r="L38" s="280"/>
      <c r="M38" s="285"/>
      <c r="N38" s="347"/>
      <c r="O38" s="157"/>
      <c r="P38" s="91"/>
      <c r="Q38" s="458"/>
      <c r="R38" s="164"/>
      <c r="S38" s="164"/>
      <c r="T38" s="164"/>
      <c r="U38" s="164"/>
      <c r="V38" s="164"/>
      <c r="W38" s="265"/>
      <c r="X38" s="265"/>
      <c r="Y38" s="265"/>
      <c r="Z38" s="262"/>
      <c r="AA38" s="266"/>
      <c r="AB38" s="266"/>
    </row>
    <row r="39" spans="1:28">
      <c r="A39" s="110"/>
      <c r="B39" s="107"/>
      <c r="C39" s="89"/>
      <c r="D39" s="107"/>
      <c r="E39" s="90"/>
      <c r="F39" s="90"/>
      <c r="G39" s="90"/>
      <c r="H39" s="92"/>
      <c r="I39" s="92"/>
      <c r="J39" s="92"/>
      <c r="K39" s="276"/>
      <c r="L39" s="280"/>
      <c r="M39" s="285"/>
      <c r="N39" s="347"/>
      <c r="O39" s="157"/>
      <c r="P39" s="91"/>
      <c r="Q39" s="458"/>
      <c r="R39" s="164"/>
      <c r="S39" s="164"/>
      <c r="T39" s="164"/>
      <c r="U39" s="164"/>
      <c r="V39" s="164"/>
      <c r="W39" s="265"/>
      <c r="X39" s="265"/>
      <c r="Y39" s="265"/>
      <c r="Z39" s="262"/>
      <c r="AA39" s="266"/>
      <c r="AB39" s="266"/>
    </row>
    <row r="40" spans="1:28">
      <c r="A40" s="110"/>
      <c r="B40" s="107"/>
      <c r="C40" s="89"/>
      <c r="D40" s="107"/>
      <c r="E40" s="90"/>
      <c r="F40" s="90"/>
      <c r="G40" s="90"/>
      <c r="H40" s="92"/>
      <c r="I40" s="92"/>
      <c r="J40" s="92"/>
      <c r="K40" s="277"/>
      <c r="L40" s="281"/>
      <c r="M40" s="286"/>
      <c r="N40" s="346"/>
      <c r="O40" s="157"/>
      <c r="P40" s="91"/>
      <c r="Q40" s="458"/>
      <c r="R40" s="164"/>
      <c r="S40" s="164"/>
      <c r="T40" s="164"/>
      <c r="U40" s="164"/>
      <c r="V40" s="164"/>
      <c r="W40" s="265"/>
      <c r="X40" s="265"/>
      <c r="Y40" s="265"/>
      <c r="Z40" s="262"/>
      <c r="AA40" s="266"/>
      <c r="AB40" s="266"/>
    </row>
    <row r="41" spans="1:28">
      <c r="A41" s="110"/>
      <c r="B41" s="107"/>
      <c r="C41" s="89"/>
      <c r="D41" s="107"/>
      <c r="E41" s="90"/>
      <c r="F41" s="90"/>
      <c r="G41" s="90"/>
      <c r="H41" s="92"/>
      <c r="I41" s="92"/>
      <c r="J41" s="92"/>
      <c r="K41" s="277"/>
      <c r="L41" s="281"/>
      <c r="M41" s="286"/>
      <c r="N41" s="346"/>
      <c r="O41" s="157"/>
      <c r="P41" s="91"/>
      <c r="Q41" s="458"/>
      <c r="R41" s="164"/>
      <c r="S41" s="164"/>
      <c r="T41" s="164"/>
      <c r="U41" s="164"/>
      <c r="V41" s="164"/>
      <c r="W41" s="265"/>
      <c r="X41" s="265"/>
      <c r="Y41" s="265"/>
      <c r="Z41" s="262"/>
      <c r="AA41" s="266"/>
      <c r="AB41" s="266"/>
    </row>
    <row r="42" spans="1:28">
      <c r="A42" s="110"/>
      <c r="B42" s="107"/>
      <c r="C42" s="89"/>
      <c r="D42" s="107"/>
      <c r="E42" s="90"/>
      <c r="F42" s="90"/>
      <c r="G42" s="90"/>
      <c r="H42" s="92"/>
      <c r="I42" s="92"/>
      <c r="J42" s="92"/>
      <c r="K42" s="277"/>
      <c r="L42" s="281"/>
      <c r="M42" s="286"/>
      <c r="N42" s="346"/>
      <c r="O42" s="157"/>
      <c r="P42" s="91"/>
      <c r="Q42" s="458"/>
      <c r="R42" s="164"/>
      <c r="S42" s="164"/>
      <c r="T42" s="164"/>
      <c r="U42" s="164"/>
      <c r="V42" s="164"/>
      <c r="W42" s="265"/>
      <c r="X42" s="265"/>
      <c r="Y42" s="265"/>
      <c r="Z42" s="262"/>
      <c r="AA42" s="266"/>
      <c r="AB42" s="266"/>
    </row>
    <row r="43" spans="1:28">
      <c r="A43" s="110"/>
      <c r="B43" s="107"/>
      <c r="C43" s="89"/>
      <c r="D43" s="107"/>
      <c r="E43" s="90"/>
      <c r="F43" s="90"/>
      <c r="G43" s="90"/>
      <c r="H43" s="92"/>
      <c r="I43" s="92"/>
      <c r="J43" s="92"/>
      <c r="K43" s="277"/>
      <c r="L43" s="281"/>
      <c r="M43" s="286"/>
      <c r="N43" s="347"/>
      <c r="O43" s="157"/>
      <c r="P43" s="91"/>
      <c r="Q43" s="458"/>
      <c r="R43" s="164"/>
      <c r="S43" s="164"/>
      <c r="T43" s="164"/>
      <c r="U43" s="164"/>
      <c r="V43" s="164"/>
      <c r="W43" s="265"/>
      <c r="X43" s="265"/>
      <c r="Y43" s="265"/>
      <c r="Z43" s="262"/>
      <c r="AA43" s="266"/>
      <c r="AB43" s="266"/>
    </row>
    <row r="44" spans="1:28">
      <c r="A44" s="110"/>
      <c r="B44" s="107"/>
      <c r="C44" s="89"/>
      <c r="D44" s="107"/>
      <c r="E44" s="90"/>
      <c r="F44" s="90"/>
      <c r="G44" s="90"/>
      <c r="H44" s="92"/>
      <c r="I44" s="92"/>
      <c r="J44" s="92"/>
      <c r="K44" s="277"/>
      <c r="L44" s="281"/>
      <c r="M44" s="286"/>
      <c r="N44" s="347"/>
      <c r="O44" s="157"/>
      <c r="P44" s="91"/>
      <c r="Q44" s="458"/>
      <c r="R44" s="164"/>
      <c r="S44" s="164"/>
      <c r="T44" s="164"/>
      <c r="U44" s="164"/>
      <c r="V44" s="164"/>
      <c r="W44" s="265"/>
      <c r="X44" s="265"/>
      <c r="Y44" s="265"/>
      <c r="Z44" s="262"/>
      <c r="AA44" s="266"/>
      <c r="AB44" s="266"/>
    </row>
    <row r="45" spans="1:28">
      <c r="A45" s="110"/>
      <c r="B45" s="107"/>
      <c r="C45" s="89"/>
      <c r="D45" s="107"/>
      <c r="E45" s="90"/>
      <c r="F45" s="90"/>
      <c r="G45" s="90"/>
      <c r="H45" s="92"/>
      <c r="I45" s="92"/>
      <c r="J45" s="92"/>
      <c r="K45" s="277"/>
      <c r="L45" s="281"/>
      <c r="M45" s="286"/>
      <c r="N45" s="347"/>
      <c r="O45" s="157"/>
      <c r="P45" s="91"/>
      <c r="Q45" s="458"/>
      <c r="R45" s="164"/>
      <c r="S45" s="164"/>
      <c r="T45" s="164"/>
      <c r="U45" s="164"/>
      <c r="V45" s="164"/>
      <c r="W45" s="265"/>
      <c r="X45" s="265"/>
      <c r="Y45" s="265"/>
      <c r="Z45" s="262"/>
      <c r="AA45" s="266"/>
      <c r="AB45" s="266"/>
    </row>
    <row r="46" spans="1:28">
      <c r="A46" s="110"/>
      <c r="B46" s="107"/>
      <c r="C46" s="89"/>
      <c r="D46" s="107"/>
      <c r="E46" s="90"/>
      <c r="F46" s="90"/>
      <c r="G46" s="90"/>
      <c r="H46" s="92"/>
      <c r="I46" s="92"/>
      <c r="J46" s="92"/>
      <c r="K46" s="277"/>
      <c r="L46" s="281"/>
      <c r="M46" s="286"/>
      <c r="N46" s="347"/>
      <c r="O46" s="157"/>
      <c r="P46" s="91"/>
      <c r="Q46" s="458"/>
      <c r="R46" s="164"/>
      <c r="S46" s="164"/>
      <c r="T46" s="164"/>
      <c r="U46" s="164"/>
      <c r="V46" s="164"/>
      <c r="W46" s="265"/>
      <c r="X46" s="265"/>
      <c r="Y46" s="265"/>
      <c r="Z46" s="262"/>
      <c r="AA46" s="266"/>
      <c r="AB46" s="266"/>
    </row>
    <row r="47" spans="1:28">
      <c r="A47" s="110"/>
      <c r="B47" s="107"/>
      <c r="C47" s="89"/>
      <c r="D47" s="107"/>
      <c r="E47" s="90"/>
      <c r="F47" s="90"/>
      <c r="G47" s="90"/>
      <c r="H47" s="92"/>
      <c r="I47" s="92"/>
      <c r="J47" s="92"/>
      <c r="K47" s="277"/>
      <c r="L47" s="281"/>
      <c r="M47" s="286"/>
      <c r="N47" s="347"/>
      <c r="O47" s="157"/>
      <c r="P47" s="91"/>
      <c r="Q47" s="458"/>
      <c r="R47" s="164"/>
      <c r="S47" s="164"/>
      <c r="T47" s="164"/>
      <c r="U47" s="164"/>
      <c r="V47" s="164"/>
      <c r="W47" s="265"/>
      <c r="X47" s="265"/>
      <c r="Y47" s="265"/>
      <c r="Z47" s="262"/>
      <c r="AA47" s="266"/>
      <c r="AB47" s="266"/>
    </row>
    <row r="48" spans="1:28">
      <c r="A48" s="110"/>
      <c r="B48" s="107"/>
      <c r="C48" s="89"/>
      <c r="D48" s="107"/>
      <c r="E48" s="90"/>
      <c r="F48" s="90"/>
      <c r="G48" s="90"/>
      <c r="H48" s="92"/>
      <c r="I48" s="92"/>
      <c r="J48" s="92"/>
      <c r="K48" s="277"/>
      <c r="L48" s="281"/>
      <c r="M48" s="286"/>
      <c r="N48" s="347"/>
      <c r="O48" s="157"/>
      <c r="P48" s="91"/>
      <c r="Q48" s="458"/>
      <c r="R48" s="164"/>
      <c r="S48" s="164"/>
      <c r="T48" s="164"/>
      <c r="U48" s="164"/>
      <c r="V48" s="164"/>
      <c r="W48" s="265"/>
      <c r="X48" s="265"/>
      <c r="Y48" s="265"/>
      <c r="Z48" s="262"/>
      <c r="AA48" s="266"/>
      <c r="AB48" s="266"/>
    </row>
    <row r="49" spans="1:28">
      <c r="A49" s="110"/>
      <c r="B49" s="107"/>
      <c r="C49" s="89"/>
      <c r="D49" s="107"/>
      <c r="E49" s="90"/>
      <c r="F49" s="90"/>
      <c r="G49" s="90"/>
      <c r="H49" s="92"/>
      <c r="I49" s="92"/>
      <c r="J49" s="92"/>
      <c r="K49" s="278"/>
      <c r="L49" s="281"/>
      <c r="M49" s="287"/>
      <c r="N49" s="346"/>
      <c r="O49" s="157"/>
      <c r="P49" s="91"/>
      <c r="Q49" s="458"/>
      <c r="R49" s="164"/>
      <c r="S49" s="164"/>
      <c r="T49" s="164"/>
      <c r="U49" s="164"/>
      <c r="V49" s="164"/>
      <c r="W49" s="265"/>
      <c r="X49" s="265"/>
      <c r="Y49" s="265"/>
      <c r="Z49" s="262"/>
      <c r="AA49" s="266"/>
      <c r="AB49" s="266"/>
    </row>
    <row r="50" spans="1:28">
      <c r="A50" s="110"/>
      <c r="B50" s="107"/>
      <c r="C50" s="89"/>
      <c r="D50" s="107"/>
      <c r="E50" s="90"/>
      <c r="F50" s="90"/>
      <c r="G50" s="90"/>
      <c r="H50" s="92"/>
      <c r="I50" s="92"/>
      <c r="J50" s="92"/>
      <c r="K50" s="278"/>
      <c r="L50" s="281"/>
      <c r="M50" s="287"/>
      <c r="N50" s="346"/>
      <c r="O50" s="157"/>
      <c r="P50" s="91"/>
      <c r="Q50" s="458"/>
      <c r="R50" s="164"/>
      <c r="S50" s="164"/>
      <c r="T50" s="164"/>
      <c r="U50" s="164"/>
      <c r="V50" s="164"/>
      <c r="W50" s="265"/>
      <c r="X50" s="265"/>
      <c r="Y50" s="265"/>
      <c r="Z50" s="262"/>
      <c r="AA50" s="266"/>
      <c r="AB50" s="266"/>
    </row>
    <row r="51" spans="1:28">
      <c r="A51" s="110"/>
      <c r="B51" s="107"/>
      <c r="C51" s="89"/>
      <c r="D51" s="107"/>
      <c r="E51" s="90"/>
      <c r="F51" s="90"/>
      <c r="G51" s="90"/>
      <c r="H51" s="92"/>
      <c r="I51" s="92"/>
      <c r="J51" s="92"/>
      <c r="K51" s="278"/>
      <c r="L51" s="281"/>
      <c r="M51" s="287"/>
      <c r="N51" s="346"/>
      <c r="O51" s="157"/>
      <c r="P51" s="91"/>
      <c r="Q51" s="458"/>
      <c r="R51" s="164"/>
      <c r="S51" s="164"/>
      <c r="T51" s="164"/>
      <c r="U51" s="164"/>
      <c r="V51" s="164"/>
      <c r="W51" s="265"/>
      <c r="X51" s="265"/>
      <c r="Y51" s="265"/>
      <c r="Z51" s="262"/>
      <c r="AA51" s="266"/>
      <c r="AB51" s="266"/>
    </row>
    <row r="52" spans="1:28">
      <c r="A52" s="110"/>
      <c r="B52" s="107"/>
      <c r="C52" s="89"/>
      <c r="D52" s="107"/>
      <c r="E52" s="90"/>
      <c r="F52" s="90"/>
      <c r="G52" s="90"/>
      <c r="H52" s="92"/>
      <c r="I52" s="92"/>
      <c r="J52" s="92"/>
      <c r="K52" s="278"/>
      <c r="L52" s="281"/>
      <c r="M52" s="287"/>
      <c r="N52" s="347"/>
      <c r="O52" s="157"/>
      <c r="P52" s="91"/>
      <c r="Q52" s="458"/>
      <c r="R52" s="164"/>
      <c r="S52" s="164"/>
      <c r="T52" s="164"/>
      <c r="U52" s="164"/>
      <c r="V52" s="164"/>
      <c r="W52" s="261"/>
      <c r="X52" s="265"/>
      <c r="Y52" s="265"/>
      <c r="Z52" s="262"/>
      <c r="AA52" s="266"/>
      <c r="AB52" s="264"/>
    </row>
    <row r="53" spans="1:28">
      <c r="A53" s="110"/>
      <c r="B53" s="107"/>
      <c r="C53" s="89"/>
      <c r="D53" s="107"/>
      <c r="E53" s="90"/>
      <c r="F53" s="90"/>
      <c r="G53" s="90"/>
      <c r="H53" s="92"/>
      <c r="I53" s="92"/>
      <c r="J53" s="92"/>
      <c r="K53" s="278"/>
      <c r="L53" s="281"/>
      <c r="M53" s="287"/>
      <c r="N53" s="347"/>
      <c r="O53" s="157"/>
      <c r="P53" s="91"/>
      <c r="Q53" s="458"/>
      <c r="R53" s="164"/>
      <c r="S53" s="164"/>
      <c r="T53" s="164"/>
      <c r="U53" s="164"/>
      <c r="V53" s="164"/>
      <c r="W53" s="265"/>
      <c r="X53" s="265"/>
      <c r="Y53" s="265"/>
      <c r="Z53" s="262"/>
      <c r="AA53" s="266"/>
      <c r="AB53" s="264"/>
    </row>
    <row r="54" spans="1:28">
      <c r="A54" s="110"/>
      <c r="B54" s="107"/>
      <c r="C54" s="89"/>
      <c r="D54" s="107"/>
      <c r="E54" s="90"/>
      <c r="F54" s="90"/>
      <c r="G54" s="90"/>
      <c r="H54" s="92"/>
      <c r="I54" s="92"/>
      <c r="J54" s="92"/>
      <c r="K54" s="278"/>
      <c r="L54" s="281"/>
      <c r="M54" s="287"/>
      <c r="N54" s="347"/>
      <c r="O54" s="157"/>
      <c r="P54" s="91"/>
      <c r="Q54" s="458"/>
      <c r="R54" s="164"/>
      <c r="S54" s="164"/>
      <c r="T54" s="164"/>
      <c r="U54" s="164"/>
      <c r="V54" s="164"/>
      <c r="W54" s="265"/>
      <c r="X54" s="265"/>
      <c r="Y54" s="265"/>
      <c r="Z54" s="262"/>
      <c r="AA54" s="266"/>
      <c r="AB54" s="264"/>
    </row>
    <row r="55" spans="1:28">
      <c r="A55" s="110"/>
      <c r="B55" s="107"/>
      <c r="C55" s="89"/>
      <c r="D55" s="107"/>
      <c r="E55" s="90"/>
      <c r="F55" s="90"/>
      <c r="G55" s="90"/>
      <c r="H55" s="92"/>
      <c r="I55" s="92"/>
      <c r="J55" s="92"/>
      <c r="K55" s="278"/>
      <c r="L55" s="281"/>
      <c r="M55" s="287"/>
      <c r="N55" s="347"/>
      <c r="O55" s="157"/>
      <c r="P55" s="91"/>
      <c r="Q55" s="458"/>
      <c r="R55" s="164"/>
      <c r="S55" s="164"/>
      <c r="T55" s="164"/>
      <c r="U55" s="164"/>
      <c r="V55" s="164"/>
      <c r="W55" s="265"/>
      <c r="X55" s="265"/>
      <c r="Y55" s="265"/>
      <c r="Z55" s="262"/>
      <c r="AA55" s="266"/>
      <c r="AB55" s="264"/>
    </row>
    <row r="56" spans="1:28">
      <c r="A56" s="110"/>
      <c r="B56" s="107"/>
      <c r="C56" s="89"/>
      <c r="D56" s="107"/>
      <c r="E56" s="90"/>
      <c r="F56" s="90"/>
      <c r="G56" s="90"/>
      <c r="H56" s="92"/>
      <c r="I56" s="92"/>
      <c r="J56" s="92"/>
      <c r="K56" s="278"/>
      <c r="L56" s="281"/>
      <c r="M56" s="287"/>
      <c r="N56" s="347"/>
      <c r="O56" s="157"/>
      <c r="P56" s="91"/>
      <c r="Q56" s="458"/>
      <c r="R56" s="164"/>
      <c r="S56" s="164"/>
      <c r="T56" s="164"/>
      <c r="U56" s="164"/>
      <c r="V56" s="164"/>
      <c r="W56" s="265"/>
      <c r="X56" s="265"/>
      <c r="Y56" s="265"/>
      <c r="Z56" s="262"/>
      <c r="AA56" s="266"/>
      <c r="AB56" s="264"/>
    </row>
    <row r="57" spans="1:28" ht="15" thickBot="1">
      <c r="A57" s="250"/>
      <c r="B57" s="248"/>
      <c r="C57" s="230"/>
      <c r="D57" s="248"/>
      <c r="E57" s="254"/>
      <c r="F57" s="254"/>
      <c r="G57" s="254"/>
      <c r="H57" s="231"/>
      <c r="I57" s="231"/>
      <c r="J57" s="231"/>
      <c r="K57" s="323"/>
      <c r="L57" s="324"/>
      <c r="M57" s="325"/>
      <c r="N57" s="348"/>
      <c r="O57" s="424"/>
      <c r="P57" s="234"/>
      <c r="Q57" s="459"/>
      <c r="R57" s="425"/>
      <c r="S57" s="425"/>
      <c r="T57" s="425"/>
      <c r="U57" s="425"/>
      <c r="V57" s="425"/>
      <c r="W57" s="430"/>
      <c r="X57" s="430"/>
      <c r="Y57" s="430"/>
      <c r="Z57" s="434"/>
      <c r="AA57" s="435"/>
      <c r="AB57" s="429"/>
    </row>
    <row r="58" spans="1:28" ht="15" thickTop="1">
      <c r="A58" s="358"/>
      <c r="B58" s="356"/>
      <c r="C58" s="224"/>
      <c r="D58" s="356"/>
      <c r="E58" s="398"/>
      <c r="F58" s="362"/>
      <c r="G58" s="362"/>
      <c r="H58" s="226"/>
      <c r="I58" s="226"/>
      <c r="J58" s="226"/>
      <c r="K58" s="400"/>
      <c r="L58" s="401"/>
      <c r="M58" s="402"/>
      <c r="N58" s="319"/>
      <c r="O58" s="225"/>
      <c r="P58" s="225"/>
      <c r="Q58" s="460"/>
      <c r="R58" s="416"/>
      <c r="S58" s="416"/>
      <c r="T58" s="416"/>
      <c r="U58" s="416"/>
      <c r="V58" s="416"/>
      <c r="W58" s="431"/>
      <c r="X58" s="431"/>
      <c r="Y58" s="431"/>
      <c r="Z58" s="432"/>
      <c r="AA58" s="433"/>
      <c r="AB58" s="415"/>
    </row>
    <row r="59" spans="1:28">
      <c r="A59" s="110"/>
      <c r="B59" s="107"/>
      <c r="C59" s="89"/>
      <c r="D59" s="356"/>
      <c r="E59" s="90"/>
      <c r="F59" s="90"/>
      <c r="G59" s="90"/>
      <c r="H59" s="92"/>
      <c r="I59" s="92"/>
      <c r="J59" s="92"/>
      <c r="K59" s="273"/>
      <c r="L59" s="279"/>
      <c r="M59" s="282"/>
      <c r="N59" s="272"/>
      <c r="O59" s="91"/>
      <c r="P59" s="91"/>
      <c r="Q59" s="458"/>
      <c r="R59" s="416"/>
      <c r="S59" s="164"/>
      <c r="T59" s="164"/>
      <c r="U59" s="164"/>
      <c r="V59" s="164"/>
      <c r="W59" s="265"/>
      <c r="X59" s="265"/>
      <c r="Y59" s="265"/>
      <c r="Z59" s="262"/>
      <c r="AA59" s="266"/>
      <c r="AB59" s="264"/>
    </row>
    <row r="60" spans="1:28">
      <c r="A60" s="110"/>
      <c r="B60" s="107"/>
      <c r="C60" s="89"/>
      <c r="D60" s="356"/>
      <c r="E60" s="90"/>
      <c r="F60" s="90"/>
      <c r="G60" s="90"/>
      <c r="H60" s="92"/>
      <c r="I60" s="92"/>
      <c r="J60" s="92"/>
      <c r="K60" s="273"/>
      <c r="L60" s="279"/>
      <c r="M60" s="282"/>
      <c r="N60" s="272"/>
      <c r="O60" s="91"/>
      <c r="P60" s="91"/>
      <c r="Q60" s="458"/>
      <c r="R60" s="416"/>
      <c r="S60" s="164"/>
      <c r="T60" s="164"/>
      <c r="U60" s="164"/>
      <c r="V60" s="164"/>
      <c r="W60" s="265"/>
      <c r="X60" s="265"/>
      <c r="Y60" s="265"/>
      <c r="Z60" s="262"/>
      <c r="AA60" s="266"/>
      <c r="AB60" s="264"/>
    </row>
    <row r="61" spans="1:28">
      <c r="A61" s="110"/>
      <c r="B61" s="107"/>
      <c r="C61" s="89"/>
      <c r="D61" s="356"/>
      <c r="E61" s="90"/>
      <c r="F61" s="90"/>
      <c r="G61" s="90"/>
      <c r="H61" s="92"/>
      <c r="I61" s="92"/>
      <c r="J61" s="92"/>
      <c r="K61" s="274"/>
      <c r="L61" s="279"/>
      <c r="M61" s="283"/>
      <c r="N61" s="272"/>
      <c r="O61" s="91"/>
      <c r="P61" s="91"/>
      <c r="Q61" s="458"/>
      <c r="R61" s="416"/>
      <c r="S61" s="164"/>
      <c r="T61" s="164"/>
      <c r="U61" s="164"/>
      <c r="V61" s="164"/>
      <c r="W61" s="265"/>
      <c r="X61" s="265"/>
      <c r="Y61" s="265"/>
      <c r="Z61" s="262"/>
      <c r="AA61" s="266"/>
      <c r="AB61" s="264"/>
    </row>
    <row r="62" spans="1:28">
      <c r="A62" s="110"/>
      <c r="B62" s="107"/>
      <c r="C62" s="89"/>
      <c r="D62" s="356"/>
      <c r="E62" s="90"/>
      <c r="F62" s="90"/>
      <c r="G62" s="90"/>
      <c r="H62" s="92"/>
      <c r="I62" s="92"/>
      <c r="J62" s="92"/>
      <c r="K62" s="274"/>
      <c r="L62" s="279"/>
      <c r="M62" s="283"/>
      <c r="N62" s="272"/>
      <c r="O62" s="91"/>
      <c r="P62" s="91"/>
      <c r="Q62" s="458"/>
      <c r="R62" s="416"/>
      <c r="S62" s="164"/>
      <c r="T62" s="164"/>
      <c r="U62" s="164"/>
      <c r="V62" s="164"/>
      <c r="W62" s="265"/>
      <c r="X62" s="265"/>
      <c r="Y62" s="265"/>
      <c r="Z62" s="262"/>
      <c r="AA62" s="266"/>
      <c r="AB62" s="264"/>
    </row>
    <row r="63" spans="1:28">
      <c r="A63" s="110"/>
      <c r="B63" s="107"/>
      <c r="C63" s="89"/>
      <c r="D63" s="356"/>
      <c r="E63" s="90"/>
      <c r="F63" s="90"/>
      <c r="G63" s="90"/>
      <c r="H63" s="92"/>
      <c r="I63" s="92"/>
      <c r="J63" s="92"/>
      <c r="K63" s="274"/>
      <c r="L63" s="279"/>
      <c r="M63" s="283"/>
      <c r="N63" s="272"/>
      <c r="O63" s="91"/>
      <c r="P63" s="91"/>
      <c r="Q63" s="458"/>
      <c r="R63" s="416"/>
      <c r="S63" s="164"/>
      <c r="T63" s="164"/>
      <c r="U63" s="164"/>
      <c r="V63" s="164"/>
      <c r="W63" s="265"/>
      <c r="X63" s="265"/>
      <c r="Y63" s="265"/>
      <c r="Z63" s="262"/>
      <c r="AA63" s="266"/>
      <c r="AB63" s="264"/>
    </row>
    <row r="64" spans="1:28">
      <c r="A64" s="110"/>
      <c r="B64" s="107"/>
      <c r="C64" s="89"/>
      <c r="D64" s="356"/>
      <c r="E64" s="90"/>
      <c r="F64" s="90"/>
      <c r="G64" s="90"/>
      <c r="H64" s="92"/>
      <c r="I64" s="92"/>
      <c r="J64" s="92"/>
      <c r="K64" s="275"/>
      <c r="L64" s="280"/>
      <c r="M64" s="284"/>
      <c r="N64" s="272"/>
      <c r="O64" s="91"/>
      <c r="P64" s="91"/>
      <c r="Q64" s="458"/>
      <c r="R64" s="416"/>
      <c r="S64" s="164"/>
      <c r="T64" s="164"/>
      <c r="U64" s="164"/>
      <c r="V64" s="164"/>
      <c r="W64" s="265"/>
      <c r="X64" s="265"/>
      <c r="Y64" s="265"/>
      <c r="Z64" s="262"/>
      <c r="AA64" s="266"/>
      <c r="AB64" s="264"/>
    </row>
    <row r="65" spans="1:28">
      <c r="A65" s="110"/>
      <c r="B65" s="107"/>
      <c r="C65" s="89"/>
      <c r="D65" s="356"/>
      <c r="E65" s="90"/>
      <c r="F65" s="90"/>
      <c r="G65" s="90"/>
      <c r="H65" s="92"/>
      <c r="I65" s="92"/>
      <c r="J65" s="92"/>
      <c r="K65" s="275"/>
      <c r="L65" s="280"/>
      <c r="M65" s="284"/>
      <c r="N65" s="272"/>
      <c r="O65" s="91"/>
      <c r="P65" s="91"/>
      <c r="Q65" s="458"/>
      <c r="R65" s="416"/>
      <c r="S65" s="164"/>
      <c r="T65" s="164"/>
      <c r="U65" s="164"/>
      <c r="V65" s="164"/>
      <c r="W65" s="265"/>
      <c r="X65" s="265"/>
      <c r="Y65" s="265"/>
      <c r="Z65" s="262"/>
      <c r="AA65" s="266"/>
      <c r="AB65" s="264"/>
    </row>
    <row r="66" spans="1:28">
      <c r="A66" s="110"/>
      <c r="B66" s="107"/>
      <c r="C66" s="89"/>
      <c r="D66" s="356"/>
      <c r="E66" s="90"/>
      <c r="F66" s="90"/>
      <c r="G66" s="90"/>
      <c r="H66" s="92"/>
      <c r="I66" s="92"/>
      <c r="J66" s="92"/>
      <c r="K66" s="275"/>
      <c r="L66" s="280"/>
      <c r="M66" s="284"/>
      <c r="N66" s="272"/>
      <c r="O66" s="91"/>
      <c r="P66" s="91"/>
      <c r="Q66" s="458"/>
      <c r="R66" s="416"/>
      <c r="S66" s="164"/>
      <c r="T66" s="164"/>
      <c r="U66" s="164"/>
      <c r="V66" s="164"/>
      <c r="W66" s="265"/>
      <c r="X66" s="265"/>
      <c r="Y66" s="265"/>
      <c r="Z66" s="262"/>
      <c r="AA66" s="266"/>
      <c r="AB66" s="264"/>
    </row>
    <row r="67" spans="1:28">
      <c r="A67" s="110"/>
      <c r="B67" s="107"/>
      <c r="C67" s="89"/>
      <c r="D67" s="356"/>
      <c r="E67" s="90"/>
      <c r="F67" s="90"/>
      <c r="G67" s="90"/>
      <c r="H67" s="92"/>
      <c r="I67" s="92"/>
      <c r="J67" s="92"/>
      <c r="K67" s="276"/>
      <c r="L67" s="280"/>
      <c r="M67" s="285"/>
      <c r="N67" s="272"/>
      <c r="O67" s="91"/>
      <c r="P67" s="91"/>
      <c r="Q67" s="458"/>
      <c r="R67" s="416"/>
      <c r="S67" s="164"/>
      <c r="T67" s="164"/>
      <c r="U67" s="164"/>
      <c r="V67" s="164"/>
      <c r="W67" s="265"/>
      <c r="X67" s="265"/>
      <c r="Y67" s="265"/>
      <c r="Z67" s="262"/>
      <c r="AA67" s="266"/>
      <c r="AB67" s="264"/>
    </row>
    <row r="68" spans="1:28">
      <c r="A68" s="110"/>
      <c r="B68" s="107"/>
      <c r="C68" s="89"/>
      <c r="D68" s="356"/>
      <c r="E68" s="90"/>
      <c r="F68" s="90"/>
      <c r="G68" s="90"/>
      <c r="H68" s="92"/>
      <c r="I68" s="92"/>
      <c r="J68" s="92"/>
      <c r="K68" s="276"/>
      <c r="L68" s="280"/>
      <c r="M68" s="285"/>
      <c r="N68" s="272"/>
      <c r="O68" s="91"/>
      <c r="P68" s="91"/>
      <c r="Q68" s="458"/>
      <c r="R68" s="416"/>
      <c r="S68" s="164"/>
      <c r="T68" s="164"/>
      <c r="U68" s="164"/>
      <c r="V68" s="164"/>
      <c r="W68" s="265"/>
      <c r="X68" s="265"/>
      <c r="Y68" s="265"/>
      <c r="Z68" s="262"/>
      <c r="AA68" s="266"/>
      <c r="AB68" s="264"/>
    </row>
    <row r="69" spans="1:28">
      <c r="A69" s="110"/>
      <c r="B69" s="107"/>
      <c r="C69" s="89"/>
      <c r="D69" s="356"/>
      <c r="E69" s="90"/>
      <c r="F69" s="90"/>
      <c r="G69" s="90"/>
      <c r="H69" s="92"/>
      <c r="I69" s="92"/>
      <c r="J69" s="92"/>
      <c r="K69" s="276"/>
      <c r="L69" s="280"/>
      <c r="M69" s="285"/>
      <c r="N69" s="272"/>
      <c r="O69" s="91"/>
      <c r="P69" s="91"/>
      <c r="Q69" s="458"/>
      <c r="R69" s="416"/>
      <c r="S69" s="164"/>
      <c r="T69" s="164"/>
      <c r="U69" s="164"/>
      <c r="V69" s="164"/>
      <c r="W69" s="265"/>
      <c r="X69" s="265"/>
      <c r="Y69" s="265"/>
      <c r="Z69" s="262"/>
      <c r="AA69" s="266"/>
      <c r="AB69" s="264"/>
    </row>
    <row r="70" spans="1:28">
      <c r="A70" s="110"/>
      <c r="B70" s="107"/>
      <c r="C70" s="89"/>
      <c r="D70" s="356"/>
      <c r="E70" s="90"/>
      <c r="F70" s="90"/>
      <c r="G70" s="90"/>
      <c r="H70" s="92"/>
      <c r="I70" s="92"/>
      <c r="J70" s="92"/>
      <c r="K70" s="277"/>
      <c r="L70" s="281"/>
      <c r="M70" s="286"/>
      <c r="N70" s="272"/>
      <c r="O70" s="91"/>
      <c r="P70" s="91"/>
      <c r="Q70" s="458"/>
      <c r="R70" s="416"/>
      <c r="S70" s="164"/>
      <c r="T70" s="164"/>
      <c r="U70" s="164"/>
      <c r="V70" s="164"/>
      <c r="W70" s="265"/>
      <c r="X70" s="265"/>
      <c r="Y70" s="265"/>
      <c r="Z70" s="262"/>
      <c r="AA70" s="266"/>
      <c r="AB70" s="264"/>
    </row>
    <row r="71" spans="1:28">
      <c r="A71" s="110"/>
      <c r="B71" s="107"/>
      <c r="C71" s="89"/>
      <c r="D71" s="356"/>
      <c r="E71" s="90"/>
      <c r="F71" s="90"/>
      <c r="G71" s="90"/>
      <c r="H71" s="92"/>
      <c r="I71" s="92"/>
      <c r="J71" s="92"/>
      <c r="K71" s="277"/>
      <c r="L71" s="281"/>
      <c r="M71" s="286"/>
      <c r="N71" s="272"/>
      <c r="O71" s="91"/>
      <c r="P71" s="91"/>
      <c r="Q71" s="458"/>
      <c r="R71" s="416"/>
      <c r="S71" s="164"/>
      <c r="T71" s="90"/>
      <c r="U71" s="164"/>
      <c r="V71" s="164"/>
      <c r="W71" s="264"/>
      <c r="X71" s="265"/>
      <c r="Y71" s="265"/>
      <c r="Z71" s="262"/>
      <c r="AA71" s="266"/>
      <c r="AB71" s="264"/>
    </row>
    <row r="72" spans="1:28">
      <c r="A72" s="110"/>
      <c r="B72" s="107"/>
      <c r="C72" s="89"/>
      <c r="D72" s="356"/>
      <c r="E72" s="90"/>
      <c r="F72" s="90"/>
      <c r="G72" s="90"/>
      <c r="H72" s="92"/>
      <c r="I72" s="92"/>
      <c r="J72" s="92"/>
      <c r="K72" s="277"/>
      <c r="L72" s="281"/>
      <c r="M72" s="286"/>
      <c r="N72" s="272"/>
      <c r="O72" s="91"/>
      <c r="P72" s="91"/>
      <c r="Q72" s="458"/>
      <c r="R72" s="416"/>
      <c r="S72" s="164"/>
      <c r="T72" s="90"/>
      <c r="U72" s="164"/>
      <c r="V72" s="164"/>
      <c r="W72" s="264"/>
      <c r="X72" s="265"/>
      <c r="Y72" s="265"/>
      <c r="Z72" s="262"/>
      <c r="AA72" s="266"/>
      <c r="AB72" s="264"/>
    </row>
    <row r="73" spans="1:28">
      <c r="A73" s="110"/>
      <c r="B73" s="107"/>
      <c r="C73" s="89"/>
      <c r="D73" s="356"/>
      <c r="E73" s="90"/>
      <c r="F73" s="90"/>
      <c r="G73" s="90"/>
      <c r="H73" s="92"/>
      <c r="I73" s="92"/>
      <c r="J73" s="92"/>
      <c r="K73" s="278"/>
      <c r="L73" s="281"/>
      <c r="M73" s="287"/>
      <c r="N73" s="272"/>
      <c r="O73" s="91"/>
      <c r="P73" s="91"/>
      <c r="Q73" s="458"/>
      <c r="R73" s="416"/>
      <c r="S73" s="164"/>
      <c r="T73" s="90"/>
      <c r="U73" s="164"/>
      <c r="V73" s="164"/>
      <c r="W73" s="264"/>
      <c r="X73" s="265"/>
      <c r="Y73" s="265"/>
      <c r="Z73" s="262"/>
      <c r="AA73" s="266"/>
      <c r="AB73" s="264"/>
    </row>
    <row r="74" spans="1:28">
      <c r="A74" s="110"/>
      <c r="B74" s="107"/>
      <c r="C74" s="89"/>
      <c r="D74" s="356"/>
      <c r="E74" s="90"/>
      <c r="F74" s="90"/>
      <c r="G74" s="90"/>
      <c r="H74" s="92"/>
      <c r="I74" s="92"/>
      <c r="J74" s="92"/>
      <c r="K74" s="278"/>
      <c r="L74" s="281"/>
      <c r="M74" s="287"/>
      <c r="N74" s="272"/>
      <c r="O74" s="91"/>
      <c r="P74" s="91"/>
      <c r="Q74" s="458"/>
      <c r="R74" s="416"/>
      <c r="S74" s="164"/>
      <c r="T74" s="90"/>
      <c r="U74" s="164"/>
      <c r="V74" s="164"/>
      <c r="W74" s="264"/>
      <c r="X74" s="265"/>
      <c r="Y74" s="265"/>
      <c r="Z74" s="262"/>
      <c r="AA74" s="266"/>
      <c r="AB74" s="264"/>
    </row>
    <row r="75" spans="1:28" ht="15" thickBot="1">
      <c r="A75" s="351"/>
      <c r="B75" s="349"/>
      <c r="C75" s="204"/>
      <c r="D75" s="349"/>
      <c r="E75" s="355"/>
      <c r="F75" s="355"/>
      <c r="G75" s="355"/>
      <c r="H75" s="206"/>
      <c r="I75" s="206"/>
      <c r="J75" s="206"/>
      <c r="K75" s="341"/>
      <c r="L75" s="342"/>
      <c r="M75" s="343"/>
      <c r="N75" s="417"/>
      <c r="O75" s="205"/>
      <c r="P75" s="205"/>
      <c r="Q75" s="461"/>
      <c r="R75" s="419"/>
      <c r="S75" s="419"/>
      <c r="T75" s="355"/>
      <c r="U75" s="419"/>
      <c r="V75" s="419"/>
      <c r="W75" s="418"/>
      <c r="X75" s="427"/>
      <c r="Y75" s="427"/>
      <c r="Z75" s="420"/>
      <c r="AA75" s="428"/>
      <c r="AB75" s="418"/>
    </row>
    <row r="76" spans="1:28">
      <c r="A76" s="201"/>
      <c r="B76" s="243"/>
      <c r="C76" s="196"/>
      <c r="D76" s="197"/>
      <c r="E76" s="214"/>
      <c r="F76" s="214"/>
      <c r="G76" s="214"/>
      <c r="H76" s="197"/>
      <c r="I76" s="197"/>
      <c r="J76" s="197"/>
      <c r="K76" s="400"/>
      <c r="L76" s="401"/>
      <c r="M76" s="402"/>
      <c r="N76" s="414"/>
      <c r="O76" s="238"/>
      <c r="P76" s="421"/>
      <c r="Q76" s="462"/>
      <c r="R76" s="404"/>
      <c r="S76" s="404"/>
      <c r="T76" s="214"/>
      <c r="U76" s="404"/>
      <c r="V76" s="426"/>
      <c r="W76" s="422"/>
      <c r="X76" s="405"/>
      <c r="Y76" s="405"/>
      <c r="Z76" s="406"/>
      <c r="AA76" s="407"/>
      <c r="AB76" s="422"/>
    </row>
    <row r="77" spans="1:28">
      <c r="A77" s="116"/>
      <c r="B77" s="113"/>
      <c r="C77" s="86"/>
      <c r="D77" s="97"/>
      <c r="E77" s="99"/>
      <c r="F77" s="99"/>
      <c r="G77" s="99"/>
      <c r="H77" s="97"/>
      <c r="I77" s="197"/>
      <c r="J77" s="197"/>
      <c r="K77" s="273"/>
      <c r="L77" s="279"/>
      <c r="M77" s="282"/>
      <c r="N77" s="288"/>
      <c r="O77" s="238"/>
      <c r="P77" s="423"/>
      <c r="Q77" s="463"/>
      <c r="R77" s="165"/>
      <c r="S77" s="404"/>
      <c r="T77" s="99"/>
      <c r="U77" s="165"/>
      <c r="V77" s="165"/>
      <c r="W77" s="270"/>
      <c r="X77" s="268"/>
      <c r="Y77" s="268"/>
      <c r="Z77" s="263"/>
      <c r="AA77" s="269"/>
      <c r="AB77" s="270"/>
    </row>
    <row r="78" spans="1:28">
      <c r="A78" s="116"/>
      <c r="B78" s="113"/>
      <c r="C78" s="86"/>
      <c r="D78" s="97"/>
      <c r="E78" s="99"/>
      <c r="F78" s="99"/>
      <c r="G78" s="99"/>
      <c r="H78" s="97"/>
      <c r="I78" s="197"/>
      <c r="J78" s="197"/>
      <c r="K78" s="273"/>
      <c r="L78" s="279"/>
      <c r="M78" s="282"/>
      <c r="N78" s="288"/>
      <c r="O78" s="238"/>
      <c r="P78" s="421"/>
      <c r="Q78" s="463"/>
      <c r="R78" s="165"/>
      <c r="S78" s="404"/>
      <c r="T78" s="99"/>
      <c r="U78" s="165"/>
      <c r="V78" s="165"/>
      <c r="W78" s="270"/>
      <c r="X78" s="268"/>
      <c r="Y78" s="268"/>
      <c r="Z78" s="263"/>
      <c r="AA78" s="269"/>
      <c r="AB78" s="270"/>
    </row>
    <row r="79" spans="1:28">
      <c r="A79" s="116"/>
      <c r="B79" s="113"/>
      <c r="C79" s="86"/>
      <c r="D79" s="97"/>
      <c r="E79" s="99"/>
      <c r="F79" s="99"/>
      <c r="G79" s="99"/>
      <c r="H79" s="97"/>
      <c r="I79" s="197"/>
      <c r="J79" s="197"/>
      <c r="K79" s="273"/>
      <c r="L79" s="279"/>
      <c r="M79" s="282"/>
      <c r="N79" s="289"/>
      <c r="O79" s="238"/>
      <c r="P79" s="423"/>
      <c r="Q79" s="463"/>
      <c r="R79" s="165"/>
      <c r="S79" s="404"/>
      <c r="T79" s="99"/>
      <c r="U79" s="165"/>
      <c r="V79" s="165"/>
      <c r="W79" s="270"/>
      <c r="X79" s="268"/>
      <c r="Y79" s="268"/>
      <c r="Z79" s="263"/>
      <c r="AA79" s="269"/>
      <c r="AB79" s="270"/>
    </row>
    <row r="80" spans="1:28">
      <c r="A80" s="116"/>
      <c r="B80" s="113"/>
      <c r="C80" s="86"/>
      <c r="D80" s="97"/>
      <c r="E80" s="99"/>
      <c r="F80" s="99"/>
      <c r="G80" s="99"/>
      <c r="H80" s="97"/>
      <c r="I80" s="197"/>
      <c r="J80" s="197"/>
      <c r="K80" s="273"/>
      <c r="L80" s="279"/>
      <c r="M80" s="282"/>
      <c r="N80" s="289"/>
      <c r="O80" s="238"/>
      <c r="P80" s="421"/>
      <c r="Q80" s="463"/>
      <c r="R80" s="165"/>
      <c r="S80" s="404"/>
      <c r="T80" s="99"/>
      <c r="U80" s="165"/>
      <c r="V80" s="165"/>
      <c r="W80" s="270"/>
      <c r="X80" s="268"/>
      <c r="Y80" s="268"/>
      <c r="Z80" s="263"/>
      <c r="AA80" s="269"/>
      <c r="AB80" s="270"/>
    </row>
    <row r="81" spans="1:28">
      <c r="A81" s="116"/>
      <c r="B81" s="113"/>
      <c r="C81" s="86"/>
      <c r="D81" s="97"/>
      <c r="E81" s="99"/>
      <c r="F81" s="99"/>
      <c r="G81" s="99"/>
      <c r="H81" s="97"/>
      <c r="I81" s="197"/>
      <c r="J81" s="197"/>
      <c r="K81" s="273"/>
      <c r="L81" s="279"/>
      <c r="M81" s="282"/>
      <c r="N81" s="289"/>
      <c r="O81" s="238"/>
      <c r="P81" s="423"/>
      <c r="Q81" s="463"/>
      <c r="R81" s="165"/>
      <c r="S81" s="404"/>
      <c r="T81" s="99"/>
      <c r="U81" s="165"/>
      <c r="V81" s="165"/>
      <c r="W81" s="270"/>
      <c r="X81" s="268"/>
      <c r="Y81" s="268"/>
      <c r="Z81" s="263"/>
      <c r="AA81" s="269"/>
      <c r="AB81" s="270"/>
    </row>
    <row r="82" spans="1:28">
      <c r="A82" s="116"/>
      <c r="B82" s="113"/>
      <c r="C82" s="86"/>
      <c r="D82" s="97"/>
      <c r="E82" s="99"/>
      <c r="F82" s="99"/>
      <c r="G82" s="99"/>
      <c r="H82" s="97"/>
      <c r="I82" s="197"/>
      <c r="J82" s="197"/>
      <c r="K82" s="274"/>
      <c r="L82" s="279"/>
      <c r="M82" s="283"/>
      <c r="N82" s="288"/>
      <c r="O82" s="238"/>
      <c r="P82" s="421"/>
      <c r="Q82" s="463"/>
      <c r="R82" s="165"/>
      <c r="S82" s="404"/>
      <c r="T82" s="99"/>
      <c r="U82" s="165"/>
      <c r="V82" s="165"/>
      <c r="W82" s="270"/>
      <c r="X82" s="268"/>
      <c r="Y82" s="268"/>
      <c r="Z82" s="263"/>
      <c r="AA82" s="269"/>
      <c r="AB82" s="270"/>
    </row>
    <row r="83" spans="1:28">
      <c r="A83" s="116"/>
      <c r="B83" s="113"/>
      <c r="C83" s="86"/>
      <c r="D83" s="97"/>
      <c r="E83" s="99"/>
      <c r="F83" s="99"/>
      <c r="G83" s="99"/>
      <c r="H83" s="97"/>
      <c r="I83" s="197"/>
      <c r="J83" s="197"/>
      <c r="K83" s="274"/>
      <c r="L83" s="279"/>
      <c r="M83" s="283"/>
      <c r="N83" s="288"/>
      <c r="O83" s="238"/>
      <c r="P83" s="423"/>
      <c r="Q83" s="463"/>
      <c r="R83" s="165"/>
      <c r="S83" s="404"/>
      <c r="T83" s="99"/>
      <c r="U83" s="165"/>
      <c r="V83" s="165"/>
      <c r="W83" s="270"/>
      <c r="X83" s="268"/>
      <c r="Y83" s="268"/>
      <c r="Z83" s="263"/>
      <c r="AA83" s="269"/>
      <c r="AB83" s="270"/>
    </row>
    <row r="84" spans="1:28">
      <c r="A84" s="116"/>
      <c r="B84" s="113"/>
      <c r="C84" s="86"/>
      <c r="D84" s="97"/>
      <c r="E84" s="99"/>
      <c r="F84" s="99"/>
      <c r="G84" s="99"/>
      <c r="H84" s="97"/>
      <c r="I84" s="197"/>
      <c r="J84" s="197"/>
      <c r="K84" s="274"/>
      <c r="L84" s="279"/>
      <c r="M84" s="283"/>
      <c r="N84" s="288"/>
      <c r="O84" s="238"/>
      <c r="P84" s="421"/>
      <c r="Q84" s="463"/>
      <c r="R84" s="165"/>
      <c r="S84" s="404"/>
      <c r="T84" s="99"/>
      <c r="U84" s="165"/>
      <c r="V84" s="165"/>
      <c r="W84" s="270"/>
      <c r="X84" s="268"/>
      <c r="Y84" s="268"/>
      <c r="Z84" s="263"/>
      <c r="AA84" s="269"/>
      <c r="AB84" s="270"/>
    </row>
    <row r="85" spans="1:28">
      <c r="A85" s="116"/>
      <c r="B85" s="113"/>
      <c r="C85" s="86"/>
      <c r="D85" s="97"/>
      <c r="E85" s="99"/>
      <c r="F85" s="99"/>
      <c r="G85" s="99"/>
      <c r="H85" s="97"/>
      <c r="I85" s="197"/>
      <c r="J85" s="197"/>
      <c r="K85" s="274"/>
      <c r="L85" s="279"/>
      <c r="M85" s="283"/>
      <c r="N85" s="289"/>
      <c r="O85" s="238"/>
      <c r="P85" s="423"/>
      <c r="Q85" s="463"/>
      <c r="R85" s="165"/>
      <c r="S85" s="404"/>
      <c r="T85" s="99"/>
      <c r="U85" s="165"/>
      <c r="V85" s="165"/>
      <c r="W85" s="270"/>
      <c r="X85" s="268"/>
      <c r="Y85" s="268"/>
      <c r="Z85" s="263"/>
      <c r="AA85" s="269"/>
      <c r="AB85" s="270"/>
    </row>
    <row r="86" spans="1:28">
      <c r="A86" s="116"/>
      <c r="B86" s="113"/>
      <c r="C86" s="86"/>
      <c r="D86" s="97"/>
      <c r="E86" s="99"/>
      <c r="F86" s="99"/>
      <c r="G86" s="99"/>
      <c r="H86" s="97"/>
      <c r="I86" s="197"/>
      <c r="J86" s="197"/>
      <c r="K86" s="274"/>
      <c r="L86" s="279"/>
      <c r="M86" s="283"/>
      <c r="N86" s="289"/>
      <c r="O86" s="238"/>
      <c r="P86" s="421"/>
      <c r="Q86" s="463"/>
      <c r="R86" s="165"/>
      <c r="S86" s="404"/>
      <c r="T86" s="99"/>
      <c r="U86" s="165"/>
      <c r="V86" s="165"/>
      <c r="W86" s="270"/>
      <c r="X86" s="268"/>
      <c r="Y86" s="268"/>
      <c r="Z86" s="263"/>
      <c r="AA86" s="269"/>
      <c r="AB86" s="270"/>
    </row>
    <row r="87" spans="1:28">
      <c r="A87" s="116"/>
      <c r="B87" s="113"/>
      <c r="C87" s="86"/>
      <c r="D87" s="97"/>
      <c r="E87" s="99"/>
      <c r="F87" s="99"/>
      <c r="G87" s="99"/>
      <c r="H87" s="97"/>
      <c r="I87" s="197"/>
      <c r="J87" s="197"/>
      <c r="K87" s="274"/>
      <c r="L87" s="279"/>
      <c r="M87" s="283"/>
      <c r="N87" s="289"/>
      <c r="O87" s="238"/>
      <c r="P87" s="423"/>
      <c r="Q87" s="463"/>
      <c r="R87" s="165"/>
      <c r="S87" s="404"/>
      <c r="T87" s="99"/>
      <c r="U87" s="165"/>
      <c r="V87" s="165"/>
      <c r="W87" s="270"/>
      <c r="X87" s="268"/>
      <c r="Y87" s="268"/>
      <c r="Z87" s="263"/>
      <c r="AA87" s="269"/>
      <c r="AB87" s="270"/>
    </row>
    <row r="88" spans="1:28">
      <c r="A88" s="116"/>
      <c r="B88" s="113"/>
      <c r="C88" s="86"/>
      <c r="D88" s="97"/>
      <c r="E88" s="99"/>
      <c r="F88" s="99"/>
      <c r="G88" s="99"/>
      <c r="H88" s="97"/>
      <c r="I88" s="197"/>
      <c r="J88" s="197"/>
      <c r="K88" s="275"/>
      <c r="L88" s="280"/>
      <c r="M88" s="284"/>
      <c r="N88" s="288"/>
      <c r="O88" s="238"/>
      <c r="P88" s="421"/>
      <c r="Q88" s="463"/>
      <c r="R88" s="165"/>
      <c r="S88" s="404"/>
      <c r="T88" s="99"/>
      <c r="U88" s="165"/>
      <c r="V88" s="165"/>
      <c r="W88" s="270"/>
      <c r="X88" s="268"/>
      <c r="Y88" s="268"/>
      <c r="Z88" s="263"/>
      <c r="AA88" s="269"/>
      <c r="AB88" s="270"/>
    </row>
    <row r="89" spans="1:28">
      <c r="A89" s="116"/>
      <c r="B89" s="113"/>
      <c r="C89" s="86"/>
      <c r="D89" s="97"/>
      <c r="E89" s="99"/>
      <c r="F89" s="99"/>
      <c r="G89" s="99"/>
      <c r="H89" s="302"/>
      <c r="I89" s="304"/>
      <c r="J89" s="304"/>
      <c r="K89" s="305"/>
      <c r="L89" s="306"/>
      <c r="M89" s="307"/>
      <c r="N89" s="308"/>
      <c r="O89" s="238"/>
      <c r="P89" s="423"/>
      <c r="Q89" s="463"/>
      <c r="R89" s="165"/>
      <c r="S89" s="404"/>
      <c r="T89" s="99"/>
      <c r="U89" s="165"/>
      <c r="V89" s="165"/>
      <c r="W89" s="270"/>
      <c r="X89" s="268"/>
      <c r="Y89" s="268"/>
      <c r="Z89" s="263"/>
      <c r="AA89" s="269"/>
      <c r="AB89" s="270"/>
    </row>
    <row r="90" spans="1:28">
      <c r="A90" s="116"/>
      <c r="B90" s="113"/>
      <c r="C90" s="86"/>
      <c r="D90" s="97"/>
      <c r="E90" s="99"/>
      <c r="F90" s="99"/>
      <c r="G90" s="99"/>
      <c r="H90" s="97"/>
      <c r="I90" s="97"/>
      <c r="J90" s="97"/>
      <c r="K90" s="275"/>
      <c r="L90" s="280"/>
      <c r="M90" s="284"/>
      <c r="N90" s="288"/>
      <c r="O90" s="238"/>
      <c r="P90" s="421"/>
      <c r="Q90" s="463"/>
      <c r="R90" s="165"/>
      <c r="S90" s="404"/>
      <c r="T90" s="99"/>
      <c r="U90" s="165"/>
      <c r="V90" s="165"/>
      <c r="W90" s="270"/>
      <c r="X90" s="268"/>
      <c r="Y90" s="268"/>
      <c r="Z90" s="263"/>
      <c r="AA90" s="269"/>
      <c r="AB90" s="270"/>
    </row>
    <row r="91" spans="1:28">
      <c r="A91" s="116"/>
      <c r="B91" s="113"/>
      <c r="C91" s="86"/>
      <c r="D91" s="97"/>
      <c r="E91" s="99"/>
      <c r="F91" s="99"/>
      <c r="G91" s="99"/>
      <c r="H91" s="197"/>
      <c r="I91" s="197"/>
      <c r="J91" s="197"/>
      <c r="K91" s="312"/>
      <c r="L91" s="313"/>
      <c r="M91" s="314"/>
      <c r="N91" s="315"/>
      <c r="O91" s="238"/>
      <c r="P91" s="423"/>
      <c r="Q91" s="463"/>
      <c r="R91" s="165"/>
      <c r="S91" s="404"/>
      <c r="T91" s="99"/>
      <c r="U91" s="165"/>
      <c r="V91" s="165"/>
      <c r="W91" s="270"/>
      <c r="X91" s="268"/>
      <c r="Y91" s="268"/>
      <c r="Z91" s="263"/>
      <c r="AA91" s="269"/>
      <c r="AB91" s="270"/>
    </row>
    <row r="92" spans="1:28">
      <c r="A92" s="116"/>
      <c r="B92" s="113"/>
      <c r="C92" s="86"/>
      <c r="D92" s="97"/>
      <c r="E92" s="99"/>
      <c r="F92" s="99"/>
      <c r="G92" s="99"/>
      <c r="H92" s="97"/>
      <c r="I92" s="197"/>
      <c r="J92" s="197"/>
      <c r="K92" s="275"/>
      <c r="L92" s="280"/>
      <c r="M92" s="284"/>
      <c r="N92" s="289"/>
      <c r="O92" s="238"/>
      <c r="P92" s="421"/>
      <c r="Q92" s="463"/>
      <c r="R92" s="165"/>
      <c r="S92" s="404"/>
      <c r="T92" s="99"/>
      <c r="U92" s="165"/>
      <c r="V92" s="165"/>
      <c r="W92" s="270"/>
      <c r="X92" s="268"/>
      <c r="Y92" s="268"/>
      <c r="Z92" s="263"/>
      <c r="AA92" s="269"/>
      <c r="AB92" s="270"/>
    </row>
    <row r="93" spans="1:28">
      <c r="A93" s="116"/>
      <c r="B93" s="113"/>
      <c r="C93" s="86"/>
      <c r="D93" s="97"/>
      <c r="E93" s="99"/>
      <c r="F93" s="99"/>
      <c r="G93" s="99"/>
      <c r="H93" s="97"/>
      <c r="I93" s="197"/>
      <c r="J93" s="197"/>
      <c r="K93" s="275"/>
      <c r="L93" s="280"/>
      <c r="M93" s="284"/>
      <c r="N93" s="289"/>
      <c r="O93" s="238"/>
      <c r="P93" s="423"/>
      <c r="Q93" s="463"/>
      <c r="R93" s="165"/>
      <c r="S93" s="404"/>
      <c r="T93" s="99"/>
      <c r="U93" s="165"/>
      <c r="V93" s="165"/>
      <c r="W93" s="270"/>
      <c r="X93" s="268"/>
      <c r="Y93" s="268"/>
      <c r="Z93" s="263"/>
      <c r="AA93" s="269"/>
      <c r="AB93" s="270"/>
    </row>
    <row r="94" spans="1:28">
      <c r="A94" s="116"/>
      <c r="B94" s="113"/>
      <c r="C94" s="86"/>
      <c r="D94" s="97"/>
      <c r="E94" s="99"/>
      <c r="F94" s="99"/>
      <c r="G94" s="99"/>
      <c r="H94" s="97"/>
      <c r="I94" s="197"/>
      <c r="J94" s="197"/>
      <c r="K94" s="276"/>
      <c r="L94" s="280"/>
      <c r="M94" s="285"/>
      <c r="N94" s="288"/>
      <c r="O94" s="238"/>
      <c r="P94" s="421"/>
      <c r="Q94" s="463"/>
      <c r="R94" s="165"/>
      <c r="S94" s="404"/>
      <c r="T94" s="99"/>
      <c r="U94" s="165"/>
      <c r="V94" s="165"/>
      <c r="W94" s="270"/>
      <c r="X94" s="268"/>
      <c r="Y94" s="268"/>
      <c r="Z94" s="263"/>
      <c r="AA94" s="269"/>
      <c r="AB94" s="270"/>
    </row>
    <row r="95" spans="1:28">
      <c r="A95" s="116"/>
      <c r="B95" s="113"/>
      <c r="C95" s="86"/>
      <c r="D95" s="97"/>
      <c r="E95" s="99"/>
      <c r="F95" s="99"/>
      <c r="G95" s="99"/>
      <c r="H95" s="97"/>
      <c r="I95" s="197"/>
      <c r="J95" s="197"/>
      <c r="K95" s="276"/>
      <c r="L95" s="280"/>
      <c r="M95" s="285"/>
      <c r="N95" s="288"/>
      <c r="O95" s="238"/>
      <c r="P95" s="423"/>
      <c r="Q95" s="463"/>
      <c r="R95" s="165"/>
      <c r="S95" s="404"/>
      <c r="T95" s="99"/>
      <c r="U95" s="165"/>
      <c r="V95" s="165"/>
      <c r="W95" s="270"/>
      <c r="X95" s="268"/>
      <c r="Y95" s="268"/>
      <c r="Z95" s="263"/>
      <c r="AA95" s="269"/>
      <c r="AB95" s="270"/>
    </row>
    <row r="96" spans="1:28">
      <c r="A96" s="116"/>
      <c r="B96" s="113"/>
      <c r="C96" s="86"/>
      <c r="D96" s="97"/>
      <c r="E96" s="99"/>
      <c r="F96" s="99"/>
      <c r="G96" s="99"/>
      <c r="H96" s="97"/>
      <c r="I96" s="197"/>
      <c r="J96" s="197"/>
      <c r="K96" s="276"/>
      <c r="L96" s="280"/>
      <c r="M96" s="285"/>
      <c r="N96" s="288"/>
      <c r="O96" s="238"/>
      <c r="P96" s="421"/>
      <c r="Q96" s="463"/>
      <c r="R96" s="165"/>
      <c r="S96" s="404"/>
      <c r="T96" s="99"/>
      <c r="U96" s="165"/>
      <c r="V96" s="165"/>
      <c r="W96" s="270"/>
      <c r="X96" s="268"/>
      <c r="Y96" s="268"/>
      <c r="Z96" s="263"/>
      <c r="AA96" s="269"/>
      <c r="AB96" s="270"/>
    </row>
    <row r="97" spans="1:28">
      <c r="A97" s="116"/>
      <c r="B97" s="113"/>
      <c r="C97" s="86"/>
      <c r="D97" s="97"/>
      <c r="E97" s="99"/>
      <c r="F97" s="99"/>
      <c r="G97" s="99"/>
      <c r="H97" s="97"/>
      <c r="I97" s="197"/>
      <c r="J97" s="197"/>
      <c r="K97" s="276"/>
      <c r="L97" s="280"/>
      <c r="M97" s="285"/>
      <c r="N97" s="289"/>
      <c r="O97" s="238"/>
      <c r="P97" s="423"/>
      <c r="Q97" s="463"/>
      <c r="R97" s="165"/>
      <c r="S97" s="404"/>
      <c r="T97" s="99"/>
      <c r="U97" s="165"/>
      <c r="V97" s="165"/>
      <c r="W97" s="270"/>
      <c r="X97" s="268"/>
      <c r="Y97" s="268"/>
      <c r="Z97" s="263"/>
      <c r="AA97" s="269"/>
      <c r="AB97" s="270"/>
    </row>
    <row r="98" spans="1:28">
      <c r="A98" s="116"/>
      <c r="B98" s="113"/>
      <c r="C98" s="86"/>
      <c r="D98" s="97"/>
      <c r="E98" s="99"/>
      <c r="F98" s="99"/>
      <c r="G98" s="99"/>
      <c r="H98" s="97"/>
      <c r="I98" s="197"/>
      <c r="J98" s="197"/>
      <c r="K98" s="276"/>
      <c r="L98" s="280"/>
      <c r="M98" s="285"/>
      <c r="N98" s="289"/>
      <c r="O98" s="238"/>
      <c r="P98" s="421"/>
      <c r="Q98" s="463"/>
      <c r="R98" s="165"/>
      <c r="S98" s="404"/>
      <c r="T98" s="99"/>
      <c r="U98" s="165"/>
      <c r="V98" s="165"/>
      <c r="W98" s="270"/>
      <c r="X98" s="268"/>
      <c r="Y98" s="268"/>
      <c r="Z98" s="263"/>
      <c r="AA98" s="269"/>
      <c r="AB98" s="270"/>
    </row>
    <row r="99" spans="1:28">
      <c r="A99" s="116"/>
      <c r="B99" s="113"/>
      <c r="C99" s="86"/>
      <c r="D99" s="97"/>
      <c r="E99" s="99"/>
      <c r="F99" s="99"/>
      <c r="G99" s="99"/>
      <c r="H99" s="97"/>
      <c r="I99" s="197"/>
      <c r="J99" s="197"/>
      <c r="K99" s="276"/>
      <c r="L99" s="280"/>
      <c r="M99" s="285"/>
      <c r="N99" s="289"/>
      <c r="O99" s="238"/>
      <c r="P99" s="423"/>
      <c r="Q99" s="463"/>
      <c r="R99" s="165"/>
      <c r="S99" s="404"/>
      <c r="T99" s="99"/>
      <c r="U99" s="165"/>
      <c r="V99" s="165"/>
      <c r="W99" s="270"/>
      <c r="X99" s="268"/>
      <c r="Y99" s="268"/>
      <c r="Z99" s="263"/>
      <c r="AA99" s="269"/>
      <c r="AB99" s="270"/>
    </row>
    <row r="100" spans="1:28">
      <c r="A100" s="116"/>
      <c r="B100" s="271"/>
      <c r="C100" s="86"/>
      <c r="D100" s="97"/>
      <c r="E100" s="99"/>
      <c r="F100" s="99"/>
      <c r="G100" s="99"/>
      <c r="H100" s="97"/>
      <c r="I100" s="197"/>
      <c r="J100" s="197"/>
      <c r="K100" s="277"/>
      <c r="L100" s="281"/>
      <c r="M100" s="286"/>
      <c r="N100" s="288"/>
      <c r="O100" s="267"/>
      <c r="P100" s="421"/>
      <c r="Q100" s="463"/>
      <c r="R100" s="165"/>
      <c r="S100" s="404"/>
      <c r="T100" s="165"/>
      <c r="U100" s="165"/>
      <c r="V100" s="165"/>
      <c r="W100" s="268"/>
      <c r="X100" s="268"/>
      <c r="Y100" s="268"/>
      <c r="Z100" s="263"/>
      <c r="AA100" s="269"/>
      <c r="AB100" s="269"/>
    </row>
    <row r="101" spans="1:28">
      <c r="A101" s="116"/>
      <c r="B101" s="271"/>
      <c r="C101" s="86"/>
      <c r="D101" s="97"/>
      <c r="E101" s="99"/>
      <c r="F101" s="99"/>
      <c r="G101" s="99"/>
      <c r="H101" s="97"/>
      <c r="I101" s="197"/>
      <c r="J101" s="197"/>
      <c r="K101" s="277"/>
      <c r="L101" s="281"/>
      <c r="M101" s="286"/>
      <c r="N101" s="288"/>
      <c r="O101" s="267"/>
      <c r="P101" s="423"/>
      <c r="Q101" s="463"/>
      <c r="R101" s="165"/>
      <c r="S101" s="404"/>
      <c r="T101" s="165"/>
      <c r="U101" s="165"/>
      <c r="V101" s="165"/>
      <c r="W101" s="268"/>
      <c r="X101" s="268"/>
      <c r="Y101" s="268"/>
      <c r="Z101" s="263"/>
      <c r="AA101" s="269"/>
      <c r="AB101" s="269"/>
    </row>
    <row r="102" spans="1:28">
      <c r="A102" s="116"/>
      <c r="B102" s="271"/>
      <c r="C102" s="86"/>
      <c r="D102" s="97"/>
      <c r="E102" s="99"/>
      <c r="F102" s="99"/>
      <c r="G102" s="99"/>
      <c r="H102" s="97"/>
      <c r="I102" s="197"/>
      <c r="J102" s="197"/>
      <c r="K102" s="277"/>
      <c r="L102" s="281"/>
      <c r="M102" s="286"/>
      <c r="N102" s="288"/>
      <c r="O102" s="267"/>
      <c r="P102" s="421"/>
      <c r="Q102" s="463"/>
      <c r="R102" s="165"/>
      <c r="S102" s="404"/>
      <c r="T102" s="165"/>
      <c r="U102" s="165"/>
      <c r="V102" s="165"/>
      <c r="W102" s="268"/>
      <c r="X102" s="268"/>
      <c r="Y102" s="268"/>
      <c r="Z102" s="263"/>
      <c r="AA102" s="269"/>
      <c r="AB102" s="269"/>
    </row>
    <row r="103" spans="1:28">
      <c r="A103" s="116"/>
      <c r="B103" s="271"/>
      <c r="C103" s="86"/>
      <c r="D103" s="97"/>
      <c r="E103" s="99"/>
      <c r="F103" s="99"/>
      <c r="G103" s="99"/>
      <c r="H103" s="97"/>
      <c r="I103" s="197"/>
      <c r="J103" s="197"/>
      <c r="K103" s="277"/>
      <c r="L103" s="281"/>
      <c r="M103" s="286"/>
      <c r="N103" s="289"/>
      <c r="O103" s="267"/>
      <c r="P103" s="423"/>
      <c r="Q103" s="463"/>
      <c r="R103" s="165"/>
      <c r="S103" s="404"/>
      <c r="T103" s="165"/>
      <c r="U103" s="165"/>
      <c r="V103" s="165"/>
      <c r="W103" s="268"/>
      <c r="X103" s="268"/>
      <c r="Y103" s="268"/>
      <c r="Z103" s="263"/>
      <c r="AA103" s="269"/>
      <c r="AB103" s="269"/>
    </row>
    <row r="104" spans="1:28">
      <c r="A104" s="116"/>
      <c r="B104" s="271"/>
      <c r="C104" s="86"/>
      <c r="D104" s="97"/>
      <c r="E104" s="99"/>
      <c r="F104" s="99"/>
      <c r="G104" s="99"/>
      <c r="H104" s="97"/>
      <c r="I104" s="197"/>
      <c r="J104" s="197"/>
      <c r="K104" s="277"/>
      <c r="L104" s="281"/>
      <c r="M104" s="286"/>
      <c r="N104" s="289"/>
      <c r="O104" s="267"/>
      <c r="P104" s="421"/>
      <c r="Q104" s="463"/>
      <c r="R104" s="165"/>
      <c r="S104" s="404"/>
      <c r="T104" s="165"/>
      <c r="U104" s="165"/>
      <c r="V104" s="165"/>
      <c r="W104" s="268"/>
      <c r="X104" s="268"/>
      <c r="Y104" s="268"/>
      <c r="Z104" s="263"/>
      <c r="AA104" s="269"/>
      <c r="AB104" s="269"/>
    </row>
    <row r="105" spans="1:28">
      <c r="A105" s="116"/>
      <c r="B105" s="271"/>
      <c r="C105" s="86"/>
      <c r="D105" s="97"/>
      <c r="E105" s="99"/>
      <c r="F105" s="99"/>
      <c r="G105" s="99"/>
      <c r="H105" s="97"/>
      <c r="I105" s="197"/>
      <c r="J105" s="197"/>
      <c r="K105" s="277"/>
      <c r="L105" s="281"/>
      <c r="M105" s="286"/>
      <c r="N105" s="289"/>
      <c r="O105" s="267"/>
      <c r="P105" s="423"/>
      <c r="Q105" s="463"/>
      <c r="R105" s="165"/>
      <c r="S105" s="404"/>
      <c r="T105" s="165"/>
      <c r="U105" s="165"/>
      <c r="V105" s="165"/>
      <c r="W105" s="268"/>
      <c r="X105" s="268"/>
      <c r="Y105" s="268"/>
      <c r="Z105" s="263"/>
      <c r="AA105" s="269"/>
      <c r="AB105" s="269"/>
    </row>
    <row r="106" spans="1:28">
      <c r="A106" s="116"/>
      <c r="B106" s="271"/>
      <c r="C106" s="86"/>
      <c r="D106" s="97"/>
      <c r="E106" s="99"/>
      <c r="F106" s="99"/>
      <c r="G106" s="99"/>
      <c r="H106" s="97"/>
      <c r="I106" s="197"/>
      <c r="J106" s="197"/>
      <c r="K106" s="278"/>
      <c r="L106" s="281"/>
      <c r="M106" s="287"/>
      <c r="N106" s="288"/>
      <c r="O106" s="267"/>
      <c r="P106" s="421"/>
      <c r="Q106" s="463"/>
      <c r="R106" s="165"/>
      <c r="S106" s="404"/>
      <c r="T106" s="165"/>
      <c r="U106" s="165"/>
      <c r="V106" s="165"/>
      <c r="W106" s="268"/>
      <c r="X106" s="268"/>
      <c r="Y106" s="268"/>
      <c r="Z106" s="263"/>
      <c r="AA106" s="269"/>
      <c r="AB106" s="269"/>
    </row>
    <row r="107" spans="1:28">
      <c r="A107" s="116"/>
      <c r="B107" s="271"/>
      <c r="C107" s="86"/>
      <c r="D107" s="97"/>
      <c r="E107" s="99"/>
      <c r="F107" s="99"/>
      <c r="G107" s="99"/>
      <c r="H107" s="97"/>
      <c r="I107" s="197"/>
      <c r="J107" s="197"/>
      <c r="K107" s="278"/>
      <c r="L107" s="281"/>
      <c r="M107" s="287"/>
      <c r="N107" s="288"/>
      <c r="O107" s="267"/>
      <c r="P107" s="423"/>
      <c r="Q107" s="463"/>
      <c r="R107" s="165"/>
      <c r="S107" s="404"/>
      <c r="T107" s="165"/>
      <c r="U107" s="165"/>
      <c r="V107" s="165"/>
      <c r="W107" s="268"/>
      <c r="X107" s="268"/>
      <c r="Y107" s="268"/>
      <c r="Z107" s="263"/>
      <c r="AA107" s="269"/>
      <c r="AB107" s="269"/>
    </row>
    <row r="108" spans="1:28">
      <c r="A108" s="116"/>
      <c r="B108" s="271"/>
      <c r="C108" s="86"/>
      <c r="D108" s="97"/>
      <c r="E108" s="99"/>
      <c r="F108" s="99"/>
      <c r="G108" s="99"/>
      <c r="H108" s="97"/>
      <c r="I108" s="197"/>
      <c r="J108" s="197"/>
      <c r="K108" s="278"/>
      <c r="L108" s="281"/>
      <c r="M108" s="287"/>
      <c r="N108" s="288"/>
      <c r="O108" s="267"/>
      <c r="P108" s="421"/>
      <c r="Q108" s="463"/>
      <c r="R108" s="165"/>
      <c r="S108" s="404"/>
      <c r="T108" s="165"/>
      <c r="U108" s="165"/>
      <c r="V108" s="165"/>
      <c r="W108" s="268"/>
      <c r="X108" s="268"/>
      <c r="Y108" s="268"/>
      <c r="Z108" s="263"/>
      <c r="AA108" s="269"/>
      <c r="AB108" s="269"/>
    </row>
    <row r="109" spans="1:28">
      <c r="A109" s="116"/>
      <c r="B109" s="271"/>
      <c r="C109" s="86"/>
      <c r="D109" s="113"/>
      <c r="E109" s="99"/>
      <c r="F109" s="99"/>
      <c r="G109" s="99"/>
      <c r="H109" s="97"/>
      <c r="I109" s="197"/>
      <c r="J109" s="197"/>
      <c r="K109" s="278"/>
      <c r="L109" s="281"/>
      <c r="M109" s="287"/>
      <c r="N109" s="289"/>
      <c r="O109" s="267"/>
      <c r="P109" s="423"/>
      <c r="Q109" s="463"/>
      <c r="R109" s="165"/>
      <c r="S109" s="404"/>
      <c r="T109" s="165"/>
      <c r="U109" s="165"/>
      <c r="V109" s="165"/>
      <c r="W109" s="268"/>
      <c r="X109" s="268"/>
      <c r="Y109" s="268"/>
      <c r="Z109" s="263"/>
      <c r="AA109" s="269"/>
      <c r="AB109" s="269"/>
    </row>
    <row r="110" spans="1:28">
      <c r="A110" s="116"/>
      <c r="B110" s="271"/>
      <c r="C110" s="86"/>
      <c r="D110" s="113"/>
      <c r="E110" s="99"/>
      <c r="F110" s="99"/>
      <c r="G110" s="99"/>
      <c r="H110" s="97"/>
      <c r="I110" s="197"/>
      <c r="J110" s="197"/>
      <c r="K110" s="278"/>
      <c r="L110" s="281"/>
      <c r="M110" s="287"/>
      <c r="N110" s="289"/>
      <c r="O110" s="267"/>
      <c r="P110" s="421"/>
      <c r="Q110" s="463"/>
      <c r="R110" s="165"/>
      <c r="S110" s="404"/>
      <c r="T110" s="165"/>
      <c r="U110" s="165"/>
      <c r="V110" s="165"/>
      <c r="W110" s="268"/>
      <c r="X110" s="268"/>
      <c r="Y110" s="268"/>
      <c r="Z110" s="263"/>
      <c r="AA110" s="269"/>
      <c r="AB110" s="269"/>
    </row>
    <row r="111" spans="1:28" ht="15" thickBot="1">
      <c r="A111" s="257"/>
      <c r="B111" s="408"/>
      <c r="C111" s="240"/>
      <c r="D111" s="255"/>
      <c r="E111" s="239"/>
      <c r="F111" s="239"/>
      <c r="G111" s="239"/>
      <c r="H111" s="241"/>
      <c r="I111" s="241"/>
      <c r="J111" s="241"/>
      <c r="K111" s="323"/>
      <c r="L111" s="324"/>
      <c r="M111" s="325"/>
      <c r="N111" s="326"/>
      <c r="O111" s="409"/>
      <c r="P111" s="242"/>
      <c r="Q111" s="464"/>
      <c r="R111" s="410"/>
      <c r="S111" s="410"/>
      <c r="T111" s="410"/>
      <c r="U111" s="410"/>
      <c r="V111" s="410"/>
      <c r="W111" s="411"/>
      <c r="X111" s="411"/>
      <c r="Y111" s="411"/>
      <c r="Z111" s="412"/>
      <c r="AA111" s="413"/>
      <c r="AB111" s="413"/>
    </row>
    <row r="112" spans="1:28" ht="15" thickTop="1">
      <c r="A112" s="201"/>
      <c r="B112" s="399"/>
      <c r="C112" s="196"/>
      <c r="D112" s="243"/>
      <c r="E112" s="214"/>
      <c r="F112" s="214"/>
      <c r="G112" s="214"/>
      <c r="H112" s="197"/>
      <c r="I112" s="197"/>
      <c r="J112" s="197"/>
      <c r="K112" s="400"/>
      <c r="L112" s="401"/>
      <c r="M112" s="402"/>
      <c r="N112" s="332"/>
      <c r="O112" s="403"/>
      <c r="P112" s="238"/>
      <c r="Q112" s="465"/>
      <c r="R112" s="404"/>
      <c r="S112" s="404"/>
      <c r="T112" s="404"/>
      <c r="U112" s="404"/>
      <c r="V112" s="404"/>
      <c r="W112" s="405"/>
      <c r="X112" s="405"/>
      <c r="Y112" s="405"/>
      <c r="Z112" s="406"/>
      <c r="AA112" s="407"/>
      <c r="AB112" s="407"/>
    </row>
    <row r="113" spans="1:28">
      <c r="A113" s="116"/>
      <c r="B113" s="271"/>
      <c r="C113" s="86"/>
      <c r="D113" s="113"/>
      <c r="E113" s="99"/>
      <c r="F113" s="99"/>
      <c r="G113" s="99"/>
      <c r="H113" s="97"/>
      <c r="I113" s="197"/>
      <c r="J113" s="197"/>
      <c r="K113" s="273"/>
      <c r="L113" s="279"/>
      <c r="M113" s="282"/>
      <c r="N113" s="194"/>
      <c r="O113" s="403"/>
      <c r="P113" s="100"/>
      <c r="Q113" s="466"/>
      <c r="R113" s="165"/>
      <c r="S113" s="404"/>
      <c r="T113" s="165"/>
      <c r="U113" s="165"/>
      <c r="V113" s="165"/>
      <c r="W113" s="268"/>
      <c r="X113" s="268"/>
      <c r="Y113" s="268"/>
      <c r="Z113" s="263"/>
      <c r="AA113" s="269"/>
      <c r="AB113" s="269"/>
    </row>
    <row r="114" spans="1:28">
      <c r="A114" s="116"/>
      <c r="B114" s="271"/>
      <c r="C114" s="86"/>
      <c r="D114" s="113"/>
      <c r="E114" s="99"/>
      <c r="F114" s="99"/>
      <c r="G114" s="99"/>
      <c r="H114" s="97"/>
      <c r="I114" s="197"/>
      <c r="J114" s="197"/>
      <c r="K114" s="273"/>
      <c r="L114" s="279"/>
      <c r="M114" s="282"/>
      <c r="N114" s="194"/>
      <c r="O114" s="403"/>
      <c r="P114" s="238"/>
      <c r="Q114" s="466"/>
      <c r="R114" s="165"/>
      <c r="S114" s="404"/>
      <c r="T114" s="165"/>
      <c r="U114" s="165"/>
      <c r="V114" s="165"/>
      <c r="W114" s="268"/>
      <c r="X114" s="268"/>
      <c r="Y114" s="268"/>
      <c r="Z114" s="263"/>
      <c r="AA114" s="269"/>
      <c r="AB114" s="269"/>
    </row>
    <row r="115" spans="1:28">
      <c r="A115" s="116"/>
      <c r="B115" s="271"/>
      <c r="C115" s="86"/>
      <c r="D115" s="113"/>
      <c r="E115" s="99"/>
      <c r="F115" s="99"/>
      <c r="G115" s="99"/>
      <c r="H115" s="97"/>
      <c r="I115" s="197"/>
      <c r="J115" s="197"/>
      <c r="K115" s="274"/>
      <c r="L115" s="279"/>
      <c r="M115" s="283"/>
      <c r="N115" s="194"/>
      <c r="O115" s="403"/>
      <c r="P115" s="100"/>
      <c r="Q115" s="466"/>
      <c r="R115" s="165"/>
      <c r="S115" s="404"/>
      <c r="T115" s="165"/>
      <c r="U115" s="165"/>
      <c r="V115" s="165"/>
      <c r="W115" s="268"/>
      <c r="X115" s="268"/>
      <c r="Y115" s="268"/>
      <c r="Z115" s="263"/>
      <c r="AA115" s="269"/>
      <c r="AB115" s="269"/>
    </row>
    <row r="116" spans="1:28">
      <c r="A116" s="116"/>
      <c r="B116" s="271"/>
      <c r="C116" s="86"/>
      <c r="D116" s="113"/>
      <c r="E116" s="99"/>
      <c r="F116" s="99"/>
      <c r="G116" s="99"/>
      <c r="H116" s="97"/>
      <c r="I116" s="197"/>
      <c r="J116" s="197"/>
      <c r="K116" s="274"/>
      <c r="L116" s="279"/>
      <c r="M116" s="283"/>
      <c r="N116" s="194"/>
      <c r="O116" s="403"/>
      <c r="P116" s="238"/>
      <c r="Q116" s="466"/>
      <c r="R116" s="165"/>
      <c r="S116" s="404"/>
      <c r="T116" s="165"/>
      <c r="U116" s="165"/>
      <c r="V116" s="165"/>
      <c r="W116" s="268"/>
      <c r="X116" s="268"/>
      <c r="Y116" s="268"/>
      <c r="Z116" s="263"/>
      <c r="AA116" s="269"/>
      <c r="AB116" s="269"/>
    </row>
    <row r="117" spans="1:28">
      <c r="A117" s="116"/>
      <c r="B117" s="271"/>
      <c r="C117" s="86"/>
      <c r="D117" s="113"/>
      <c r="E117" s="99"/>
      <c r="F117" s="99"/>
      <c r="G117" s="99"/>
      <c r="H117" s="97"/>
      <c r="I117" s="197"/>
      <c r="J117" s="197"/>
      <c r="K117" s="274"/>
      <c r="L117" s="279"/>
      <c r="M117" s="283"/>
      <c r="N117" s="194"/>
      <c r="O117" s="403"/>
      <c r="P117" s="100"/>
      <c r="Q117" s="466"/>
      <c r="R117" s="165"/>
      <c r="S117" s="404"/>
      <c r="T117" s="165"/>
      <c r="U117" s="165"/>
      <c r="V117" s="165"/>
      <c r="W117" s="268"/>
      <c r="X117" s="268"/>
      <c r="Y117" s="268"/>
      <c r="Z117" s="263"/>
      <c r="AA117" s="269"/>
      <c r="AB117" s="269"/>
    </row>
    <row r="118" spans="1:28">
      <c r="A118" s="116"/>
      <c r="B118" s="271"/>
      <c r="C118" s="86"/>
      <c r="D118" s="113"/>
      <c r="E118" s="99"/>
      <c r="F118" s="99"/>
      <c r="G118" s="99"/>
      <c r="H118" s="97"/>
      <c r="I118" s="197"/>
      <c r="J118" s="197"/>
      <c r="K118" s="275"/>
      <c r="L118" s="280"/>
      <c r="M118" s="284"/>
      <c r="N118" s="194"/>
      <c r="O118" s="403"/>
      <c r="P118" s="238"/>
      <c r="Q118" s="466"/>
      <c r="R118" s="165"/>
      <c r="S118" s="404"/>
      <c r="T118" s="165"/>
      <c r="U118" s="165"/>
      <c r="V118" s="165"/>
      <c r="W118" s="268"/>
      <c r="X118" s="268"/>
      <c r="Y118" s="268"/>
      <c r="Z118" s="263"/>
      <c r="AA118" s="269"/>
      <c r="AB118" s="269"/>
    </row>
    <row r="119" spans="1:28">
      <c r="A119" s="116"/>
      <c r="B119" s="271"/>
      <c r="C119" s="86"/>
      <c r="D119" s="113"/>
      <c r="E119" s="99"/>
      <c r="F119" s="99"/>
      <c r="G119" s="99"/>
      <c r="H119" s="97"/>
      <c r="I119" s="197"/>
      <c r="J119" s="197"/>
      <c r="K119" s="275"/>
      <c r="L119" s="280"/>
      <c r="M119" s="284"/>
      <c r="N119" s="194"/>
      <c r="O119" s="403"/>
      <c r="P119" s="100"/>
      <c r="Q119" s="466"/>
      <c r="R119" s="165"/>
      <c r="S119" s="404"/>
      <c r="T119" s="165"/>
      <c r="U119" s="165"/>
      <c r="V119" s="165"/>
      <c r="W119" s="268"/>
      <c r="X119" s="268"/>
      <c r="Y119" s="268"/>
      <c r="Z119" s="263"/>
      <c r="AA119" s="269"/>
      <c r="AB119" s="269"/>
    </row>
    <row r="120" spans="1:28">
      <c r="A120" s="116"/>
      <c r="B120" s="271"/>
      <c r="C120" s="86"/>
      <c r="D120" s="113"/>
      <c r="E120" s="99"/>
      <c r="F120" s="99"/>
      <c r="G120" s="99"/>
      <c r="H120" s="97"/>
      <c r="I120" s="197"/>
      <c r="J120" s="197"/>
      <c r="K120" s="275"/>
      <c r="L120" s="280"/>
      <c r="M120" s="284"/>
      <c r="N120" s="194"/>
      <c r="O120" s="403"/>
      <c r="P120" s="238"/>
      <c r="Q120" s="466"/>
      <c r="R120" s="165"/>
      <c r="S120" s="404"/>
      <c r="T120" s="165"/>
      <c r="U120" s="165"/>
      <c r="V120" s="165"/>
      <c r="W120" s="268"/>
      <c r="X120" s="268"/>
      <c r="Y120" s="268"/>
      <c r="Z120" s="263"/>
      <c r="AA120" s="269"/>
      <c r="AB120" s="269"/>
    </row>
    <row r="121" spans="1:28">
      <c r="A121" s="116"/>
      <c r="B121" s="271"/>
      <c r="C121" s="86"/>
      <c r="D121" s="113"/>
      <c r="E121" s="99"/>
      <c r="F121" s="99"/>
      <c r="G121" s="99"/>
      <c r="H121" s="97"/>
      <c r="I121" s="197"/>
      <c r="J121" s="197"/>
      <c r="K121" s="276"/>
      <c r="L121" s="280"/>
      <c r="M121" s="285"/>
      <c r="N121" s="194"/>
      <c r="O121" s="403"/>
      <c r="P121" s="100"/>
      <c r="Q121" s="466"/>
      <c r="R121" s="165"/>
      <c r="S121" s="404"/>
      <c r="T121" s="165"/>
      <c r="U121" s="165"/>
      <c r="V121" s="165"/>
      <c r="W121" s="268"/>
      <c r="X121" s="268"/>
      <c r="Y121" s="268"/>
      <c r="Z121" s="263"/>
      <c r="AA121" s="269"/>
      <c r="AB121" s="269"/>
    </row>
    <row r="122" spans="1:28">
      <c r="A122" s="116"/>
      <c r="B122" s="271"/>
      <c r="C122" s="86"/>
      <c r="D122" s="113"/>
      <c r="E122" s="99"/>
      <c r="F122" s="99"/>
      <c r="G122" s="99"/>
      <c r="H122" s="97"/>
      <c r="I122" s="197"/>
      <c r="J122" s="197"/>
      <c r="K122" s="276"/>
      <c r="L122" s="280"/>
      <c r="M122" s="285"/>
      <c r="N122" s="194"/>
      <c r="O122" s="403"/>
      <c r="P122" s="238"/>
      <c r="Q122" s="466"/>
      <c r="R122" s="165"/>
      <c r="S122" s="404"/>
      <c r="T122" s="165"/>
      <c r="U122" s="165"/>
      <c r="V122" s="165"/>
      <c r="W122" s="268"/>
      <c r="X122" s="268"/>
      <c r="Y122" s="268"/>
      <c r="Z122" s="263"/>
      <c r="AA122" s="269"/>
      <c r="AB122" s="269"/>
    </row>
    <row r="123" spans="1:28">
      <c r="A123" s="116"/>
      <c r="B123" s="271"/>
      <c r="C123" s="86"/>
      <c r="D123" s="113"/>
      <c r="E123" s="99"/>
      <c r="F123" s="99"/>
      <c r="G123" s="99"/>
      <c r="H123" s="97"/>
      <c r="I123" s="197"/>
      <c r="J123" s="197"/>
      <c r="K123" s="276"/>
      <c r="L123" s="280"/>
      <c r="M123" s="285"/>
      <c r="N123" s="194"/>
      <c r="O123" s="403"/>
      <c r="P123" s="100"/>
      <c r="Q123" s="466"/>
      <c r="R123" s="165"/>
      <c r="S123" s="404"/>
      <c r="T123" s="165"/>
      <c r="U123" s="165"/>
      <c r="V123" s="165"/>
      <c r="W123" s="268"/>
      <c r="X123" s="268"/>
      <c r="Y123" s="268"/>
      <c r="Z123" s="263"/>
      <c r="AA123" s="269"/>
      <c r="AB123" s="269"/>
    </row>
    <row r="124" spans="1:28">
      <c r="A124" s="116"/>
      <c r="B124" s="271"/>
      <c r="C124" s="86"/>
      <c r="D124" s="113"/>
      <c r="E124" s="99"/>
      <c r="F124" s="99"/>
      <c r="G124" s="99"/>
      <c r="H124" s="97"/>
      <c r="I124" s="197"/>
      <c r="J124" s="197"/>
      <c r="K124" s="277"/>
      <c r="L124" s="281"/>
      <c r="M124" s="286"/>
      <c r="N124" s="194"/>
      <c r="O124" s="403"/>
      <c r="P124" s="238"/>
      <c r="Q124" s="466"/>
      <c r="R124" s="165"/>
      <c r="S124" s="404"/>
      <c r="T124" s="165"/>
      <c r="U124" s="165"/>
      <c r="V124" s="165"/>
      <c r="W124" s="268"/>
      <c r="X124" s="268"/>
      <c r="Y124" s="268"/>
      <c r="Z124" s="263"/>
      <c r="AA124" s="269"/>
      <c r="AB124" s="269"/>
    </row>
    <row r="125" spans="1:28">
      <c r="A125" s="116"/>
      <c r="B125" s="271"/>
      <c r="C125" s="86"/>
      <c r="D125" s="113"/>
      <c r="E125" s="99"/>
      <c r="F125" s="99"/>
      <c r="G125" s="99"/>
      <c r="H125" s="97"/>
      <c r="I125" s="197"/>
      <c r="J125" s="197"/>
      <c r="K125" s="277"/>
      <c r="L125" s="281"/>
      <c r="M125" s="286"/>
      <c r="N125" s="194"/>
      <c r="O125" s="403"/>
      <c r="P125" s="100"/>
      <c r="Q125" s="466"/>
      <c r="R125" s="165"/>
      <c r="S125" s="404"/>
      <c r="T125" s="165"/>
      <c r="U125" s="165"/>
      <c r="V125" s="165"/>
      <c r="W125" s="268"/>
      <c r="X125" s="268"/>
      <c r="Y125" s="268"/>
      <c r="Z125" s="263"/>
      <c r="AA125" s="269"/>
      <c r="AB125" s="269"/>
    </row>
    <row r="126" spans="1:28">
      <c r="A126" s="116"/>
      <c r="B126" s="271"/>
      <c r="C126" s="86"/>
      <c r="D126" s="113"/>
      <c r="E126" s="99"/>
      <c r="F126" s="99"/>
      <c r="G126" s="99"/>
      <c r="H126" s="97"/>
      <c r="I126" s="197"/>
      <c r="J126" s="197"/>
      <c r="K126" s="277"/>
      <c r="L126" s="281"/>
      <c r="M126" s="286"/>
      <c r="N126" s="194"/>
      <c r="O126" s="403"/>
      <c r="P126" s="238"/>
      <c r="Q126" s="466"/>
      <c r="R126" s="165"/>
      <c r="S126" s="404"/>
      <c r="T126" s="165"/>
      <c r="U126" s="165"/>
      <c r="V126" s="165"/>
      <c r="W126" s="268"/>
      <c r="X126" s="268"/>
      <c r="Y126" s="268"/>
      <c r="Z126" s="263"/>
      <c r="AA126" s="269"/>
      <c r="AB126" s="269"/>
    </row>
    <row r="127" spans="1:28">
      <c r="A127" s="116"/>
      <c r="B127" s="271"/>
      <c r="C127" s="86"/>
      <c r="D127" s="113"/>
      <c r="E127" s="99"/>
      <c r="F127" s="99"/>
      <c r="G127" s="99"/>
      <c r="H127" s="97"/>
      <c r="I127" s="197"/>
      <c r="J127" s="197"/>
      <c r="K127" s="278"/>
      <c r="L127" s="281"/>
      <c r="M127" s="287"/>
      <c r="N127" s="194"/>
      <c r="O127" s="403"/>
      <c r="P127" s="100"/>
      <c r="Q127" s="466"/>
      <c r="R127" s="165"/>
      <c r="S127" s="404"/>
      <c r="T127" s="165"/>
      <c r="U127" s="165"/>
      <c r="V127" s="165"/>
      <c r="W127" s="268"/>
      <c r="X127" s="268"/>
      <c r="Y127" s="268"/>
      <c r="Z127" s="263"/>
      <c r="AA127" s="269"/>
      <c r="AB127" s="269"/>
    </row>
    <row r="128" spans="1:28">
      <c r="A128" s="116"/>
      <c r="B128" s="271"/>
      <c r="C128" s="86"/>
      <c r="D128" s="113"/>
      <c r="E128" s="99"/>
      <c r="F128" s="99"/>
      <c r="G128" s="99"/>
      <c r="H128" s="97"/>
      <c r="I128" s="197"/>
      <c r="J128" s="197"/>
      <c r="K128" s="278"/>
      <c r="L128" s="281"/>
      <c r="M128" s="287"/>
      <c r="N128" s="194"/>
      <c r="O128" s="403"/>
      <c r="P128" s="238"/>
      <c r="Q128" s="466"/>
      <c r="R128" s="165"/>
      <c r="S128" s="404"/>
      <c r="T128" s="165"/>
      <c r="U128" s="165"/>
      <c r="V128" s="165"/>
      <c r="W128" s="268"/>
      <c r="X128" s="268"/>
      <c r="Y128" s="268"/>
      <c r="Z128" s="263"/>
      <c r="AA128" s="269"/>
      <c r="AB128" s="269"/>
    </row>
    <row r="129" spans="1:28" ht="15" thickBot="1">
      <c r="A129" s="116"/>
      <c r="B129" s="271"/>
      <c r="C129" s="86"/>
      <c r="D129" s="113"/>
      <c r="E129" s="99"/>
      <c r="F129" s="99"/>
      <c r="G129" s="99"/>
      <c r="H129" s="211"/>
      <c r="I129" s="211"/>
      <c r="J129" s="211"/>
      <c r="K129" s="341"/>
      <c r="L129" s="342"/>
      <c r="M129" s="343"/>
      <c r="N129" s="344"/>
      <c r="O129" s="403"/>
      <c r="P129" s="100"/>
      <c r="Q129" s="466"/>
      <c r="R129" s="165"/>
      <c r="S129" s="404"/>
      <c r="T129" s="165"/>
      <c r="U129" s="165"/>
      <c r="V129" s="165"/>
      <c r="W129" s="268"/>
      <c r="X129" s="268"/>
      <c r="Y129" s="268"/>
      <c r="Z129" s="263"/>
      <c r="AA129" s="269"/>
      <c r="AB129" s="269"/>
    </row>
  </sheetData>
  <mergeCells count="28">
    <mergeCell ref="F1:F3"/>
    <mergeCell ref="A1:A3"/>
    <mergeCell ref="B1:B3"/>
    <mergeCell ref="C1:C3"/>
    <mergeCell ref="D1:D3"/>
    <mergeCell ref="E1:E3"/>
    <mergeCell ref="AB1:AB3"/>
    <mergeCell ref="Z1:Z3"/>
    <mergeCell ref="V1:V3"/>
    <mergeCell ref="G1:G3"/>
    <mergeCell ref="J1:J3"/>
    <mergeCell ref="O1:O3"/>
    <mergeCell ref="P1:P3"/>
    <mergeCell ref="R1:R3"/>
    <mergeCell ref="T1:T3"/>
    <mergeCell ref="U1:U3"/>
    <mergeCell ref="K1:K3"/>
    <mergeCell ref="L1:L3"/>
    <mergeCell ref="N1:N3"/>
    <mergeCell ref="H1:H3"/>
    <mergeCell ref="I1:I3"/>
    <mergeCell ref="M1:M3"/>
    <mergeCell ref="S1:S3"/>
    <mergeCell ref="Q1:Q3"/>
    <mergeCell ref="AA1:AA3"/>
    <mergeCell ref="W1:W3"/>
    <mergeCell ref="X1:X3"/>
    <mergeCell ref="Y1:Y3"/>
  </mergeCells>
  <phoneticPr fontId="7" type="noConversion"/>
  <dataValidations count="2">
    <dataValidation type="list" allowBlank="1" showInputMessage="1" showErrorMessage="1" sqref="E1:E129" xr:uid="{D373DDBA-56FA-4593-B055-FD54F1FFB2C6}">
      <formula1>Storage</formula1>
    </dataValidation>
    <dataValidation type="list" allowBlank="1" showInputMessage="1" showErrorMessage="1" sqref="D4:D12 D76:D108" xr:uid="{7B8DC854-418A-435C-8DBE-8760DFB22765}">
      <formula1>#REF!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9"/>
  <dimension ref="A1:AU151"/>
  <sheetViews>
    <sheetView zoomScale="80" zoomScaleNormal="80" workbookViewId="0">
      <pane xSplit="2" ySplit="1" topLeftCell="AK120" activePane="bottomRight" state="frozen"/>
      <selection pane="topRight" activeCell="B1" sqref="B1"/>
      <selection pane="bottomLeft" activeCell="A2" sqref="A2"/>
      <selection pane="bottomRight" activeCell="A77" sqref="A77:AU151"/>
    </sheetView>
  </sheetViews>
  <sheetFormatPr defaultColWidth="9.33203125" defaultRowHeight="14.25" customHeight="1"/>
  <cols>
    <col min="1" max="1" width="23.5546875" style="84" customWidth="1"/>
    <col min="2" max="2" width="23.5546875" style="120" bestFit="1" customWidth="1"/>
    <col min="3" max="4" width="12.44140625" style="120" bestFit="1" customWidth="1"/>
    <col min="5" max="5" width="14.5546875" style="120" bestFit="1" customWidth="1"/>
    <col min="6" max="6" width="12.44140625" style="120" bestFit="1" customWidth="1"/>
    <col min="7" max="7" width="13.33203125" style="120" bestFit="1" customWidth="1"/>
    <col min="8" max="8" width="12.44140625" style="120" bestFit="1" customWidth="1"/>
    <col min="9" max="9" width="10.6640625" style="120" bestFit="1" customWidth="1"/>
    <col min="10" max="10" width="12.44140625" style="120" bestFit="1" customWidth="1"/>
    <col min="11" max="11" width="8.44140625" style="120" customWidth="1"/>
    <col min="12" max="12" width="14.44140625" style="120" bestFit="1" customWidth="1"/>
    <col min="13" max="13" width="8.6640625" style="120" bestFit="1" customWidth="1"/>
    <col min="14" max="14" width="9.33203125" style="120"/>
    <col min="15" max="15" width="11.44140625" style="120" bestFit="1" customWidth="1"/>
    <col min="16" max="16" width="8.6640625" style="120" bestFit="1" customWidth="1"/>
    <col min="17" max="17" width="13" style="120" bestFit="1" customWidth="1"/>
    <col min="18" max="19" width="8.6640625" style="120" bestFit="1" customWidth="1"/>
    <col min="20" max="20" width="13.5546875" style="120" bestFit="1" customWidth="1"/>
    <col min="21" max="21" width="23.5546875" style="120" bestFit="1" customWidth="1"/>
    <col min="22" max="23" width="8.6640625" style="84" bestFit="1" customWidth="1"/>
    <col min="24" max="24" width="11.44140625" style="84" bestFit="1" customWidth="1"/>
    <col min="25" max="25" width="9.44140625" style="84" customWidth="1"/>
    <col min="26" max="26" width="13" style="84" bestFit="1" customWidth="1"/>
    <col min="27" max="28" width="8.6640625" style="84" bestFit="1" customWidth="1"/>
    <col min="29" max="29" width="13.5546875" style="84" bestFit="1" customWidth="1"/>
    <col min="30" max="30" width="33" style="84" bestFit="1" customWidth="1"/>
    <col min="31" max="32" width="13.44140625" style="84" bestFit="1" customWidth="1"/>
    <col min="33" max="33" width="15.5546875" style="84" bestFit="1" customWidth="1"/>
    <col min="34" max="34" width="13.44140625" style="84" bestFit="1" customWidth="1"/>
    <col min="35" max="35" width="17.44140625" style="84" bestFit="1" customWidth="1"/>
    <col min="36" max="37" width="13.44140625" style="84" bestFit="1" customWidth="1"/>
    <col min="38" max="38" width="18" style="84" bestFit="1" customWidth="1"/>
    <col min="39" max="39" width="18" style="84" customWidth="1"/>
    <col min="40" max="41" width="18" style="121" customWidth="1"/>
    <col min="42" max="42" width="18.5546875" style="121" bestFit="1" customWidth="1"/>
    <col min="43" max="43" width="18.5546875" style="121" customWidth="1"/>
    <col min="44" max="44" width="12.44140625" style="121" bestFit="1" customWidth="1"/>
    <col min="45" max="45" width="10.5546875" style="121" bestFit="1" customWidth="1"/>
    <col min="46" max="46" width="27.44140625" style="121" bestFit="1" customWidth="1"/>
    <col min="47" max="47" width="23.5546875" style="84" customWidth="1"/>
    <col min="48" max="16384" width="9.33203125" style="84"/>
  </cols>
  <sheetData>
    <row r="1" spans="1:47" s="118" customFormat="1" ht="14.4">
      <c r="A1" s="122" t="s">
        <v>126</v>
      </c>
      <c r="B1" s="123" t="s">
        <v>34</v>
      </c>
      <c r="C1" s="124" t="s">
        <v>46</v>
      </c>
      <c r="D1" s="124" t="s">
        <v>47</v>
      </c>
      <c r="E1" s="122" t="s">
        <v>48</v>
      </c>
      <c r="F1" s="122" t="s">
        <v>49</v>
      </c>
      <c r="G1" s="122" t="s">
        <v>50</v>
      </c>
      <c r="H1" s="122" t="s">
        <v>51</v>
      </c>
      <c r="I1" s="122" t="s">
        <v>52</v>
      </c>
      <c r="J1" s="122" t="s">
        <v>53</v>
      </c>
      <c r="K1" s="122" t="s">
        <v>54</v>
      </c>
      <c r="L1" s="125" t="s">
        <v>55</v>
      </c>
      <c r="M1" s="124" t="s">
        <v>56</v>
      </c>
      <c r="N1" s="124" t="s">
        <v>57</v>
      </c>
      <c r="O1" s="122" t="s">
        <v>58</v>
      </c>
      <c r="P1" s="122" t="s">
        <v>59</v>
      </c>
      <c r="Q1" s="122" t="s">
        <v>50</v>
      </c>
      <c r="R1" s="122" t="s">
        <v>60</v>
      </c>
      <c r="S1" s="122" t="s">
        <v>61</v>
      </c>
      <c r="T1" s="122" t="s">
        <v>62</v>
      </c>
      <c r="U1" s="122" t="s">
        <v>63</v>
      </c>
      <c r="V1" s="124" t="s">
        <v>56</v>
      </c>
      <c r="W1" s="124" t="s">
        <v>57</v>
      </c>
      <c r="X1" s="122" t="s">
        <v>58</v>
      </c>
      <c r="Y1" s="122" t="s">
        <v>59</v>
      </c>
      <c r="Z1" s="122" t="s">
        <v>50</v>
      </c>
      <c r="AA1" s="122" t="s">
        <v>60</v>
      </c>
      <c r="AB1" s="122" t="s">
        <v>61</v>
      </c>
      <c r="AC1" s="122" t="s">
        <v>62</v>
      </c>
      <c r="AD1" s="122" t="s">
        <v>64</v>
      </c>
      <c r="AE1" s="124" t="s">
        <v>65</v>
      </c>
      <c r="AF1" s="124" t="s">
        <v>66</v>
      </c>
      <c r="AG1" s="122" t="s">
        <v>67</v>
      </c>
      <c r="AH1" s="122" t="s">
        <v>68</v>
      </c>
      <c r="AI1" s="122" t="s">
        <v>69</v>
      </c>
      <c r="AJ1" s="122" t="s">
        <v>70</v>
      </c>
      <c r="AK1" s="122" t="s">
        <v>71</v>
      </c>
      <c r="AL1" s="122" t="s">
        <v>72</v>
      </c>
      <c r="AM1" s="122"/>
      <c r="AN1" s="126" t="s">
        <v>73</v>
      </c>
      <c r="AO1" s="126" t="s">
        <v>74</v>
      </c>
      <c r="AP1" s="126" t="s">
        <v>75</v>
      </c>
      <c r="AQ1" s="126" t="s">
        <v>76</v>
      </c>
      <c r="AR1" s="126" t="s">
        <v>77</v>
      </c>
      <c r="AS1" s="126" t="s">
        <v>78</v>
      </c>
      <c r="AT1" s="126" t="s">
        <v>79</v>
      </c>
      <c r="AU1" s="153" t="s">
        <v>139</v>
      </c>
    </row>
    <row r="2" spans="1:47" s="119" customFormat="1" ht="14.25" customHeight="1">
      <c r="A2" s="127">
        <f>technical_sheet_vfa!B3</f>
        <v>0</v>
      </c>
      <c r="B2" s="107">
        <f>technical_sheet_vfa!C3</f>
        <v>0</v>
      </c>
      <c r="C2" s="128"/>
      <c r="D2" s="128"/>
      <c r="E2" s="128"/>
      <c r="F2" s="128"/>
      <c r="G2" s="128"/>
      <c r="H2" s="128"/>
      <c r="I2" s="128"/>
      <c r="J2" s="128"/>
      <c r="K2" s="128">
        <v>24</v>
      </c>
      <c r="L2" s="128"/>
      <c r="M2" s="158">
        <f t="shared" ref="M2:R2" si="0">C2*$K2</f>
        <v>0</v>
      </c>
      <c r="N2" s="158">
        <f t="shared" si="0"/>
        <v>0</v>
      </c>
      <c r="O2" s="158">
        <f t="shared" si="0"/>
        <v>0</v>
      </c>
      <c r="P2" s="158">
        <f t="shared" si="0"/>
        <v>0</v>
      </c>
      <c r="Q2" s="158">
        <f t="shared" si="0"/>
        <v>0</v>
      </c>
      <c r="R2" s="158">
        <f t="shared" si="0"/>
        <v>0</v>
      </c>
      <c r="S2" s="158">
        <f>J2*$K2</f>
        <v>0</v>
      </c>
      <c r="T2" s="158">
        <f>SUM(M2:S2)</f>
        <v>0</v>
      </c>
      <c r="U2" s="128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2"/>
      <c r="AN2" s="129"/>
      <c r="AO2" s="129"/>
      <c r="AP2" s="129"/>
      <c r="AQ2" s="129"/>
      <c r="AR2" s="129"/>
      <c r="AS2" s="129"/>
      <c r="AT2" s="129"/>
      <c r="AU2" s="127"/>
    </row>
    <row r="3" spans="1:47" s="119" customFormat="1" ht="14.25" customHeight="1">
      <c r="A3" s="127">
        <f>technical_sheet_vfa!B4</f>
        <v>0</v>
      </c>
      <c r="B3" s="107">
        <f>technical_sheet_vfa!C4</f>
        <v>0</v>
      </c>
      <c r="C3" s="128"/>
      <c r="D3" s="128"/>
      <c r="E3" s="128"/>
      <c r="F3" s="128"/>
      <c r="G3" s="128"/>
      <c r="H3" s="128"/>
      <c r="I3" s="128"/>
      <c r="J3" s="128"/>
      <c r="K3" s="128">
        <v>24</v>
      </c>
      <c r="L3" s="128"/>
      <c r="M3" s="158">
        <f t="shared" ref="M3:M10" si="1">C3*$K3</f>
        <v>0</v>
      </c>
      <c r="N3" s="158">
        <f t="shared" ref="N3:N10" si="2">D3*$K3</f>
        <v>0</v>
      </c>
      <c r="O3" s="158">
        <f t="shared" ref="O3:O10" si="3">E3*$K3</f>
        <v>0</v>
      </c>
      <c r="P3" s="158">
        <f t="shared" ref="P3:P10" si="4">F3*$K3</f>
        <v>0</v>
      </c>
      <c r="Q3" s="158">
        <f t="shared" ref="Q3:Q10" si="5">G3*$K3</f>
        <v>0</v>
      </c>
      <c r="R3" s="158">
        <f t="shared" ref="R3:R10" si="6">H3*$K3</f>
        <v>0</v>
      </c>
      <c r="S3" s="158">
        <f t="shared" ref="S3:S10" si="7">J3*$K3</f>
        <v>0</v>
      </c>
      <c r="T3" s="158">
        <f t="shared" ref="T3:T10" si="8">SUM(M3:S3)</f>
        <v>0</v>
      </c>
      <c r="U3" s="128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112"/>
      <c r="AI3" s="112"/>
      <c r="AJ3" s="112"/>
      <c r="AK3" s="112"/>
      <c r="AL3" s="112"/>
      <c r="AM3" s="112"/>
      <c r="AN3" s="129"/>
      <c r="AO3" s="129"/>
      <c r="AP3" s="129"/>
      <c r="AQ3" s="129"/>
      <c r="AR3" s="129"/>
      <c r="AS3" s="129"/>
      <c r="AT3" s="129"/>
      <c r="AU3" s="127"/>
    </row>
    <row r="4" spans="1:47" s="119" customFormat="1" ht="14.25" customHeight="1">
      <c r="A4" s="127">
        <f>technical_sheet_vfa!B5</f>
        <v>0</v>
      </c>
      <c r="B4" s="107">
        <f>technical_sheet_vfa!C5</f>
        <v>0</v>
      </c>
      <c r="C4" s="128"/>
      <c r="D4" s="128"/>
      <c r="E4" s="128"/>
      <c r="F4" s="128"/>
      <c r="G4" s="128"/>
      <c r="H4" s="128"/>
      <c r="I4" s="128"/>
      <c r="J4" s="128"/>
      <c r="K4" s="128">
        <v>24</v>
      </c>
      <c r="L4" s="128"/>
      <c r="M4" s="158">
        <f t="shared" si="1"/>
        <v>0</v>
      </c>
      <c r="N4" s="158">
        <f t="shared" si="2"/>
        <v>0</v>
      </c>
      <c r="O4" s="158">
        <f t="shared" si="3"/>
        <v>0</v>
      </c>
      <c r="P4" s="158">
        <f t="shared" si="4"/>
        <v>0</v>
      </c>
      <c r="Q4" s="158">
        <f t="shared" si="5"/>
        <v>0</v>
      </c>
      <c r="R4" s="158">
        <f t="shared" si="6"/>
        <v>0</v>
      </c>
      <c r="S4" s="158">
        <f t="shared" si="7"/>
        <v>0</v>
      </c>
      <c r="T4" s="158">
        <f t="shared" si="8"/>
        <v>0</v>
      </c>
      <c r="U4" s="128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112"/>
      <c r="AI4" s="112"/>
      <c r="AJ4" s="112"/>
      <c r="AK4" s="112"/>
      <c r="AL4" s="112"/>
      <c r="AM4" s="112"/>
      <c r="AN4" s="129"/>
      <c r="AO4" s="129"/>
      <c r="AP4" s="129"/>
      <c r="AQ4" s="129"/>
      <c r="AR4" s="129"/>
      <c r="AS4" s="129"/>
      <c r="AT4" s="129"/>
      <c r="AU4" s="127"/>
    </row>
    <row r="5" spans="1:47" s="119" customFormat="1" ht="14.25" customHeight="1">
      <c r="A5" s="127">
        <f>technical_sheet_vfa!B6</f>
        <v>0</v>
      </c>
      <c r="B5" s="107">
        <f>technical_sheet_vfa!C6</f>
        <v>0</v>
      </c>
      <c r="C5" s="128"/>
      <c r="D5" s="128"/>
      <c r="E5" s="128"/>
      <c r="F5" s="128"/>
      <c r="G5" s="128"/>
      <c r="H5" s="128"/>
      <c r="I5" s="128"/>
      <c r="J5" s="128"/>
      <c r="K5" s="128">
        <v>25</v>
      </c>
      <c r="L5" s="128"/>
      <c r="M5" s="158">
        <f t="shared" ref="M5:R8" si="9">C5*$K5</f>
        <v>0</v>
      </c>
      <c r="N5" s="158">
        <f t="shared" si="9"/>
        <v>0</v>
      </c>
      <c r="O5" s="158">
        <f t="shared" si="9"/>
        <v>0</v>
      </c>
      <c r="P5" s="158">
        <f t="shared" si="9"/>
        <v>0</v>
      </c>
      <c r="Q5" s="158">
        <f t="shared" si="9"/>
        <v>0</v>
      </c>
      <c r="R5" s="158">
        <f t="shared" si="9"/>
        <v>0</v>
      </c>
      <c r="S5" s="158">
        <f>J5*$K5</f>
        <v>0</v>
      </c>
      <c r="T5" s="158">
        <f>SUM(M5:S5)</f>
        <v>0</v>
      </c>
      <c r="U5" s="128"/>
      <c r="V5" s="172">
        <f>M5-AVERAGE(M$2:M$4)</f>
        <v>0</v>
      </c>
      <c r="W5" s="172">
        <f t="shared" ref="W5:AC5" si="10">N5-AVERAGE(N$2:N$4)</f>
        <v>0</v>
      </c>
      <c r="X5" s="172">
        <f t="shared" si="10"/>
        <v>0</v>
      </c>
      <c r="Y5" s="172">
        <f t="shared" si="10"/>
        <v>0</v>
      </c>
      <c r="Z5" s="172">
        <f t="shared" si="10"/>
        <v>0</v>
      </c>
      <c r="AA5" s="172">
        <f t="shared" si="10"/>
        <v>0</v>
      </c>
      <c r="AB5" s="172">
        <f t="shared" si="10"/>
        <v>0</v>
      </c>
      <c r="AC5" s="172">
        <f t="shared" si="10"/>
        <v>0</v>
      </c>
      <c r="AD5" s="112"/>
      <c r="AE5" s="112" t="e">
        <f t="shared" ref="AE5:AE17" si="11">(V5/$AC5)*1000</f>
        <v>#DIV/0!</v>
      </c>
      <c r="AF5" s="112" t="e">
        <f t="shared" ref="AF5:AF17" si="12">(W5/$AC5)*1000</f>
        <v>#DIV/0!</v>
      </c>
      <c r="AG5" s="112" t="e">
        <f t="shared" ref="AG5:AG17" si="13">(X5/$AC5)*1000</f>
        <v>#DIV/0!</v>
      </c>
      <c r="AH5" s="112" t="e">
        <f t="shared" ref="AH5:AH17" si="14">(Y5/$AC5)*1000</f>
        <v>#DIV/0!</v>
      </c>
      <c r="AI5" s="112" t="e">
        <f t="shared" ref="AI5:AI17" si="15">(Z5/$AC5)*1000</f>
        <v>#DIV/0!</v>
      </c>
      <c r="AJ5" s="112" t="e">
        <f t="shared" ref="AJ5:AJ17" si="16">(AA5/$AC5)*1000</f>
        <v>#DIV/0!</v>
      </c>
      <c r="AK5" s="112" t="e">
        <f t="shared" ref="AK5:AK17" si="17">(AB5/$AC5)*1000</f>
        <v>#DIV/0!</v>
      </c>
      <c r="AL5" s="112" t="e">
        <f t="shared" ref="AL5:AL17" si="18">(AC5/$AC5)*1000</f>
        <v>#DIV/0!</v>
      </c>
      <c r="AM5" s="112"/>
      <c r="AN5" s="129" t="e">
        <f>VLOOKUP($B5,'input gas_ethane'!$B$3:$Y$68,24,FALSE)*1000/'input vfa'!AC5</f>
        <v>#N/A</v>
      </c>
      <c r="AO5" s="129" t="e">
        <f>VLOOKUP($B5,'input gas_ethane'!$B$3:$Y$68,22,FALSE)*1000/'input vfa'!AC5</f>
        <v>#N/A</v>
      </c>
      <c r="AP5" s="129" t="e">
        <f t="shared" ref="AP5:AP23" si="19">(2*$AF5+2*$AH5+4*$AN5)/(2*$AE5+$AF5+4*$AH5)</f>
        <v>#DIV/0!</v>
      </c>
      <c r="AQ5" s="129" t="e">
        <f t="shared" ref="AQ5:AQ23" si="20">(2*$AF5+2*$AH5+4*$AN5+AO5)/(2*$AE5+$AF5+4*$AH5)</f>
        <v>#DIV/0!</v>
      </c>
      <c r="AR5" s="129">
        <f t="shared" ref="AR5:AR23" si="21">V5/2+W5/2+Y5</f>
        <v>0</v>
      </c>
      <c r="AS5" s="129">
        <f t="shared" ref="AS5:AS23" si="22">AR5*162/1000</f>
        <v>0</v>
      </c>
      <c r="AT5" s="129" t="e">
        <f t="shared" ref="AT5:AT23" si="23">AS5/AU5*100</f>
        <v>#DIV/0!</v>
      </c>
      <c r="AU5" s="127">
        <f>SUM(preparation_sheet_flasks!M5:P5)</f>
        <v>0</v>
      </c>
    </row>
    <row r="6" spans="1:47" s="119" customFormat="1" ht="14.25" customHeight="1">
      <c r="A6" s="127">
        <f>technical_sheet_vfa!B7</f>
        <v>0</v>
      </c>
      <c r="B6" s="107">
        <f>technical_sheet_vfa!C7</f>
        <v>0</v>
      </c>
      <c r="C6" s="128"/>
      <c r="D6" s="128"/>
      <c r="E6" s="128"/>
      <c r="F6" s="128"/>
      <c r="G6" s="128"/>
      <c r="H6" s="128"/>
      <c r="I6" s="128"/>
      <c r="J6" s="128"/>
      <c r="K6" s="128">
        <v>25</v>
      </c>
      <c r="L6" s="128"/>
      <c r="M6" s="158">
        <f t="shared" si="9"/>
        <v>0</v>
      </c>
      <c r="N6" s="158">
        <f t="shared" si="9"/>
        <v>0</v>
      </c>
      <c r="O6" s="158">
        <f t="shared" si="9"/>
        <v>0</v>
      </c>
      <c r="P6" s="158">
        <f t="shared" si="9"/>
        <v>0</v>
      </c>
      <c r="Q6" s="158">
        <f t="shared" si="9"/>
        <v>0</v>
      </c>
      <c r="R6" s="158">
        <f t="shared" si="9"/>
        <v>0</v>
      </c>
      <c r="S6" s="158">
        <f>J6*$K6</f>
        <v>0</v>
      </c>
      <c r="T6" s="158">
        <f>SUM(M6:S6)</f>
        <v>0</v>
      </c>
      <c r="U6" s="128"/>
      <c r="V6" s="172">
        <f t="shared" ref="V6:V31" si="24">M6-AVERAGE(M$2:M$4)</f>
        <v>0</v>
      </c>
      <c r="W6" s="172">
        <f t="shared" ref="W6:W31" si="25">N6-AVERAGE(N$2:N$4)</f>
        <v>0</v>
      </c>
      <c r="X6" s="172">
        <f t="shared" ref="X6:X31" si="26">O6-AVERAGE(O$2:O$4)</f>
        <v>0</v>
      </c>
      <c r="Y6" s="172">
        <f t="shared" ref="Y6:Y31" si="27">P6-AVERAGE(P$2:P$4)</f>
        <v>0</v>
      </c>
      <c r="Z6" s="172">
        <f t="shared" ref="Z6:Z31" si="28">Q6-AVERAGE(Q$2:Q$4)</f>
        <v>0</v>
      </c>
      <c r="AA6" s="172">
        <f t="shared" ref="AA6:AA31" si="29">R6-AVERAGE(R$2:R$4)</f>
        <v>0</v>
      </c>
      <c r="AB6" s="172">
        <f t="shared" ref="AB6:AB31" si="30">S6-AVERAGE(S$2:S$4)</f>
        <v>0</v>
      </c>
      <c r="AC6" s="172">
        <f t="shared" ref="AC6:AC31" si="31">T6-AVERAGE(T$2:T$4)</f>
        <v>0</v>
      </c>
      <c r="AD6" s="112"/>
      <c r="AE6" s="112" t="e">
        <f t="shared" si="11"/>
        <v>#DIV/0!</v>
      </c>
      <c r="AF6" s="112" t="e">
        <f t="shared" si="12"/>
        <v>#DIV/0!</v>
      </c>
      <c r="AG6" s="112" t="e">
        <f t="shared" si="13"/>
        <v>#DIV/0!</v>
      </c>
      <c r="AH6" s="112" t="e">
        <f t="shared" si="14"/>
        <v>#DIV/0!</v>
      </c>
      <c r="AI6" s="112" t="e">
        <f t="shared" si="15"/>
        <v>#DIV/0!</v>
      </c>
      <c r="AJ6" s="112" t="e">
        <f t="shared" si="16"/>
        <v>#DIV/0!</v>
      </c>
      <c r="AK6" s="112" t="e">
        <f t="shared" si="17"/>
        <v>#DIV/0!</v>
      </c>
      <c r="AL6" s="112" t="e">
        <f t="shared" si="18"/>
        <v>#DIV/0!</v>
      </c>
      <c r="AM6" s="112"/>
      <c r="AN6" s="129" t="e">
        <f>VLOOKUP($B6,'input gas_ethane'!$B$3:$Y$68,24,FALSE)*1000/'input vfa'!AC6</f>
        <v>#N/A</v>
      </c>
      <c r="AO6" s="129" t="e">
        <f>VLOOKUP($B6,'input gas_ethane'!$B$3:$Y$68,22,FALSE)*1000/'input vfa'!AC6</f>
        <v>#N/A</v>
      </c>
      <c r="AP6" s="129" t="e">
        <f t="shared" si="19"/>
        <v>#DIV/0!</v>
      </c>
      <c r="AQ6" s="129" t="e">
        <f t="shared" si="20"/>
        <v>#DIV/0!</v>
      </c>
      <c r="AR6" s="129">
        <f t="shared" si="21"/>
        <v>0</v>
      </c>
      <c r="AS6" s="129">
        <f t="shared" si="22"/>
        <v>0</v>
      </c>
      <c r="AT6" s="129" t="e">
        <f t="shared" si="23"/>
        <v>#DIV/0!</v>
      </c>
      <c r="AU6" s="127">
        <f>SUM(preparation_sheet_flasks!M6:P6)</f>
        <v>0</v>
      </c>
    </row>
    <row r="7" spans="1:47" s="119" customFormat="1" ht="14.25" customHeight="1">
      <c r="A7" s="127">
        <f>technical_sheet_vfa!B8</f>
        <v>0</v>
      </c>
      <c r="B7" s="107">
        <f>technical_sheet_vfa!C8</f>
        <v>0</v>
      </c>
      <c r="C7" s="128"/>
      <c r="D7" s="128"/>
      <c r="E7" s="128"/>
      <c r="F7" s="128"/>
      <c r="G7" s="128"/>
      <c r="H7" s="128"/>
      <c r="I7" s="128"/>
      <c r="J7" s="128"/>
      <c r="K7" s="128">
        <v>25</v>
      </c>
      <c r="L7" s="128"/>
      <c r="M7" s="158">
        <f t="shared" si="9"/>
        <v>0</v>
      </c>
      <c r="N7" s="158">
        <f t="shared" si="9"/>
        <v>0</v>
      </c>
      <c r="O7" s="158">
        <f t="shared" si="9"/>
        <v>0</v>
      </c>
      <c r="P7" s="158">
        <f t="shared" si="9"/>
        <v>0</v>
      </c>
      <c r="Q7" s="158">
        <f t="shared" si="9"/>
        <v>0</v>
      </c>
      <c r="R7" s="158">
        <f t="shared" si="9"/>
        <v>0</v>
      </c>
      <c r="S7" s="158">
        <f>J7*$K7</f>
        <v>0</v>
      </c>
      <c r="T7" s="158">
        <f>SUM(M7:S7)</f>
        <v>0</v>
      </c>
      <c r="U7" s="128"/>
      <c r="V7" s="172">
        <f t="shared" si="24"/>
        <v>0</v>
      </c>
      <c r="W7" s="172">
        <f t="shared" si="25"/>
        <v>0</v>
      </c>
      <c r="X7" s="172">
        <f t="shared" si="26"/>
        <v>0</v>
      </c>
      <c r="Y7" s="172">
        <f t="shared" si="27"/>
        <v>0</v>
      </c>
      <c r="Z7" s="172">
        <f t="shared" si="28"/>
        <v>0</v>
      </c>
      <c r="AA7" s="172">
        <f t="shared" si="29"/>
        <v>0</v>
      </c>
      <c r="AB7" s="172">
        <f t="shared" si="30"/>
        <v>0</v>
      </c>
      <c r="AC7" s="172">
        <f t="shared" si="31"/>
        <v>0</v>
      </c>
      <c r="AD7" s="112"/>
      <c r="AE7" s="112" t="e">
        <f t="shared" si="11"/>
        <v>#DIV/0!</v>
      </c>
      <c r="AF7" s="112" t="e">
        <f t="shared" si="12"/>
        <v>#DIV/0!</v>
      </c>
      <c r="AG7" s="112" t="e">
        <f t="shared" si="13"/>
        <v>#DIV/0!</v>
      </c>
      <c r="AH7" s="112" t="e">
        <f t="shared" si="14"/>
        <v>#DIV/0!</v>
      </c>
      <c r="AI7" s="112" t="e">
        <f t="shared" si="15"/>
        <v>#DIV/0!</v>
      </c>
      <c r="AJ7" s="112" t="e">
        <f t="shared" si="16"/>
        <v>#DIV/0!</v>
      </c>
      <c r="AK7" s="112" t="e">
        <f t="shared" si="17"/>
        <v>#DIV/0!</v>
      </c>
      <c r="AL7" s="112" t="e">
        <f t="shared" si="18"/>
        <v>#DIV/0!</v>
      </c>
      <c r="AM7" s="112"/>
      <c r="AN7" s="129" t="e">
        <f>VLOOKUP($B7,'input gas_ethane'!$B$3:$Y$68,24,FALSE)*1000/'input vfa'!AC7</f>
        <v>#N/A</v>
      </c>
      <c r="AO7" s="129" t="e">
        <f>VLOOKUP($B7,'input gas_ethane'!$B$3:$Y$68,22,FALSE)*1000/'input vfa'!AC7</f>
        <v>#N/A</v>
      </c>
      <c r="AP7" s="129" t="e">
        <f t="shared" si="19"/>
        <v>#DIV/0!</v>
      </c>
      <c r="AQ7" s="129" t="e">
        <f t="shared" si="20"/>
        <v>#DIV/0!</v>
      </c>
      <c r="AR7" s="129">
        <f t="shared" si="21"/>
        <v>0</v>
      </c>
      <c r="AS7" s="129">
        <f t="shared" si="22"/>
        <v>0</v>
      </c>
      <c r="AT7" s="129" t="e">
        <f t="shared" si="23"/>
        <v>#DIV/0!</v>
      </c>
      <c r="AU7" s="127">
        <f>SUM(preparation_sheet_flasks!M7:P7)</f>
        <v>0</v>
      </c>
    </row>
    <row r="8" spans="1:47" s="119" customFormat="1" ht="14.25" customHeight="1">
      <c r="A8" s="127">
        <f>technical_sheet_vfa!B9</f>
        <v>0</v>
      </c>
      <c r="B8" s="107">
        <f>technical_sheet_vfa!C9</f>
        <v>0</v>
      </c>
      <c r="C8" s="128"/>
      <c r="D8" s="128"/>
      <c r="E8" s="128"/>
      <c r="F8" s="128"/>
      <c r="G8" s="128"/>
      <c r="H8" s="128"/>
      <c r="I8" s="128"/>
      <c r="J8" s="128"/>
      <c r="K8" s="128">
        <v>25</v>
      </c>
      <c r="L8" s="128"/>
      <c r="M8" s="158">
        <f t="shared" si="9"/>
        <v>0</v>
      </c>
      <c r="N8" s="158">
        <f t="shared" si="9"/>
        <v>0</v>
      </c>
      <c r="O8" s="158">
        <f t="shared" si="9"/>
        <v>0</v>
      </c>
      <c r="P8" s="158">
        <f t="shared" si="9"/>
        <v>0</v>
      </c>
      <c r="Q8" s="158">
        <f t="shared" si="9"/>
        <v>0</v>
      </c>
      <c r="R8" s="158">
        <f t="shared" si="9"/>
        <v>0</v>
      </c>
      <c r="S8" s="158">
        <f>J8*$K8</f>
        <v>0</v>
      </c>
      <c r="T8" s="158">
        <f>SUM(M8:S8)</f>
        <v>0</v>
      </c>
      <c r="U8" s="128"/>
      <c r="V8" s="172">
        <f t="shared" si="24"/>
        <v>0</v>
      </c>
      <c r="W8" s="172">
        <f t="shared" si="25"/>
        <v>0</v>
      </c>
      <c r="X8" s="172">
        <f t="shared" si="26"/>
        <v>0</v>
      </c>
      <c r="Y8" s="172">
        <f t="shared" si="27"/>
        <v>0</v>
      </c>
      <c r="Z8" s="172">
        <f t="shared" si="28"/>
        <v>0</v>
      </c>
      <c r="AA8" s="172">
        <f t="shared" si="29"/>
        <v>0</v>
      </c>
      <c r="AB8" s="172">
        <f t="shared" si="30"/>
        <v>0</v>
      </c>
      <c r="AC8" s="172">
        <f t="shared" si="31"/>
        <v>0</v>
      </c>
      <c r="AD8" s="112"/>
      <c r="AE8" s="112" t="e">
        <f t="shared" si="11"/>
        <v>#DIV/0!</v>
      </c>
      <c r="AF8" s="112" t="e">
        <f t="shared" si="12"/>
        <v>#DIV/0!</v>
      </c>
      <c r="AG8" s="112" t="e">
        <f t="shared" si="13"/>
        <v>#DIV/0!</v>
      </c>
      <c r="AH8" s="112" t="e">
        <f t="shared" si="14"/>
        <v>#DIV/0!</v>
      </c>
      <c r="AI8" s="112" t="e">
        <f t="shared" si="15"/>
        <v>#DIV/0!</v>
      </c>
      <c r="AJ8" s="112" t="e">
        <f t="shared" si="16"/>
        <v>#DIV/0!</v>
      </c>
      <c r="AK8" s="112" t="e">
        <f t="shared" si="17"/>
        <v>#DIV/0!</v>
      </c>
      <c r="AL8" s="112" t="e">
        <f t="shared" si="18"/>
        <v>#DIV/0!</v>
      </c>
      <c r="AM8" s="112"/>
      <c r="AN8" s="129" t="e">
        <f>VLOOKUP($B8,'input gas_ethane'!$B$3:$Y$68,24,FALSE)*1000/'input vfa'!AC8</f>
        <v>#N/A</v>
      </c>
      <c r="AO8" s="129" t="e">
        <f>VLOOKUP($B8,'input gas_ethane'!$B$3:$Y$68,22,FALSE)*1000/'input vfa'!AC8</f>
        <v>#N/A</v>
      </c>
      <c r="AP8" s="129" t="e">
        <f t="shared" si="19"/>
        <v>#DIV/0!</v>
      </c>
      <c r="AQ8" s="129" t="e">
        <f t="shared" si="20"/>
        <v>#DIV/0!</v>
      </c>
      <c r="AR8" s="129">
        <f t="shared" si="21"/>
        <v>0</v>
      </c>
      <c r="AS8" s="129">
        <f t="shared" si="22"/>
        <v>0</v>
      </c>
      <c r="AT8" s="129" t="e">
        <f t="shared" si="23"/>
        <v>#DIV/0!</v>
      </c>
      <c r="AU8" s="127">
        <f>SUM(preparation_sheet_flasks!M8:P8)</f>
        <v>0</v>
      </c>
    </row>
    <row r="9" spans="1:47" s="119" customFormat="1" ht="14.25" customHeight="1">
      <c r="A9" s="127">
        <f>technical_sheet_vfa!B10</f>
        <v>0</v>
      </c>
      <c r="B9" s="107">
        <f>technical_sheet_vfa!C10</f>
        <v>0</v>
      </c>
      <c r="C9" s="128"/>
      <c r="D9" s="128"/>
      <c r="E9" s="128"/>
      <c r="F9" s="128"/>
      <c r="G9" s="128"/>
      <c r="H9" s="128"/>
      <c r="I9" s="128"/>
      <c r="J9" s="128"/>
      <c r="K9" s="128">
        <v>25</v>
      </c>
      <c r="L9" s="128"/>
      <c r="M9" s="158">
        <f t="shared" si="1"/>
        <v>0</v>
      </c>
      <c r="N9" s="158">
        <f t="shared" si="2"/>
        <v>0</v>
      </c>
      <c r="O9" s="158">
        <f t="shared" si="3"/>
        <v>0</v>
      </c>
      <c r="P9" s="158">
        <f t="shared" si="4"/>
        <v>0</v>
      </c>
      <c r="Q9" s="158">
        <f t="shared" si="5"/>
        <v>0</v>
      </c>
      <c r="R9" s="158">
        <f t="shared" si="6"/>
        <v>0</v>
      </c>
      <c r="S9" s="158">
        <f t="shared" si="7"/>
        <v>0</v>
      </c>
      <c r="T9" s="158">
        <f t="shared" si="8"/>
        <v>0</v>
      </c>
      <c r="U9" s="128"/>
      <c r="V9" s="172">
        <f t="shared" si="24"/>
        <v>0</v>
      </c>
      <c r="W9" s="172">
        <f t="shared" si="25"/>
        <v>0</v>
      </c>
      <c r="X9" s="172">
        <f t="shared" si="26"/>
        <v>0</v>
      </c>
      <c r="Y9" s="172">
        <f t="shared" si="27"/>
        <v>0</v>
      </c>
      <c r="Z9" s="172">
        <f t="shared" si="28"/>
        <v>0</v>
      </c>
      <c r="AA9" s="172">
        <f t="shared" si="29"/>
        <v>0</v>
      </c>
      <c r="AB9" s="172">
        <f t="shared" si="30"/>
        <v>0</v>
      </c>
      <c r="AC9" s="172">
        <f t="shared" si="31"/>
        <v>0</v>
      </c>
      <c r="AD9" s="112"/>
      <c r="AE9" s="112" t="e">
        <f t="shared" si="11"/>
        <v>#DIV/0!</v>
      </c>
      <c r="AF9" s="112" t="e">
        <f t="shared" si="12"/>
        <v>#DIV/0!</v>
      </c>
      <c r="AG9" s="112" t="e">
        <f t="shared" si="13"/>
        <v>#DIV/0!</v>
      </c>
      <c r="AH9" s="112" t="e">
        <f t="shared" si="14"/>
        <v>#DIV/0!</v>
      </c>
      <c r="AI9" s="112" t="e">
        <f t="shared" si="15"/>
        <v>#DIV/0!</v>
      </c>
      <c r="AJ9" s="112" t="e">
        <f t="shared" si="16"/>
        <v>#DIV/0!</v>
      </c>
      <c r="AK9" s="112" t="e">
        <f t="shared" si="17"/>
        <v>#DIV/0!</v>
      </c>
      <c r="AL9" s="112" t="e">
        <f t="shared" si="18"/>
        <v>#DIV/0!</v>
      </c>
      <c r="AM9" s="112"/>
      <c r="AN9" s="129" t="e">
        <f>VLOOKUP($B9,'input gas_ethane'!$B$3:$Y$68,24,FALSE)*1000/'input vfa'!AC9</f>
        <v>#N/A</v>
      </c>
      <c r="AO9" s="129" t="e">
        <f>VLOOKUP($B9,'input gas_ethane'!$B$3:$Y$68,22,FALSE)*1000/'input vfa'!AC9</f>
        <v>#N/A</v>
      </c>
      <c r="AP9" s="129" t="e">
        <f t="shared" si="19"/>
        <v>#DIV/0!</v>
      </c>
      <c r="AQ9" s="129" t="e">
        <f t="shared" si="20"/>
        <v>#DIV/0!</v>
      </c>
      <c r="AR9" s="129">
        <f t="shared" si="21"/>
        <v>0</v>
      </c>
      <c r="AS9" s="129">
        <f t="shared" si="22"/>
        <v>0</v>
      </c>
      <c r="AT9" s="129" t="e">
        <f t="shared" si="23"/>
        <v>#DIV/0!</v>
      </c>
      <c r="AU9" s="127">
        <f>SUM(preparation_sheet_flasks!M9:P9)</f>
        <v>0</v>
      </c>
    </row>
    <row r="10" spans="1:47" ht="14.25" customHeight="1">
      <c r="A10" s="127">
        <f>technical_sheet_vfa!B11</f>
        <v>0</v>
      </c>
      <c r="B10" s="107">
        <f>technical_sheet_vfa!C11</f>
        <v>0</v>
      </c>
      <c r="C10" s="128"/>
      <c r="D10" s="128"/>
      <c r="E10" s="128"/>
      <c r="F10" s="128"/>
      <c r="G10" s="128"/>
      <c r="H10" s="128"/>
      <c r="I10" s="128"/>
      <c r="J10" s="128"/>
      <c r="K10" s="128">
        <v>25</v>
      </c>
      <c r="L10" s="128"/>
      <c r="M10" s="158">
        <f t="shared" si="1"/>
        <v>0</v>
      </c>
      <c r="N10" s="158">
        <f t="shared" si="2"/>
        <v>0</v>
      </c>
      <c r="O10" s="158">
        <f t="shared" si="3"/>
        <v>0</v>
      </c>
      <c r="P10" s="158">
        <f t="shared" si="4"/>
        <v>0</v>
      </c>
      <c r="Q10" s="158">
        <f t="shared" si="5"/>
        <v>0</v>
      </c>
      <c r="R10" s="158">
        <f t="shared" si="6"/>
        <v>0</v>
      </c>
      <c r="S10" s="158">
        <f t="shared" si="7"/>
        <v>0</v>
      </c>
      <c r="T10" s="158">
        <f t="shared" si="8"/>
        <v>0</v>
      </c>
      <c r="U10" s="128"/>
      <c r="V10" s="172">
        <f t="shared" si="24"/>
        <v>0</v>
      </c>
      <c r="W10" s="172">
        <f t="shared" si="25"/>
        <v>0</v>
      </c>
      <c r="X10" s="172">
        <f t="shared" si="26"/>
        <v>0</v>
      </c>
      <c r="Y10" s="172">
        <f t="shared" si="27"/>
        <v>0</v>
      </c>
      <c r="Z10" s="172">
        <f t="shared" si="28"/>
        <v>0</v>
      </c>
      <c r="AA10" s="172">
        <f t="shared" si="29"/>
        <v>0</v>
      </c>
      <c r="AB10" s="172">
        <f t="shared" si="30"/>
        <v>0</v>
      </c>
      <c r="AC10" s="172">
        <f t="shared" si="31"/>
        <v>0</v>
      </c>
      <c r="AD10" s="112"/>
      <c r="AE10" s="112" t="e">
        <f t="shared" si="11"/>
        <v>#DIV/0!</v>
      </c>
      <c r="AF10" s="112" t="e">
        <f t="shared" si="12"/>
        <v>#DIV/0!</v>
      </c>
      <c r="AG10" s="112" t="e">
        <f t="shared" si="13"/>
        <v>#DIV/0!</v>
      </c>
      <c r="AH10" s="112" t="e">
        <f t="shared" si="14"/>
        <v>#DIV/0!</v>
      </c>
      <c r="AI10" s="112" t="e">
        <f t="shared" si="15"/>
        <v>#DIV/0!</v>
      </c>
      <c r="AJ10" s="112" t="e">
        <f t="shared" si="16"/>
        <v>#DIV/0!</v>
      </c>
      <c r="AK10" s="112" t="e">
        <f t="shared" si="17"/>
        <v>#DIV/0!</v>
      </c>
      <c r="AL10" s="112" t="e">
        <f t="shared" si="18"/>
        <v>#DIV/0!</v>
      </c>
      <c r="AM10" s="112"/>
      <c r="AN10" s="129" t="e">
        <f>VLOOKUP($B10,'input gas_ethane'!$B$3:$Y$68,24,FALSE)*1000/'input vfa'!AC10</f>
        <v>#N/A</v>
      </c>
      <c r="AO10" s="129" t="e">
        <f>VLOOKUP($B10,'input gas_ethane'!$B$3:$Y$68,22,FALSE)*1000/'input vfa'!AC10</f>
        <v>#N/A</v>
      </c>
      <c r="AP10" s="129" t="e">
        <f t="shared" si="19"/>
        <v>#DIV/0!</v>
      </c>
      <c r="AQ10" s="129" t="e">
        <f t="shared" si="20"/>
        <v>#DIV/0!</v>
      </c>
      <c r="AR10" s="129">
        <f t="shared" si="21"/>
        <v>0</v>
      </c>
      <c r="AS10" s="129">
        <f t="shared" si="22"/>
        <v>0</v>
      </c>
      <c r="AT10" s="129" t="e">
        <f t="shared" si="23"/>
        <v>#DIV/0!</v>
      </c>
      <c r="AU10" s="127">
        <f>SUM(preparation_sheet_flasks!M10:P10)</f>
        <v>0</v>
      </c>
    </row>
    <row r="11" spans="1:47" ht="14.25" customHeight="1">
      <c r="A11" s="127">
        <f>technical_sheet_vfa!B12</f>
        <v>0</v>
      </c>
      <c r="B11" s="107">
        <f>technical_sheet_vfa!C12</f>
        <v>0</v>
      </c>
      <c r="C11" s="128"/>
      <c r="D11" s="128"/>
      <c r="E11" s="128"/>
      <c r="F11" s="128"/>
      <c r="G11" s="128"/>
      <c r="H11" s="128"/>
      <c r="I11" s="128"/>
      <c r="J11" s="128"/>
      <c r="K11" s="128">
        <v>25</v>
      </c>
      <c r="L11" s="128"/>
      <c r="M11" s="158">
        <f t="shared" ref="M11:M30" si="32">C11*$K11</f>
        <v>0</v>
      </c>
      <c r="N11" s="158">
        <f t="shared" ref="N11:N30" si="33">D11*$K11</f>
        <v>0</v>
      </c>
      <c r="O11" s="158">
        <f t="shared" ref="O11:O30" si="34">E11*$K11</f>
        <v>0</v>
      </c>
      <c r="P11" s="158">
        <f t="shared" ref="P11:P30" si="35">F11*$K11</f>
        <v>0</v>
      </c>
      <c r="Q11" s="158">
        <f t="shared" ref="Q11:Q30" si="36">G11*$K11</f>
        <v>0</v>
      </c>
      <c r="R11" s="158">
        <f t="shared" ref="R11:R30" si="37">H11*$K11</f>
        <v>0</v>
      </c>
      <c r="S11" s="158">
        <f t="shared" ref="S11:S30" si="38">J11*$K11</f>
        <v>0</v>
      </c>
      <c r="T11" s="158">
        <f t="shared" ref="T11:T30" si="39">SUM(M11:S11)</f>
        <v>0</v>
      </c>
      <c r="U11" s="128"/>
      <c r="V11" s="172">
        <f t="shared" si="24"/>
        <v>0</v>
      </c>
      <c r="W11" s="172">
        <f t="shared" si="25"/>
        <v>0</v>
      </c>
      <c r="X11" s="172">
        <f t="shared" si="26"/>
        <v>0</v>
      </c>
      <c r="Y11" s="172">
        <f t="shared" si="27"/>
        <v>0</v>
      </c>
      <c r="Z11" s="172">
        <f t="shared" si="28"/>
        <v>0</v>
      </c>
      <c r="AA11" s="172">
        <f t="shared" si="29"/>
        <v>0</v>
      </c>
      <c r="AB11" s="172">
        <f t="shared" si="30"/>
        <v>0</v>
      </c>
      <c r="AC11" s="172">
        <f t="shared" si="31"/>
        <v>0</v>
      </c>
      <c r="AD11" s="112"/>
      <c r="AE11" s="112" t="e">
        <f t="shared" si="11"/>
        <v>#DIV/0!</v>
      </c>
      <c r="AF11" s="112" t="e">
        <f t="shared" si="12"/>
        <v>#DIV/0!</v>
      </c>
      <c r="AG11" s="112" t="e">
        <f t="shared" si="13"/>
        <v>#DIV/0!</v>
      </c>
      <c r="AH11" s="112" t="e">
        <f t="shared" si="14"/>
        <v>#DIV/0!</v>
      </c>
      <c r="AI11" s="112" t="e">
        <f t="shared" si="15"/>
        <v>#DIV/0!</v>
      </c>
      <c r="AJ11" s="112" t="e">
        <f t="shared" si="16"/>
        <v>#DIV/0!</v>
      </c>
      <c r="AK11" s="112" t="e">
        <f t="shared" si="17"/>
        <v>#DIV/0!</v>
      </c>
      <c r="AL11" s="112" t="e">
        <f t="shared" si="18"/>
        <v>#DIV/0!</v>
      </c>
      <c r="AM11" s="112"/>
      <c r="AN11" s="129" t="e">
        <f>VLOOKUP($B11,'input gas_ethane'!$B$3:$Y$68,24,FALSE)*1000/'input vfa'!AC11</f>
        <v>#N/A</v>
      </c>
      <c r="AO11" s="129" t="e">
        <f>VLOOKUP($B11,'input gas_ethane'!$B$3:$Y$68,22,FALSE)*1000/'input vfa'!AC11</f>
        <v>#N/A</v>
      </c>
      <c r="AP11" s="129" t="e">
        <f t="shared" si="19"/>
        <v>#DIV/0!</v>
      </c>
      <c r="AQ11" s="129" t="e">
        <f t="shared" si="20"/>
        <v>#DIV/0!</v>
      </c>
      <c r="AR11" s="129">
        <f t="shared" si="21"/>
        <v>0</v>
      </c>
      <c r="AS11" s="129">
        <f t="shared" si="22"/>
        <v>0</v>
      </c>
      <c r="AT11" s="129" t="e">
        <f t="shared" si="23"/>
        <v>#DIV/0!</v>
      </c>
      <c r="AU11" s="127">
        <f>SUM(preparation_sheet_flasks!M11:P11)</f>
        <v>0</v>
      </c>
    </row>
    <row r="12" spans="1:47" ht="14.25" customHeight="1">
      <c r="A12" s="127">
        <f>technical_sheet_vfa!B13</f>
        <v>0</v>
      </c>
      <c r="B12" s="107">
        <f>technical_sheet_vfa!C13</f>
        <v>0</v>
      </c>
      <c r="C12" s="128"/>
      <c r="D12" s="128"/>
      <c r="E12" s="128"/>
      <c r="F12" s="128"/>
      <c r="G12" s="128"/>
      <c r="H12" s="128"/>
      <c r="I12" s="128"/>
      <c r="J12" s="128"/>
      <c r="K12" s="128">
        <v>25</v>
      </c>
      <c r="L12" s="128"/>
      <c r="M12" s="158">
        <f t="shared" si="32"/>
        <v>0</v>
      </c>
      <c r="N12" s="158">
        <f t="shared" si="33"/>
        <v>0</v>
      </c>
      <c r="O12" s="158">
        <f t="shared" si="34"/>
        <v>0</v>
      </c>
      <c r="P12" s="158">
        <f t="shared" si="35"/>
        <v>0</v>
      </c>
      <c r="Q12" s="158">
        <f t="shared" si="36"/>
        <v>0</v>
      </c>
      <c r="R12" s="158">
        <f t="shared" si="37"/>
        <v>0</v>
      </c>
      <c r="S12" s="158">
        <f t="shared" si="38"/>
        <v>0</v>
      </c>
      <c r="T12" s="158">
        <f t="shared" si="39"/>
        <v>0</v>
      </c>
      <c r="U12" s="128"/>
      <c r="V12" s="172">
        <f t="shared" si="24"/>
        <v>0</v>
      </c>
      <c r="W12" s="172">
        <f t="shared" si="25"/>
        <v>0</v>
      </c>
      <c r="X12" s="172">
        <f t="shared" si="26"/>
        <v>0</v>
      </c>
      <c r="Y12" s="172">
        <f t="shared" si="27"/>
        <v>0</v>
      </c>
      <c r="Z12" s="172">
        <f t="shared" si="28"/>
        <v>0</v>
      </c>
      <c r="AA12" s="172">
        <f t="shared" si="29"/>
        <v>0</v>
      </c>
      <c r="AB12" s="172">
        <f t="shared" si="30"/>
        <v>0</v>
      </c>
      <c r="AC12" s="172">
        <f t="shared" si="31"/>
        <v>0</v>
      </c>
      <c r="AD12" s="112"/>
      <c r="AE12" s="112" t="e">
        <f t="shared" si="11"/>
        <v>#DIV/0!</v>
      </c>
      <c r="AF12" s="112" t="e">
        <f t="shared" si="12"/>
        <v>#DIV/0!</v>
      </c>
      <c r="AG12" s="112" t="e">
        <f t="shared" si="13"/>
        <v>#DIV/0!</v>
      </c>
      <c r="AH12" s="112" t="e">
        <f t="shared" si="14"/>
        <v>#DIV/0!</v>
      </c>
      <c r="AI12" s="112" t="e">
        <f t="shared" si="15"/>
        <v>#DIV/0!</v>
      </c>
      <c r="AJ12" s="112" t="e">
        <f t="shared" si="16"/>
        <v>#DIV/0!</v>
      </c>
      <c r="AK12" s="112" t="e">
        <f t="shared" si="17"/>
        <v>#DIV/0!</v>
      </c>
      <c r="AL12" s="112" t="e">
        <f t="shared" si="18"/>
        <v>#DIV/0!</v>
      </c>
      <c r="AM12" s="112"/>
      <c r="AN12" s="129" t="e">
        <f>VLOOKUP($B12,'input gas_ethane'!$B$3:$Y$68,24,FALSE)*1000/'input vfa'!AC12</f>
        <v>#N/A</v>
      </c>
      <c r="AO12" s="129" t="e">
        <f>VLOOKUP($B12,'input gas_ethane'!$B$3:$Y$68,22,FALSE)*1000/'input vfa'!AC12</f>
        <v>#N/A</v>
      </c>
      <c r="AP12" s="129" t="e">
        <f t="shared" si="19"/>
        <v>#DIV/0!</v>
      </c>
      <c r="AQ12" s="129" t="e">
        <f t="shared" si="20"/>
        <v>#DIV/0!</v>
      </c>
      <c r="AR12" s="129">
        <f t="shared" si="21"/>
        <v>0</v>
      </c>
      <c r="AS12" s="129">
        <f t="shared" si="22"/>
        <v>0</v>
      </c>
      <c r="AT12" s="129" t="e">
        <f t="shared" si="23"/>
        <v>#DIV/0!</v>
      </c>
      <c r="AU12" s="127">
        <f>SUM(preparation_sheet_flasks!M12:P12)</f>
        <v>0</v>
      </c>
    </row>
    <row r="13" spans="1:47" ht="14.25" customHeight="1">
      <c r="A13" s="127">
        <f>technical_sheet_vfa!B14</f>
        <v>0</v>
      </c>
      <c r="B13" s="107">
        <f>technical_sheet_vfa!C14</f>
        <v>0</v>
      </c>
      <c r="C13" s="171"/>
      <c r="D13" s="171"/>
      <c r="E13" s="171"/>
      <c r="F13" s="171"/>
      <c r="G13" s="171"/>
      <c r="H13" s="171"/>
      <c r="I13" s="171"/>
      <c r="J13" s="171"/>
      <c r="K13" s="128">
        <v>25</v>
      </c>
      <c r="L13" s="171"/>
      <c r="M13" s="158">
        <f t="shared" si="32"/>
        <v>0</v>
      </c>
      <c r="N13" s="158">
        <f t="shared" si="33"/>
        <v>0</v>
      </c>
      <c r="O13" s="158">
        <f t="shared" si="34"/>
        <v>0</v>
      </c>
      <c r="P13" s="158">
        <f t="shared" si="35"/>
        <v>0</v>
      </c>
      <c r="Q13" s="158">
        <f t="shared" si="36"/>
        <v>0</v>
      </c>
      <c r="R13" s="158">
        <f t="shared" si="37"/>
        <v>0</v>
      </c>
      <c r="S13" s="158">
        <f t="shared" si="38"/>
        <v>0</v>
      </c>
      <c r="T13" s="158">
        <f t="shared" si="39"/>
        <v>0</v>
      </c>
      <c r="U13" s="171"/>
      <c r="V13" s="172">
        <f t="shared" si="24"/>
        <v>0</v>
      </c>
      <c r="W13" s="172">
        <f t="shared" si="25"/>
        <v>0</v>
      </c>
      <c r="X13" s="172">
        <f t="shared" si="26"/>
        <v>0</v>
      </c>
      <c r="Y13" s="172">
        <f t="shared" si="27"/>
        <v>0</v>
      </c>
      <c r="Z13" s="172">
        <f t="shared" si="28"/>
        <v>0</v>
      </c>
      <c r="AA13" s="172">
        <f t="shared" si="29"/>
        <v>0</v>
      </c>
      <c r="AB13" s="172">
        <f t="shared" si="30"/>
        <v>0</v>
      </c>
      <c r="AC13" s="172">
        <f t="shared" si="31"/>
        <v>0</v>
      </c>
      <c r="AD13" s="127"/>
      <c r="AE13" s="112" t="e">
        <f t="shared" si="11"/>
        <v>#DIV/0!</v>
      </c>
      <c r="AF13" s="112" t="e">
        <f t="shared" si="12"/>
        <v>#DIV/0!</v>
      </c>
      <c r="AG13" s="112" t="e">
        <f t="shared" si="13"/>
        <v>#DIV/0!</v>
      </c>
      <c r="AH13" s="112" t="e">
        <f t="shared" si="14"/>
        <v>#DIV/0!</v>
      </c>
      <c r="AI13" s="112" t="e">
        <f t="shared" si="15"/>
        <v>#DIV/0!</v>
      </c>
      <c r="AJ13" s="112" t="e">
        <f t="shared" si="16"/>
        <v>#DIV/0!</v>
      </c>
      <c r="AK13" s="112" t="e">
        <f t="shared" si="17"/>
        <v>#DIV/0!</v>
      </c>
      <c r="AL13" s="112" t="e">
        <f t="shared" si="18"/>
        <v>#DIV/0!</v>
      </c>
      <c r="AM13" s="127"/>
      <c r="AN13" s="129" t="e">
        <f>VLOOKUP($B13,'input gas_ethane'!$B$3:$Y$68,24,FALSE)*1000/'input vfa'!AC13</f>
        <v>#N/A</v>
      </c>
      <c r="AO13" s="129" t="e">
        <f>VLOOKUP($B13,'input gas_ethane'!$B$3:$Y$68,22,FALSE)*1000/'input vfa'!AC13</f>
        <v>#N/A</v>
      </c>
      <c r="AP13" s="129" t="e">
        <f t="shared" si="19"/>
        <v>#DIV/0!</v>
      </c>
      <c r="AQ13" s="129" t="e">
        <f t="shared" si="20"/>
        <v>#DIV/0!</v>
      </c>
      <c r="AR13" s="129">
        <f t="shared" si="21"/>
        <v>0</v>
      </c>
      <c r="AS13" s="129">
        <f t="shared" si="22"/>
        <v>0</v>
      </c>
      <c r="AT13" s="129" t="e">
        <f t="shared" si="23"/>
        <v>#DIV/0!</v>
      </c>
      <c r="AU13" s="127">
        <f>SUM(preparation_sheet_flasks!M13:P13)</f>
        <v>0</v>
      </c>
    </row>
    <row r="14" spans="1:47" ht="14.25" customHeight="1">
      <c r="A14" s="127">
        <f>technical_sheet_vfa!B15</f>
        <v>0</v>
      </c>
      <c r="B14" s="107">
        <f>technical_sheet_vfa!C15</f>
        <v>0</v>
      </c>
      <c r="C14" s="171"/>
      <c r="D14" s="171"/>
      <c r="E14" s="171"/>
      <c r="F14" s="171"/>
      <c r="G14" s="171"/>
      <c r="H14" s="171"/>
      <c r="I14" s="171"/>
      <c r="J14" s="171"/>
      <c r="K14" s="128">
        <v>25</v>
      </c>
      <c r="L14" s="171"/>
      <c r="M14" s="158">
        <f t="shared" si="32"/>
        <v>0</v>
      </c>
      <c r="N14" s="158">
        <f t="shared" si="33"/>
        <v>0</v>
      </c>
      <c r="O14" s="158">
        <f t="shared" si="34"/>
        <v>0</v>
      </c>
      <c r="P14" s="158">
        <f t="shared" si="35"/>
        <v>0</v>
      </c>
      <c r="Q14" s="158">
        <f t="shared" si="36"/>
        <v>0</v>
      </c>
      <c r="R14" s="158">
        <f t="shared" si="37"/>
        <v>0</v>
      </c>
      <c r="S14" s="158">
        <f t="shared" si="38"/>
        <v>0</v>
      </c>
      <c r="T14" s="158">
        <f t="shared" si="39"/>
        <v>0</v>
      </c>
      <c r="U14" s="171"/>
      <c r="V14" s="172">
        <f t="shared" si="24"/>
        <v>0</v>
      </c>
      <c r="W14" s="172">
        <f t="shared" si="25"/>
        <v>0</v>
      </c>
      <c r="X14" s="172">
        <f t="shared" si="26"/>
        <v>0</v>
      </c>
      <c r="Y14" s="172">
        <f t="shared" si="27"/>
        <v>0</v>
      </c>
      <c r="Z14" s="172">
        <f t="shared" si="28"/>
        <v>0</v>
      </c>
      <c r="AA14" s="172">
        <f t="shared" si="29"/>
        <v>0</v>
      </c>
      <c r="AB14" s="172">
        <f t="shared" si="30"/>
        <v>0</v>
      </c>
      <c r="AC14" s="172">
        <f t="shared" si="31"/>
        <v>0</v>
      </c>
      <c r="AD14" s="127"/>
      <c r="AE14" s="112" t="e">
        <f t="shared" si="11"/>
        <v>#DIV/0!</v>
      </c>
      <c r="AF14" s="112" t="e">
        <f t="shared" si="12"/>
        <v>#DIV/0!</v>
      </c>
      <c r="AG14" s="112" t="e">
        <f t="shared" si="13"/>
        <v>#DIV/0!</v>
      </c>
      <c r="AH14" s="112" t="e">
        <f t="shared" si="14"/>
        <v>#DIV/0!</v>
      </c>
      <c r="AI14" s="112" t="e">
        <f t="shared" si="15"/>
        <v>#DIV/0!</v>
      </c>
      <c r="AJ14" s="112" t="e">
        <f t="shared" si="16"/>
        <v>#DIV/0!</v>
      </c>
      <c r="AK14" s="112" t="e">
        <f t="shared" si="17"/>
        <v>#DIV/0!</v>
      </c>
      <c r="AL14" s="112" t="e">
        <f t="shared" si="18"/>
        <v>#DIV/0!</v>
      </c>
      <c r="AM14" s="127"/>
      <c r="AN14" s="129" t="e">
        <f>VLOOKUP($B14,'input gas_ethane'!$B$3:$Y$68,24,FALSE)*1000/'input vfa'!AC14</f>
        <v>#N/A</v>
      </c>
      <c r="AO14" s="129" t="e">
        <f>VLOOKUP($B14,'input gas_ethane'!$B$3:$Y$68,22,FALSE)*1000/'input vfa'!AC14</f>
        <v>#N/A</v>
      </c>
      <c r="AP14" s="129" t="e">
        <f t="shared" si="19"/>
        <v>#DIV/0!</v>
      </c>
      <c r="AQ14" s="129" t="e">
        <f t="shared" si="20"/>
        <v>#DIV/0!</v>
      </c>
      <c r="AR14" s="129">
        <f t="shared" si="21"/>
        <v>0</v>
      </c>
      <c r="AS14" s="129">
        <f t="shared" si="22"/>
        <v>0</v>
      </c>
      <c r="AT14" s="129" t="e">
        <f t="shared" si="23"/>
        <v>#DIV/0!</v>
      </c>
      <c r="AU14" s="127">
        <f>SUM(preparation_sheet_flasks!M14:P14)</f>
        <v>0</v>
      </c>
    </row>
    <row r="15" spans="1:47" ht="14.25" customHeight="1">
      <c r="A15" s="127">
        <f>technical_sheet_vfa!B16</f>
        <v>0</v>
      </c>
      <c r="B15" s="107">
        <f>technical_sheet_vfa!C16</f>
        <v>0</v>
      </c>
      <c r="C15" s="171"/>
      <c r="D15" s="171"/>
      <c r="E15" s="171"/>
      <c r="F15" s="171"/>
      <c r="G15" s="171"/>
      <c r="H15" s="171"/>
      <c r="I15" s="171"/>
      <c r="J15" s="171"/>
      <c r="K15" s="128">
        <v>25</v>
      </c>
      <c r="L15" s="171"/>
      <c r="M15" s="158">
        <f t="shared" si="32"/>
        <v>0</v>
      </c>
      <c r="N15" s="158">
        <f t="shared" si="33"/>
        <v>0</v>
      </c>
      <c r="O15" s="158">
        <f t="shared" si="34"/>
        <v>0</v>
      </c>
      <c r="P15" s="158">
        <f t="shared" si="35"/>
        <v>0</v>
      </c>
      <c r="Q15" s="158">
        <f t="shared" si="36"/>
        <v>0</v>
      </c>
      <c r="R15" s="158">
        <f t="shared" si="37"/>
        <v>0</v>
      </c>
      <c r="S15" s="158">
        <f t="shared" si="38"/>
        <v>0</v>
      </c>
      <c r="T15" s="158">
        <f t="shared" si="39"/>
        <v>0</v>
      </c>
      <c r="U15" s="171"/>
      <c r="V15" s="172">
        <f t="shared" si="24"/>
        <v>0</v>
      </c>
      <c r="W15" s="172">
        <f t="shared" si="25"/>
        <v>0</v>
      </c>
      <c r="X15" s="172">
        <f t="shared" si="26"/>
        <v>0</v>
      </c>
      <c r="Y15" s="172">
        <f t="shared" si="27"/>
        <v>0</v>
      </c>
      <c r="Z15" s="172">
        <f t="shared" si="28"/>
        <v>0</v>
      </c>
      <c r="AA15" s="172">
        <f t="shared" si="29"/>
        <v>0</v>
      </c>
      <c r="AB15" s="172">
        <f t="shared" si="30"/>
        <v>0</v>
      </c>
      <c r="AC15" s="172">
        <f t="shared" si="31"/>
        <v>0</v>
      </c>
      <c r="AD15" s="127"/>
      <c r="AE15" s="112" t="e">
        <f t="shared" si="11"/>
        <v>#DIV/0!</v>
      </c>
      <c r="AF15" s="112" t="e">
        <f t="shared" si="12"/>
        <v>#DIV/0!</v>
      </c>
      <c r="AG15" s="112" t="e">
        <f t="shared" si="13"/>
        <v>#DIV/0!</v>
      </c>
      <c r="AH15" s="112" t="e">
        <f t="shared" si="14"/>
        <v>#DIV/0!</v>
      </c>
      <c r="AI15" s="112" t="e">
        <f t="shared" si="15"/>
        <v>#DIV/0!</v>
      </c>
      <c r="AJ15" s="112" t="e">
        <f t="shared" si="16"/>
        <v>#DIV/0!</v>
      </c>
      <c r="AK15" s="112" t="e">
        <f t="shared" si="17"/>
        <v>#DIV/0!</v>
      </c>
      <c r="AL15" s="112" t="e">
        <f t="shared" si="18"/>
        <v>#DIV/0!</v>
      </c>
      <c r="AM15" s="127"/>
      <c r="AN15" s="129" t="e">
        <f>VLOOKUP($B15,'input gas_ethane'!$B$3:$Y$68,24,FALSE)*1000/'input vfa'!AC15</f>
        <v>#N/A</v>
      </c>
      <c r="AO15" s="129" t="e">
        <f>VLOOKUP($B15,'input gas_ethane'!$B$3:$Y$68,22,FALSE)*1000/'input vfa'!AC15</f>
        <v>#N/A</v>
      </c>
      <c r="AP15" s="129" t="e">
        <f t="shared" si="19"/>
        <v>#DIV/0!</v>
      </c>
      <c r="AQ15" s="129" t="e">
        <f t="shared" si="20"/>
        <v>#DIV/0!</v>
      </c>
      <c r="AR15" s="129">
        <f t="shared" si="21"/>
        <v>0</v>
      </c>
      <c r="AS15" s="129">
        <f t="shared" si="22"/>
        <v>0</v>
      </c>
      <c r="AT15" s="129" t="e">
        <f t="shared" si="23"/>
        <v>#DIV/0!</v>
      </c>
      <c r="AU15" s="127">
        <f>SUM(preparation_sheet_flasks!M15:P15)</f>
        <v>0</v>
      </c>
    </row>
    <row r="16" spans="1:47" ht="14.25" customHeight="1">
      <c r="A16" s="127">
        <f>technical_sheet_vfa!B17</f>
        <v>0</v>
      </c>
      <c r="B16" s="107">
        <f>technical_sheet_vfa!C17</f>
        <v>0</v>
      </c>
      <c r="C16" s="171"/>
      <c r="D16" s="171"/>
      <c r="E16" s="171"/>
      <c r="F16" s="171"/>
      <c r="G16" s="171"/>
      <c r="H16" s="171"/>
      <c r="I16" s="171"/>
      <c r="J16" s="171"/>
      <c r="K16" s="128">
        <v>25</v>
      </c>
      <c r="L16" s="171"/>
      <c r="M16" s="158">
        <f t="shared" si="32"/>
        <v>0</v>
      </c>
      <c r="N16" s="158">
        <f t="shared" si="33"/>
        <v>0</v>
      </c>
      <c r="O16" s="158">
        <f t="shared" si="34"/>
        <v>0</v>
      </c>
      <c r="P16" s="158">
        <f t="shared" si="35"/>
        <v>0</v>
      </c>
      <c r="Q16" s="158">
        <f t="shared" si="36"/>
        <v>0</v>
      </c>
      <c r="R16" s="158">
        <f t="shared" si="37"/>
        <v>0</v>
      </c>
      <c r="S16" s="158">
        <f t="shared" si="38"/>
        <v>0</v>
      </c>
      <c r="T16" s="158">
        <f t="shared" si="39"/>
        <v>0</v>
      </c>
      <c r="U16" s="171"/>
      <c r="V16" s="172">
        <f t="shared" si="24"/>
        <v>0</v>
      </c>
      <c r="W16" s="172">
        <f t="shared" si="25"/>
        <v>0</v>
      </c>
      <c r="X16" s="172">
        <f t="shared" si="26"/>
        <v>0</v>
      </c>
      <c r="Y16" s="172">
        <f t="shared" si="27"/>
        <v>0</v>
      </c>
      <c r="Z16" s="172">
        <f t="shared" si="28"/>
        <v>0</v>
      </c>
      <c r="AA16" s="172">
        <f t="shared" si="29"/>
        <v>0</v>
      </c>
      <c r="AB16" s="172">
        <f t="shared" si="30"/>
        <v>0</v>
      </c>
      <c r="AC16" s="172">
        <f t="shared" si="31"/>
        <v>0</v>
      </c>
      <c r="AD16" s="127"/>
      <c r="AE16" s="112" t="e">
        <f t="shared" si="11"/>
        <v>#DIV/0!</v>
      </c>
      <c r="AF16" s="112" t="e">
        <f t="shared" si="12"/>
        <v>#DIV/0!</v>
      </c>
      <c r="AG16" s="112" t="e">
        <f t="shared" si="13"/>
        <v>#DIV/0!</v>
      </c>
      <c r="AH16" s="112" t="e">
        <f t="shared" si="14"/>
        <v>#DIV/0!</v>
      </c>
      <c r="AI16" s="112" t="e">
        <f t="shared" si="15"/>
        <v>#DIV/0!</v>
      </c>
      <c r="AJ16" s="112" t="e">
        <f t="shared" si="16"/>
        <v>#DIV/0!</v>
      </c>
      <c r="AK16" s="112" t="e">
        <f t="shared" si="17"/>
        <v>#DIV/0!</v>
      </c>
      <c r="AL16" s="112" t="e">
        <f t="shared" si="18"/>
        <v>#DIV/0!</v>
      </c>
      <c r="AM16" s="127"/>
      <c r="AN16" s="129" t="e">
        <f>VLOOKUP($B16,'input gas_ethane'!$B$3:$Y$68,24,FALSE)*1000/'input vfa'!AC16</f>
        <v>#N/A</v>
      </c>
      <c r="AO16" s="129" t="e">
        <f>VLOOKUP($B16,'input gas_ethane'!$B$3:$Y$68,22,FALSE)*1000/'input vfa'!AC16</f>
        <v>#N/A</v>
      </c>
      <c r="AP16" s="129" t="e">
        <f t="shared" si="19"/>
        <v>#DIV/0!</v>
      </c>
      <c r="AQ16" s="129" t="e">
        <f t="shared" si="20"/>
        <v>#DIV/0!</v>
      </c>
      <c r="AR16" s="129">
        <f t="shared" si="21"/>
        <v>0</v>
      </c>
      <c r="AS16" s="129">
        <f t="shared" si="22"/>
        <v>0</v>
      </c>
      <c r="AT16" s="129" t="e">
        <f t="shared" si="23"/>
        <v>#DIV/0!</v>
      </c>
      <c r="AU16" s="127">
        <f>SUM(preparation_sheet_flasks!M16:P16)</f>
        <v>0</v>
      </c>
    </row>
    <row r="17" spans="1:47" ht="14.25" customHeight="1">
      <c r="A17" s="127">
        <f>technical_sheet_vfa!B18</f>
        <v>0</v>
      </c>
      <c r="B17" s="107">
        <f>technical_sheet_vfa!C18</f>
        <v>0</v>
      </c>
      <c r="C17" s="171"/>
      <c r="D17" s="171"/>
      <c r="E17" s="171"/>
      <c r="F17" s="171"/>
      <c r="G17" s="171"/>
      <c r="H17" s="171"/>
      <c r="I17" s="171"/>
      <c r="J17" s="171"/>
      <c r="K17" s="128">
        <v>25</v>
      </c>
      <c r="L17" s="171"/>
      <c r="M17" s="158">
        <f t="shared" si="32"/>
        <v>0</v>
      </c>
      <c r="N17" s="158">
        <f t="shared" si="33"/>
        <v>0</v>
      </c>
      <c r="O17" s="158">
        <f t="shared" si="34"/>
        <v>0</v>
      </c>
      <c r="P17" s="158">
        <f t="shared" si="35"/>
        <v>0</v>
      </c>
      <c r="Q17" s="158">
        <f t="shared" si="36"/>
        <v>0</v>
      </c>
      <c r="R17" s="158">
        <f t="shared" si="37"/>
        <v>0</v>
      </c>
      <c r="S17" s="158">
        <f t="shared" si="38"/>
        <v>0</v>
      </c>
      <c r="T17" s="158">
        <f t="shared" si="39"/>
        <v>0</v>
      </c>
      <c r="U17" s="171"/>
      <c r="V17" s="172">
        <f t="shared" si="24"/>
        <v>0</v>
      </c>
      <c r="W17" s="172">
        <f t="shared" si="25"/>
        <v>0</v>
      </c>
      <c r="X17" s="172">
        <f t="shared" si="26"/>
        <v>0</v>
      </c>
      <c r="Y17" s="172">
        <f t="shared" si="27"/>
        <v>0</v>
      </c>
      <c r="Z17" s="172">
        <f t="shared" si="28"/>
        <v>0</v>
      </c>
      <c r="AA17" s="172">
        <f t="shared" si="29"/>
        <v>0</v>
      </c>
      <c r="AB17" s="172">
        <f t="shared" si="30"/>
        <v>0</v>
      </c>
      <c r="AC17" s="172">
        <f t="shared" si="31"/>
        <v>0</v>
      </c>
      <c r="AD17" s="127"/>
      <c r="AE17" s="112" t="e">
        <f t="shared" si="11"/>
        <v>#DIV/0!</v>
      </c>
      <c r="AF17" s="112" t="e">
        <f t="shared" si="12"/>
        <v>#DIV/0!</v>
      </c>
      <c r="AG17" s="112" t="e">
        <f t="shared" si="13"/>
        <v>#DIV/0!</v>
      </c>
      <c r="AH17" s="112" t="e">
        <f t="shared" si="14"/>
        <v>#DIV/0!</v>
      </c>
      <c r="AI17" s="112" t="e">
        <f t="shared" si="15"/>
        <v>#DIV/0!</v>
      </c>
      <c r="AJ17" s="112" t="e">
        <f t="shared" si="16"/>
        <v>#DIV/0!</v>
      </c>
      <c r="AK17" s="112" t="e">
        <f t="shared" si="17"/>
        <v>#DIV/0!</v>
      </c>
      <c r="AL17" s="112" t="e">
        <f t="shared" si="18"/>
        <v>#DIV/0!</v>
      </c>
      <c r="AM17" s="127"/>
      <c r="AN17" s="129" t="e">
        <f>VLOOKUP($B17,'input gas_ethane'!$B$3:$Y$68,24,FALSE)*1000/'input vfa'!AC17</f>
        <v>#N/A</v>
      </c>
      <c r="AO17" s="129" t="e">
        <f>VLOOKUP($B17,'input gas_ethane'!$B$3:$Y$68,22,FALSE)*1000/'input vfa'!AC17</f>
        <v>#N/A</v>
      </c>
      <c r="AP17" s="129" t="e">
        <f t="shared" si="19"/>
        <v>#DIV/0!</v>
      </c>
      <c r="AQ17" s="129" t="e">
        <f t="shared" si="20"/>
        <v>#DIV/0!</v>
      </c>
      <c r="AR17" s="129">
        <f t="shared" si="21"/>
        <v>0</v>
      </c>
      <c r="AS17" s="129">
        <f t="shared" si="22"/>
        <v>0</v>
      </c>
      <c r="AT17" s="129" t="e">
        <f t="shared" si="23"/>
        <v>#DIV/0!</v>
      </c>
      <c r="AU17" s="127">
        <f>SUM(preparation_sheet_flasks!M17:P17)</f>
        <v>0</v>
      </c>
    </row>
    <row r="18" spans="1:47" ht="14.25" customHeight="1">
      <c r="A18" s="127">
        <f>technical_sheet_vfa!B19</f>
        <v>0</v>
      </c>
      <c r="B18" s="107">
        <f>technical_sheet_vfa!C19</f>
        <v>0</v>
      </c>
      <c r="C18" s="171"/>
      <c r="D18" s="171"/>
      <c r="E18" s="171"/>
      <c r="F18" s="171"/>
      <c r="G18" s="171"/>
      <c r="H18" s="171"/>
      <c r="I18" s="171"/>
      <c r="J18" s="171"/>
      <c r="K18" s="128">
        <v>25</v>
      </c>
      <c r="L18" s="171"/>
      <c r="M18" s="158">
        <f t="shared" si="32"/>
        <v>0</v>
      </c>
      <c r="N18" s="158">
        <f t="shared" si="33"/>
        <v>0</v>
      </c>
      <c r="O18" s="158">
        <f t="shared" si="34"/>
        <v>0</v>
      </c>
      <c r="P18" s="158">
        <f t="shared" si="35"/>
        <v>0</v>
      </c>
      <c r="Q18" s="158">
        <f t="shared" si="36"/>
        <v>0</v>
      </c>
      <c r="R18" s="158">
        <f t="shared" si="37"/>
        <v>0</v>
      </c>
      <c r="S18" s="158">
        <f t="shared" si="38"/>
        <v>0</v>
      </c>
      <c r="T18" s="158">
        <f t="shared" si="39"/>
        <v>0</v>
      </c>
      <c r="U18" s="171"/>
      <c r="V18" s="172">
        <f t="shared" si="24"/>
        <v>0</v>
      </c>
      <c r="W18" s="172">
        <f t="shared" si="25"/>
        <v>0</v>
      </c>
      <c r="X18" s="172">
        <f t="shared" si="26"/>
        <v>0</v>
      </c>
      <c r="Y18" s="172">
        <f t="shared" si="27"/>
        <v>0</v>
      </c>
      <c r="Z18" s="172">
        <f t="shared" si="28"/>
        <v>0</v>
      </c>
      <c r="AA18" s="172">
        <f t="shared" si="29"/>
        <v>0</v>
      </c>
      <c r="AB18" s="172">
        <f t="shared" si="30"/>
        <v>0</v>
      </c>
      <c r="AC18" s="172">
        <f t="shared" si="31"/>
        <v>0</v>
      </c>
      <c r="AD18" s="127"/>
      <c r="AE18" s="127" t="e">
        <f t="shared" ref="AE18:AE31" si="40">(V18/$AC18)*1000</f>
        <v>#DIV/0!</v>
      </c>
      <c r="AF18" s="127" t="e">
        <f t="shared" ref="AF18:AF27" si="41">(W18/$AC18)*1000</f>
        <v>#DIV/0!</v>
      </c>
      <c r="AG18" s="127" t="e">
        <f t="shared" ref="AG18:AG27" si="42">(X18/$AC18)*1000</f>
        <v>#DIV/0!</v>
      </c>
      <c r="AH18" s="127" t="e">
        <f t="shared" ref="AH18:AH27" si="43">(Y18/$AC18)*1000</f>
        <v>#DIV/0!</v>
      </c>
      <c r="AI18" s="127" t="e">
        <f t="shared" ref="AI18:AI27" si="44">(Z18/$AC18)*1000</f>
        <v>#DIV/0!</v>
      </c>
      <c r="AJ18" s="127" t="e">
        <f t="shared" ref="AJ18:AJ27" si="45">(AA18/$AC18)*1000</f>
        <v>#DIV/0!</v>
      </c>
      <c r="AK18" s="127" t="e">
        <f t="shared" ref="AK18:AK27" si="46">(AB18/$AC18)*1000</f>
        <v>#DIV/0!</v>
      </c>
      <c r="AL18" s="127" t="e">
        <f t="shared" ref="AL18:AL27" si="47">(AC18/$AC18)*1000</f>
        <v>#DIV/0!</v>
      </c>
      <c r="AM18" s="127"/>
      <c r="AN18" s="129" t="e">
        <f>VLOOKUP($B18,'input gas_ethane'!$B$3:$Y$68,24,FALSE)*1000/'input vfa'!AC18</f>
        <v>#N/A</v>
      </c>
      <c r="AO18" s="129" t="e">
        <f>VLOOKUP($B18,'input gas_ethane'!$B$3:$Y$68,22,FALSE)*1000/'input vfa'!AC18</f>
        <v>#N/A</v>
      </c>
      <c r="AP18" s="129" t="e">
        <f t="shared" si="19"/>
        <v>#DIV/0!</v>
      </c>
      <c r="AQ18" s="129" t="e">
        <f t="shared" si="20"/>
        <v>#DIV/0!</v>
      </c>
      <c r="AR18" s="129">
        <f t="shared" si="21"/>
        <v>0</v>
      </c>
      <c r="AS18" s="129">
        <f t="shared" si="22"/>
        <v>0</v>
      </c>
      <c r="AT18" s="129" t="e">
        <f t="shared" si="23"/>
        <v>#DIV/0!</v>
      </c>
      <c r="AU18" s="127">
        <f>SUM(preparation_sheet_flasks!M18:P18)</f>
        <v>0</v>
      </c>
    </row>
    <row r="19" spans="1:47" ht="14.25" customHeight="1">
      <c r="A19" s="127">
        <f>technical_sheet_vfa!B20</f>
        <v>0</v>
      </c>
      <c r="B19" s="107">
        <f>technical_sheet_vfa!C20</f>
        <v>0</v>
      </c>
      <c r="C19" s="171"/>
      <c r="D19" s="171"/>
      <c r="E19" s="171"/>
      <c r="F19" s="171"/>
      <c r="G19" s="171"/>
      <c r="H19" s="171"/>
      <c r="I19" s="171"/>
      <c r="J19" s="171"/>
      <c r="K19" s="128">
        <v>25</v>
      </c>
      <c r="L19" s="171"/>
      <c r="M19" s="158">
        <f t="shared" si="32"/>
        <v>0</v>
      </c>
      <c r="N19" s="158">
        <f t="shared" si="33"/>
        <v>0</v>
      </c>
      <c r="O19" s="158">
        <f t="shared" si="34"/>
        <v>0</v>
      </c>
      <c r="P19" s="158">
        <f t="shared" si="35"/>
        <v>0</v>
      </c>
      <c r="Q19" s="158">
        <f t="shared" si="36"/>
        <v>0</v>
      </c>
      <c r="R19" s="158">
        <f t="shared" si="37"/>
        <v>0</v>
      </c>
      <c r="S19" s="158">
        <f t="shared" si="38"/>
        <v>0</v>
      </c>
      <c r="T19" s="158">
        <f t="shared" si="39"/>
        <v>0</v>
      </c>
      <c r="U19" s="171"/>
      <c r="V19" s="172">
        <f t="shared" si="24"/>
        <v>0</v>
      </c>
      <c r="W19" s="172">
        <f t="shared" si="25"/>
        <v>0</v>
      </c>
      <c r="X19" s="172">
        <f t="shared" si="26"/>
        <v>0</v>
      </c>
      <c r="Y19" s="172">
        <f t="shared" si="27"/>
        <v>0</v>
      </c>
      <c r="Z19" s="172">
        <f t="shared" si="28"/>
        <v>0</v>
      </c>
      <c r="AA19" s="172">
        <f t="shared" si="29"/>
        <v>0</v>
      </c>
      <c r="AB19" s="172">
        <f t="shared" si="30"/>
        <v>0</v>
      </c>
      <c r="AC19" s="172">
        <f t="shared" si="31"/>
        <v>0</v>
      </c>
      <c r="AD19" s="127"/>
      <c r="AE19" s="127" t="e">
        <f t="shared" si="40"/>
        <v>#DIV/0!</v>
      </c>
      <c r="AF19" s="127" t="e">
        <f t="shared" ref="AF19:AK21" si="48">(W19/$AC19)*1000</f>
        <v>#DIV/0!</v>
      </c>
      <c r="AG19" s="127" t="e">
        <f t="shared" si="48"/>
        <v>#DIV/0!</v>
      </c>
      <c r="AH19" s="127" t="e">
        <f t="shared" si="48"/>
        <v>#DIV/0!</v>
      </c>
      <c r="AI19" s="127" t="e">
        <f t="shared" si="48"/>
        <v>#DIV/0!</v>
      </c>
      <c r="AJ19" s="127" t="e">
        <f t="shared" si="48"/>
        <v>#DIV/0!</v>
      </c>
      <c r="AK19" s="127" t="e">
        <f t="shared" si="48"/>
        <v>#DIV/0!</v>
      </c>
      <c r="AL19" s="127" t="e">
        <f t="shared" si="47"/>
        <v>#DIV/0!</v>
      </c>
      <c r="AM19" s="127"/>
      <c r="AN19" s="129" t="e">
        <f>VLOOKUP($B19,'input gas_ethane'!$B$3:$Y$68,24,FALSE)*1000/'input vfa'!AC19</f>
        <v>#N/A</v>
      </c>
      <c r="AO19" s="129" t="e">
        <f>VLOOKUP($B19,'input gas_ethane'!$B$3:$Y$68,22,FALSE)*1000/'input vfa'!AC19</f>
        <v>#N/A</v>
      </c>
      <c r="AP19" s="129" t="e">
        <f t="shared" si="19"/>
        <v>#DIV/0!</v>
      </c>
      <c r="AQ19" s="129" t="e">
        <f t="shared" si="20"/>
        <v>#DIV/0!</v>
      </c>
      <c r="AR19" s="129">
        <f t="shared" si="21"/>
        <v>0</v>
      </c>
      <c r="AS19" s="129">
        <f t="shared" si="22"/>
        <v>0</v>
      </c>
      <c r="AT19" s="129" t="e">
        <f t="shared" si="23"/>
        <v>#DIV/0!</v>
      </c>
      <c r="AU19" s="127">
        <f>SUM(preparation_sheet_flasks!M19:P19)</f>
        <v>0</v>
      </c>
    </row>
    <row r="20" spans="1:47" ht="14.25" customHeight="1">
      <c r="A20" s="127">
        <f>technical_sheet_vfa!B21</f>
        <v>0</v>
      </c>
      <c r="B20" s="107">
        <f>technical_sheet_vfa!C21</f>
        <v>0</v>
      </c>
      <c r="C20" s="171"/>
      <c r="D20" s="171"/>
      <c r="E20" s="171"/>
      <c r="F20" s="171"/>
      <c r="G20" s="171"/>
      <c r="H20" s="171"/>
      <c r="I20" s="171"/>
      <c r="J20" s="171"/>
      <c r="K20" s="128">
        <v>25</v>
      </c>
      <c r="L20" s="171"/>
      <c r="M20" s="158">
        <f t="shared" si="32"/>
        <v>0</v>
      </c>
      <c r="N20" s="158">
        <f t="shared" si="33"/>
        <v>0</v>
      </c>
      <c r="O20" s="158">
        <f t="shared" si="34"/>
        <v>0</v>
      </c>
      <c r="P20" s="158">
        <f t="shared" si="35"/>
        <v>0</v>
      </c>
      <c r="Q20" s="158">
        <f t="shared" si="36"/>
        <v>0</v>
      </c>
      <c r="R20" s="158">
        <f t="shared" si="37"/>
        <v>0</v>
      </c>
      <c r="S20" s="158">
        <f t="shared" si="38"/>
        <v>0</v>
      </c>
      <c r="T20" s="158">
        <f t="shared" si="39"/>
        <v>0</v>
      </c>
      <c r="U20" s="171"/>
      <c r="V20" s="172">
        <f t="shared" si="24"/>
        <v>0</v>
      </c>
      <c r="W20" s="172">
        <f t="shared" si="25"/>
        <v>0</v>
      </c>
      <c r="X20" s="172">
        <f t="shared" si="26"/>
        <v>0</v>
      </c>
      <c r="Y20" s="172">
        <f t="shared" si="27"/>
        <v>0</v>
      </c>
      <c r="Z20" s="172">
        <f t="shared" si="28"/>
        <v>0</v>
      </c>
      <c r="AA20" s="172">
        <f t="shared" si="29"/>
        <v>0</v>
      </c>
      <c r="AB20" s="172">
        <f t="shared" si="30"/>
        <v>0</v>
      </c>
      <c r="AC20" s="172">
        <f t="shared" si="31"/>
        <v>0</v>
      </c>
      <c r="AD20" s="127"/>
      <c r="AE20" s="127" t="e">
        <f t="shared" si="40"/>
        <v>#DIV/0!</v>
      </c>
      <c r="AF20" s="127" t="e">
        <f t="shared" si="48"/>
        <v>#DIV/0!</v>
      </c>
      <c r="AG20" s="127" t="e">
        <f t="shared" si="48"/>
        <v>#DIV/0!</v>
      </c>
      <c r="AH20" s="127" t="e">
        <f t="shared" si="48"/>
        <v>#DIV/0!</v>
      </c>
      <c r="AI20" s="127" t="e">
        <f t="shared" si="48"/>
        <v>#DIV/0!</v>
      </c>
      <c r="AJ20" s="127" t="e">
        <f t="shared" si="48"/>
        <v>#DIV/0!</v>
      </c>
      <c r="AK20" s="127" t="e">
        <f t="shared" si="48"/>
        <v>#DIV/0!</v>
      </c>
      <c r="AL20" s="127" t="e">
        <f t="shared" si="47"/>
        <v>#DIV/0!</v>
      </c>
      <c r="AM20" s="127"/>
      <c r="AN20" s="129" t="e">
        <f>VLOOKUP($B20,'input gas_ethane'!$B$3:$Y$68,24,FALSE)*1000/'input vfa'!AC20</f>
        <v>#N/A</v>
      </c>
      <c r="AO20" s="129" t="e">
        <f>VLOOKUP($B20,'input gas_ethane'!$B$3:$Y$68,22,FALSE)*1000/'input vfa'!AC20</f>
        <v>#N/A</v>
      </c>
      <c r="AP20" s="129" t="e">
        <f t="shared" si="19"/>
        <v>#DIV/0!</v>
      </c>
      <c r="AQ20" s="129" t="e">
        <f t="shared" si="20"/>
        <v>#DIV/0!</v>
      </c>
      <c r="AR20" s="129">
        <f t="shared" si="21"/>
        <v>0</v>
      </c>
      <c r="AS20" s="129">
        <f t="shared" si="22"/>
        <v>0</v>
      </c>
      <c r="AT20" s="129" t="e">
        <f t="shared" si="23"/>
        <v>#DIV/0!</v>
      </c>
      <c r="AU20" s="127">
        <f>SUM(preparation_sheet_flasks!M20:P20)</f>
        <v>0</v>
      </c>
    </row>
    <row r="21" spans="1:47" ht="14.25" customHeight="1">
      <c r="A21" s="127">
        <f>technical_sheet_vfa!B22</f>
        <v>0</v>
      </c>
      <c r="B21" s="107">
        <f>technical_sheet_vfa!C22</f>
        <v>0</v>
      </c>
      <c r="C21" s="171"/>
      <c r="D21" s="171"/>
      <c r="E21" s="171"/>
      <c r="F21" s="171"/>
      <c r="G21" s="171"/>
      <c r="H21" s="171"/>
      <c r="I21" s="171"/>
      <c r="J21" s="171"/>
      <c r="K21" s="128">
        <v>25</v>
      </c>
      <c r="L21" s="171"/>
      <c r="M21" s="158">
        <f t="shared" si="32"/>
        <v>0</v>
      </c>
      <c r="N21" s="158">
        <f t="shared" si="33"/>
        <v>0</v>
      </c>
      <c r="O21" s="158">
        <f t="shared" si="34"/>
        <v>0</v>
      </c>
      <c r="P21" s="158">
        <f t="shared" si="35"/>
        <v>0</v>
      </c>
      <c r="Q21" s="158">
        <f t="shared" si="36"/>
        <v>0</v>
      </c>
      <c r="R21" s="158">
        <f t="shared" si="37"/>
        <v>0</v>
      </c>
      <c r="S21" s="158">
        <f t="shared" si="38"/>
        <v>0</v>
      </c>
      <c r="T21" s="158">
        <f t="shared" si="39"/>
        <v>0</v>
      </c>
      <c r="U21" s="171"/>
      <c r="V21" s="172">
        <f t="shared" si="24"/>
        <v>0</v>
      </c>
      <c r="W21" s="172">
        <f t="shared" si="25"/>
        <v>0</v>
      </c>
      <c r="X21" s="172">
        <f t="shared" si="26"/>
        <v>0</v>
      </c>
      <c r="Y21" s="172">
        <f t="shared" si="27"/>
        <v>0</v>
      </c>
      <c r="Z21" s="172">
        <f t="shared" si="28"/>
        <v>0</v>
      </c>
      <c r="AA21" s="172">
        <f t="shared" si="29"/>
        <v>0</v>
      </c>
      <c r="AB21" s="172">
        <f t="shared" si="30"/>
        <v>0</v>
      </c>
      <c r="AC21" s="172">
        <f t="shared" si="31"/>
        <v>0</v>
      </c>
      <c r="AD21" s="127"/>
      <c r="AE21" s="127" t="e">
        <f t="shared" si="40"/>
        <v>#DIV/0!</v>
      </c>
      <c r="AF21" s="127" t="e">
        <f t="shared" si="48"/>
        <v>#DIV/0!</v>
      </c>
      <c r="AG21" s="127" t="e">
        <f t="shared" si="48"/>
        <v>#DIV/0!</v>
      </c>
      <c r="AH21" s="127" t="e">
        <f t="shared" si="48"/>
        <v>#DIV/0!</v>
      </c>
      <c r="AI21" s="127" t="e">
        <f t="shared" si="48"/>
        <v>#DIV/0!</v>
      </c>
      <c r="AJ21" s="127" t="e">
        <f t="shared" si="48"/>
        <v>#DIV/0!</v>
      </c>
      <c r="AK21" s="127" t="e">
        <f t="shared" si="48"/>
        <v>#DIV/0!</v>
      </c>
      <c r="AL21" s="127" t="e">
        <f t="shared" si="47"/>
        <v>#DIV/0!</v>
      </c>
      <c r="AM21" s="127"/>
      <c r="AN21" s="129" t="e">
        <f>VLOOKUP($B21,'input gas_ethane'!$B$3:$Y$68,24,FALSE)*1000/'input vfa'!AC21</f>
        <v>#N/A</v>
      </c>
      <c r="AO21" s="129" t="e">
        <f>VLOOKUP($B21,'input gas_ethane'!$B$3:$Y$68,22,FALSE)*1000/'input vfa'!AC21</f>
        <v>#N/A</v>
      </c>
      <c r="AP21" s="129" t="e">
        <f t="shared" si="19"/>
        <v>#DIV/0!</v>
      </c>
      <c r="AQ21" s="129" t="e">
        <f t="shared" si="20"/>
        <v>#DIV/0!</v>
      </c>
      <c r="AR21" s="129">
        <f t="shared" si="21"/>
        <v>0</v>
      </c>
      <c r="AS21" s="129">
        <f t="shared" si="22"/>
        <v>0</v>
      </c>
      <c r="AT21" s="129" t="e">
        <f t="shared" si="23"/>
        <v>#DIV/0!</v>
      </c>
      <c r="AU21" s="127">
        <f>SUM(preparation_sheet_flasks!M21:P21)</f>
        <v>0</v>
      </c>
    </row>
    <row r="22" spans="1:47" ht="14.25" customHeight="1">
      <c r="A22" s="127">
        <f>technical_sheet_vfa!B23</f>
        <v>0</v>
      </c>
      <c r="B22" s="107">
        <f>technical_sheet_vfa!C23</f>
        <v>0</v>
      </c>
      <c r="C22" s="171"/>
      <c r="D22" s="171"/>
      <c r="E22" s="171"/>
      <c r="F22" s="171"/>
      <c r="G22" s="171"/>
      <c r="H22" s="171"/>
      <c r="I22" s="171"/>
      <c r="J22" s="171"/>
      <c r="K22" s="128">
        <v>25</v>
      </c>
      <c r="L22" s="171"/>
      <c r="M22" s="158">
        <f t="shared" si="32"/>
        <v>0</v>
      </c>
      <c r="N22" s="158">
        <f t="shared" si="33"/>
        <v>0</v>
      </c>
      <c r="O22" s="158">
        <f t="shared" si="34"/>
        <v>0</v>
      </c>
      <c r="P22" s="158">
        <f t="shared" si="35"/>
        <v>0</v>
      </c>
      <c r="Q22" s="158">
        <f t="shared" si="36"/>
        <v>0</v>
      </c>
      <c r="R22" s="158">
        <f t="shared" si="37"/>
        <v>0</v>
      </c>
      <c r="S22" s="158">
        <f t="shared" si="38"/>
        <v>0</v>
      </c>
      <c r="T22" s="158">
        <f t="shared" si="39"/>
        <v>0</v>
      </c>
      <c r="U22" s="171"/>
      <c r="V22" s="172">
        <f t="shared" si="24"/>
        <v>0</v>
      </c>
      <c r="W22" s="172">
        <f t="shared" si="25"/>
        <v>0</v>
      </c>
      <c r="X22" s="172">
        <f t="shared" si="26"/>
        <v>0</v>
      </c>
      <c r="Y22" s="172">
        <f t="shared" si="27"/>
        <v>0</v>
      </c>
      <c r="Z22" s="172">
        <f t="shared" si="28"/>
        <v>0</v>
      </c>
      <c r="AA22" s="172">
        <f t="shared" si="29"/>
        <v>0</v>
      </c>
      <c r="AB22" s="172">
        <f t="shared" si="30"/>
        <v>0</v>
      </c>
      <c r="AC22" s="172">
        <f t="shared" si="31"/>
        <v>0</v>
      </c>
      <c r="AD22" s="127"/>
      <c r="AE22" s="127" t="e">
        <f t="shared" si="40"/>
        <v>#DIV/0!</v>
      </c>
      <c r="AF22" s="127" t="e">
        <f t="shared" si="41"/>
        <v>#DIV/0!</v>
      </c>
      <c r="AG22" s="127" t="e">
        <f t="shared" si="42"/>
        <v>#DIV/0!</v>
      </c>
      <c r="AH22" s="127" t="e">
        <f t="shared" si="43"/>
        <v>#DIV/0!</v>
      </c>
      <c r="AI22" s="127" t="e">
        <f t="shared" si="44"/>
        <v>#DIV/0!</v>
      </c>
      <c r="AJ22" s="127" t="e">
        <f t="shared" si="45"/>
        <v>#DIV/0!</v>
      </c>
      <c r="AK22" s="127" t="e">
        <f t="shared" si="46"/>
        <v>#DIV/0!</v>
      </c>
      <c r="AL22" s="127" t="e">
        <f t="shared" si="47"/>
        <v>#DIV/0!</v>
      </c>
      <c r="AM22" s="127"/>
      <c r="AN22" s="129" t="e">
        <f>VLOOKUP($B22,'input gas_ethane'!$B$3:$Y$68,24,FALSE)*1000/'input vfa'!AC22</f>
        <v>#N/A</v>
      </c>
      <c r="AO22" s="129" t="e">
        <f>VLOOKUP($B22,'input gas_ethane'!$B$3:$Y$68,22,FALSE)*1000/'input vfa'!AC22</f>
        <v>#N/A</v>
      </c>
      <c r="AP22" s="129" t="e">
        <f t="shared" si="19"/>
        <v>#DIV/0!</v>
      </c>
      <c r="AQ22" s="129" t="e">
        <f t="shared" si="20"/>
        <v>#DIV/0!</v>
      </c>
      <c r="AR22" s="129">
        <f t="shared" si="21"/>
        <v>0</v>
      </c>
      <c r="AS22" s="129">
        <f t="shared" si="22"/>
        <v>0</v>
      </c>
      <c r="AT22" s="129" t="e">
        <f t="shared" si="23"/>
        <v>#DIV/0!</v>
      </c>
      <c r="AU22" s="127">
        <f>SUM(preparation_sheet_flasks!M22:P22)</f>
        <v>0</v>
      </c>
    </row>
    <row r="23" spans="1:47" ht="14.25" customHeight="1">
      <c r="A23" s="127">
        <f>technical_sheet_vfa!B24</f>
        <v>0</v>
      </c>
      <c r="B23" s="107">
        <f>technical_sheet_vfa!C24</f>
        <v>0</v>
      </c>
      <c r="C23" s="128"/>
      <c r="D23" s="128"/>
      <c r="E23" s="128"/>
      <c r="F23" s="128"/>
      <c r="G23" s="128"/>
      <c r="H23" s="128"/>
      <c r="I23" s="128"/>
      <c r="J23" s="128"/>
      <c r="K23" s="128">
        <v>25</v>
      </c>
      <c r="L23" s="128"/>
      <c r="M23" s="158">
        <f t="shared" si="32"/>
        <v>0</v>
      </c>
      <c r="N23" s="158">
        <f t="shared" si="33"/>
        <v>0</v>
      </c>
      <c r="O23" s="158">
        <f t="shared" si="34"/>
        <v>0</v>
      </c>
      <c r="P23" s="158">
        <f t="shared" si="35"/>
        <v>0</v>
      </c>
      <c r="Q23" s="158">
        <f t="shared" si="36"/>
        <v>0</v>
      </c>
      <c r="R23" s="158">
        <f t="shared" si="37"/>
        <v>0</v>
      </c>
      <c r="S23" s="158">
        <f t="shared" si="38"/>
        <v>0</v>
      </c>
      <c r="T23" s="158">
        <f t="shared" si="39"/>
        <v>0</v>
      </c>
      <c r="U23" s="128"/>
      <c r="V23" s="172">
        <f t="shared" si="24"/>
        <v>0</v>
      </c>
      <c r="W23" s="172">
        <f t="shared" si="25"/>
        <v>0</v>
      </c>
      <c r="X23" s="172">
        <f t="shared" si="26"/>
        <v>0</v>
      </c>
      <c r="Y23" s="172">
        <f t="shared" si="27"/>
        <v>0</v>
      </c>
      <c r="Z23" s="172">
        <f t="shared" si="28"/>
        <v>0</v>
      </c>
      <c r="AA23" s="172">
        <f t="shared" si="29"/>
        <v>0</v>
      </c>
      <c r="AB23" s="172">
        <f t="shared" si="30"/>
        <v>0</v>
      </c>
      <c r="AC23" s="172">
        <f t="shared" si="31"/>
        <v>0</v>
      </c>
      <c r="AD23" s="112"/>
      <c r="AE23" s="112" t="e">
        <f t="shared" si="40"/>
        <v>#DIV/0!</v>
      </c>
      <c r="AF23" s="112" t="e">
        <f t="shared" si="41"/>
        <v>#DIV/0!</v>
      </c>
      <c r="AG23" s="112" t="e">
        <f t="shared" si="42"/>
        <v>#DIV/0!</v>
      </c>
      <c r="AH23" s="112" t="e">
        <f t="shared" si="43"/>
        <v>#DIV/0!</v>
      </c>
      <c r="AI23" s="112" t="e">
        <f t="shared" si="44"/>
        <v>#DIV/0!</v>
      </c>
      <c r="AJ23" s="112" t="e">
        <f t="shared" si="45"/>
        <v>#DIV/0!</v>
      </c>
      <c r="AK23" s="112" t="e">
        <f t="shared" si="46"/>
        <v>#DIV/0!</v>
      </c>
      <c r="AL23" s="112" t="e">
        <f t="shared" si="47"/>
        <v>#DIV/0!</v>
      </c>
      <c r="AM23" s="112"/>
      <c r="AN23" s="129" t="e">
        <f>VLOOKUP($B23,'input gas_ethane'!$B$3:$Y$68,24,FALSE)*1000/'input vfa'!AC23</f>
        <v>#N/A</v>
      </c>
      <c r="AO23" s="129" t="e">
        <f>VLOOKUP($B23,'input gas_ethane'!$B$3:$Y$68,22,FALSE)*1000/'input vfa'!AC23</f>
        <v>#N/A</v>
      </c>
      <c r="AP23" s="129" t="e">
        <f t="shared" si="19"/>
        <v>#DIV/0!</v>
      </c>
      <c r="AQ23" s="129" t="e">
        <f t="shared" si="20"/>
        <v>#DIV/0!</v>
      </c>
      <c r="AR23" s="129">
        <f t="shared" si="21"/>
        <v>0</v>
      </c>
      <c r="AS23" s="129">
        <f t="shared" si="22"/>
        <v>0</v>
      </c>
      <c r="AT23" s="129" t="e">
        <f t="shared" si="23"/>
        <v>#DIV/0!</v>
      </c>
      <c r="AU23" s="127">
        <f>SUM(preparation_sheet_flasks!M23:P23)</f>
        <v>0</v>
      </c>
    </row>
    <row r="24" spans="1:47" ht="14.25" customHeight="1">
      <c r="A24" s="127">
        <f>technical_sheet_vfa!B25</f>
        <v>0</v>
      </c>
      <c r="B24" s="107">
        <f>technical_sheet_vfa!C25</f>
        <v>0</v>
      </c>
      <c r="C24" s="128"/>
      <c r="D24" s="128"/>
      <c r="E24" s="128"/>
      <c r="F24" s="128"/>
      <c r="G24" s="128"/>
      <c r="H24" s="128"/>
      <c r="I24" s="128"/>
      <c r="J24" s="128"/>
      <c r="K24" s="128">
        <v>25</v>
      </c>
      <c r="L24" s="128"/>
      <c r="M24" s="158">
        <f t="shared" si="32"/>
        <v>0</v>
      </c>
      <c r="N24" s="158">
        <f t="shared" si="33"/>
        <v>0</v>
      </c>
      <c r="O24" s="158">
        <f t="shared" si="34"/>
        <v>0</v>
      </c>
      <c r="P24" s="158">
        <f t="shared" si="35"/>
        <v>0</v>
      </c>
      <c r="Q24" s="158">
        <f t="shared" si="36"/>
        <v>0</v>
      </c>
      <c r="R24" s="158">
        <f t="shared" si="37"/>
        <v>0</v>
      </c>
      <c r="S24" s="158">
        <f t="shared" si="38"/>
        <v>0</v>
      </c>
      <c r="T24" s="158">
        <f t="shared" si="39"/>
        <v>0</v>
      </c>
      <c r="U24" s="128"/>
      <c r="V24" s="172">
        <f t="shared" si="24"/>
        <v>0</v>
      </c>
      <c r="W24" s="172">
        <f t="shared" si="25"/>
        <v>0</v>
      </c>
      <c r="X24" s="172">
        <f t="shared" si="26"/>
        <v>0</v>
      </c>
      <c r="Y24" s="172">
        <f t="shared" si="27"/>
        <v>0</v>
      </c>
      <c r="Z24" s="172">
        <f t="shared" si="28"/>
        <v>0</v>
      </c>
      <c r="AA24" s="172">
        <f t="shared" si="29"/>
        <v>0</v>
      </c>
      <c r="AB24" s="172">
        <f t="shared" si="30"/>
        <v>0</v>
      </c>
      <c r="AC24" s="172">
        <f t="shared" si="31"/>
        <v>0</v>
      </c>
      <c r="AD24" s="112"/>
      <c r="AE24" s="112" t="e">
        <f t="shared" si="40"/>
        <v>#DIV/0!</v>
      </c>
      <c r="AF24" s="112" t="e">
        <f t="shared" si="41"/>
        <v>#DIV/0!</v>
      </c>
      <c r="AG24" s="112" t="e">
        <f t="shared" si="42"/>
        <v>#DIV/0!</v>
      </c>
      <c r="AH24" s="112" t="e">
        <f t="shared" si="43"/>
        <v>#DIV/0!</v>
      </c>
      <c r="AI24" s="112" t="e">
        <f t="shared" si="44"/>
        <v>#DIV/0!</v>
      </c>
      <c r="AJ24" s="112" t="e">
        <f t="shared" si="45"/>
        <v>#DIV/0!</v>
      </c>
      <c r="AK24" s="112" t="e">
        <f t="shared" si="46"/>
        <v>#DIV/0!</v>
      </c>
      <c r="AL24" s="112" t="e">
        <f t="shared" si="47"/>
        <v>#DIV/0!</v>
      </c>
      <c r="AM24" s="112"/>
      <c r="AN24" s="129" t="e">
        <f>VLOOKUP($B24,'input gas_ethane'!$B$3:$Y$68,24,FALSE)*1000/'input vfa'!AC24</f>
        <v>#N/A</v>
      </c>
      <c r="AO24" s="129" t="e">
        <f>VLOOKUP($B24,'input gas_ethane'!$B$3:$Y$68,22,FALSE)*1000/'input vfa'!AC24</f>
        <v>#N/A</v>
      </c>
      <c r="AP24" s="129" t="e">
        <f t="shared" ref="AP24:AP76" si="49">(2*$AF24+2*$AH24+4*$AN24)/(2*$AE24+$AF24+4*$AH24)</f>
        <v>#DIV/0!</v>
      </c>
      <c r="AQ24" s="129" t="e">
        <f t="shared" ref="AQ24:AQ31" si="50">(2*$AF24+2*$AH24+4*$AN24+AO24)/(2*$AE24+$AF24+4*$AH24)</f>
        <v>#DIV/0!</v>
      </c>
      <c r="AR24" s="129">
        <f t="shared" ref="AR24:AR31" si="51">V24/2+W24/2+Y24</f>
        <v>0</v>
      </c>
      <c r="AS24" s="129">
        <f t="shared" ref="AS24:AS31" si="52">AR24*162/1000</f>
        <v>0</v>
      </c>
      <c r="AT24" s="129" t="e">
        <f t="shared" ref="AT24:AT31" si="53">AS24/AU24*100</f>
        <v>#DIV/0!</v>
      </c>
      <c r="AU24" s="127">
        <f>SUM(preparation_sheet_flasks!M24:P24)</f>
        <v>0</v>
      </c>
    </row>
    <row r="25" spans="1:47" ht="14.25" customHeight="1">
      <c r="A25" s="127">
        <f>technical_sheet_vfa!B26</f>
        <v>0</v>
      </c>
      <c r="B25" s="107">
        <f>technical_sheet_vfa!C26</f>
        <v>0</v>
      </c>
      <c r="C25" s="128"/>
      <c r="D25" s="128"/>
      <c r="E25" s="128"/>
      <c r="F25" s="128"/>
      <c r="G25" s="128"/>
      <c r="H25" s="128"/>
      <c r="I25" s="128"/>
      <c r="J25" s="128"/>
      <c r="K25" s="128">
        <v>25</v>
      </c>
      <c r="L25" s="128"/>
      <c r="M25" s="158">
        <f t="shared" si="32"/>
        <v>0</v>
      </c>
      <c r="N25" s="158">
        <f t="shared" si="33"/>
        <v>0</v>
      </c>
      <c r="O25" s="158">
        <f t="shared" si="34"/>
        <v>0</v>
      </c>
      <c r="P25" s="158">
        <f t="shared" si="35"/>
        <v>0</v>
      </c>
      <c r="Q25" s="158">
        <f t="shared" si="36"/>
        <v>0</v>
      </c>
      <c r="R25" s="158">
        <f t="shared" si="37"/>
        <v>0</v>
      </c>
      <c r="S25" s="158">
        <f t="shared" si="38"/>
        <v>0</v>
      </c>
      <c r="T25" s="158">
        <f t="shared" si="39"/>
        <v>0</v>
      </c>
      <c r="U25" s="128"/>
      <c r="V25" s="172">
        <f t="shared" si="24"/>
        <v>0</v>
      </c>
      <c r="W25" s="172">
        <f t="shared" si="25"/>
        <v>0</v>
      </c>
      <c r="X25" s="172">
        <f t="shared" si="26"/>
        <v>0</v>
      </c>
      <c r="Y25" s="172">
        <f t="shared" si="27"/>
        <v>0</v>
      </c>
      <c r="Z25" s="172">
        <f t="shared" si="28"/>
        <v>0</v>
      </c>
      <c r="AA25" s="172">
        <f t="shared" si="29"/>
        <v>0</v>
      </c>
      <c r="AB25" s="172">
        <f t="shared" si="30"/>
        <v>0</v>
      </c>
      <c r="AC25" s="172">
        <f t="shared" si="31"/>
        <v>0</v>
      </c>
      <c r="AD25" s="112"/>
      <c r="AE25" s="112" t="e">
        <f t="shared" si="40"/>
        <v>#DIV/0!</v>
      </c>
      <c r="AF25" s="112" t="e">
        <f t="shared" si="41"/>
        <v>#DIV/0!</v>
      </c>
      <c r="AG25" s="112" t="e">
        <f t="shared" si="42"/>
        <v>#DIV/0!</v>
      </c>
      <c r="AH25" s="112" t="e">
        <f t="shared" si="43"/>
        <v>#DIV/0!</v>
      </c>
      <c r="AI25" s="112" t="e">
        <f t="shared" si="44"/>
        <v>#DIV/0!</v>
      </c>
      <c r="AJ25" s="112" t="e">
        <f t="shared" si="45"/>
        <v>#DIV/0!</v>
      </c>
      <c r="AK25" s="112" t="e">
        <f t="shared" si="46"/>
        <v>#DIV/0!</v>
      </c>
      <c r="AL25" s="112" t="e">
        <f t="shared" si="47"/>
        <v>#DIV/0!</v>
      </c>
      <c r="AM25" s="112"/>
      <c r="AN25" s="129" t="e">
        <f>VLOOKUP($B25,'input gas_ethane'!$B$3:$Y$68,24,FALSE)*1000/'input vfa'!AC25</f>
        <v>#N/A</v>
      </c>
      <c r="AO25" s="129" t="e">
        <f>VLOOKUP($B25,'input gas_ethane'!$B$3:$Y$68,22,FALSE)*1000/'input vfa'!AC25</f>
        <v>#N/A</v>
      </c>
      <c r="AP25" s="129" t="e">
        <f t="shared" si="49"/>
        <v>#DIV/0!</v>
      </c>
      <c r="AQ25" s="129" t="e">
        <f t="shared" si="50"/>
        <v>#DIV/0!</v>
      </c>
      <c r="AR25" s="129">
        <f t="shared" si="51"/>
        <v>0</v>
      </c>
      <c r="AS25" s="129">
        <f t="shared" si="52"/>
        <v>0</v>
      </c>
      <c r="AT25" s="129" t="e">
        <f t="shared" si="53"/>
        <v>#DIV/0!</v>
      </c>
      <c r="AU25" s="127">
        <f>SUM(preparation_sheet_flasks!M25:P25)</f>
        <v>0</v>
      </c>
    </row>
    <row r="26" spans="1:47" ht="14.25" customHeight="1">
      <c r="A26" s="127">
        <f>technical_sheet_vfa!B27</f>
        <v>0</v>
      </c>
      <c r="B26" s="107">
        <f>technical_sheet_vfa!C27</f>
        <v>0</v>
      </c>
      <c r="C26" s="128"/>
      <c r="D26" s="128"/>
      <c r="E26" s="128"/>
      <c r="F26" s="128"/>
      <c r="G26" s="128"/>
      <c r="H26" s="128"/>
      <c r="I26" s="128"/>
      <c r="J26" s="128"/>
      <c r="K26" s="128">
        <v>25</v>
      </c>
      <c r="L26" s="128"/>
      <c r="M26" s="158">
        <f t="shared" si="32"/>
        <v>0</v>
      </c>
      <c r="N26" s="158">
        <f t="shared" si="33"/>
        <v>0</v>
      </c>
      <c r="O26" s="158">
        <f t="shared" si="34"/>
        <v>0</v>
      </c>
      <c r="P26" s="158">
        <f t="shared" si="35"/>
        <v>0</v>
      </c>
      <c r="Q26" s="158">
        <f t="shared" si="36"/>
        <v>0</v>
      </c>
      <c r="R26" s="158">
        <f t="shared" si="37"/>
        <v>0</v>
      </c>
      <c r="S26" s="158">
        <f t="shared" si="38"/>
        <v>0</v>
      </c>
      <c r="T26" s="158">
        <f t="shared" si="39"/>
        <v>0</v>
      </c>
      <c r="U26" s="128"/>
      <c r="V26" s="172">
        <f t="shared" si="24"/>
        <v>0</v>
      </c>
      <c r="W26" s="172">
        <f t="shared" si="25"/>
        <v>0</v>
      </c>
      <c r="X26" s="172">
        <f t="shared" si="26"/>
        <v>0</v>
      </c>
      <c r="Y26" s="172">
        <f t="shared" si="27"/>
        <v>0</v>
      </c>
      <c r="Z26" s="172">
        <f t="shared" si="28"/>
        <v>0</v>
      </c>
      <c r="AA26" s="172">
        <f t="shared" si="29"/>
        <v>0</v>
      </c>
      <c r="AB26" s="172">
        <f t="shared" si="30"/>
        <v>0</v>
      </c>
      <c r="AC26" s="172">
        <f t="shared" si="31"/>
        <v>0</v>
      </c>
      <c r="AD26" s="112"/>
      <c r="AE26" s="112" t="e">
        <f t="shared" si="40"/>
        <v>#DIV/0!</v>
      </c>
      <c r="AF26" s="112" t="e">
        <f t="shared" si="41"/>
        <v>#DIV/0!</v>
      </c>
      <c r="AG26" s="112" t="e">
        <f t="shared" si="42"/>
        <v>#DIV/0!</v>
      </c>
      <c r="AH26" s="112" t="e">
        <f t="shared" si="43"/>
        <v>#DIV/0!</v>
      </c>
      <c r="AI26" s="112" t="e">
        <f t="shared" si="44"/>
        <v>#DIV/0!</v>
      </c>
      <c r="AJ26" s="112" t="e">
        <f t="shared" si="45"/>
        <v>#DIV/0!</v>
      </c>
      <c r="AK26" s="112" t="e">
        <f t="shared" si="46"/>
        <v>#DIV/0!</v>
      </c>
      <c r="AL26" s="112" t="e">
        <f t="shared" si="47"/>
        <v>#DIV/0!</v>
      </c>
      <c r="AM26" s="112"/>
      <c r="AN26" s="129" t="e">
        <f>VLOOKUP($B26,'input gas_ethane'!$B$3:$Y$68,24,FALSE)*1000/'input vfa'!AC26</f>
        <v>#N/A</v>
      </c>
      <c r="AO26" s="129" t="e">
        <f>VLOOKUP($B26,'input gas_ethane'!$B$3:$Y$68,22,FALSE)*1000/'input vfa'!AC26</f>
        <v>#N/A</v>
      </c>
      <c r="AP26" s="129" t="e">
        <f t="shared" si="49"/>
        <v>#DIV/0!</v>
      </c>
      <c r="AQ26" s="129" t="e">
        <f t="shared" si="50"/>
        <v>#DIV/0!</v>
      </c>
      <c r="AR26" s="129">
        <f t="shared" si="51"/>
        <v>0</v>
      </c>
      <c r="AS26" s="129">
        <f t="shared" si="52"/>
        <v>0</v>
      </c>
      <c r="AT26" s="129" t="e">
        <f t="shared" si="53"/>
        <v>#DIV/0!</v>
      </c>
      <c r="AU26" s="127">
        <f>SUM(preparation_sheet_flasks!M26:P26)</f>
        <v>0</v>
      </c>
    </row>
    <row r="27" spans="1:47" ht="14.25" customHeight="1">
      <c r="A27" s="127">
        <f>technical_sheet_vfa!B28</f>
        <v>0</v>
      </c>
      <c r="B27" s="107">
        <f>technical_sheet_vfa!C28</f>
        <v>0</v>
      </c>
      <c r="C27" s="128"/>
      <c r="D27" s="128"/>
      <c r="E27" s="128"/>
      <c r="F27" s="128"/>
      <c r="G27" s="128"/>
      <c r="H27" s="128"/>
      <c r="I27" s="128"/>
      <c r="J27" s="128"/>
      <c r="K27" s="128">
        <v>25</v>
      </c>
      <c r="L27" s="128"/>
      <c r="M27" s="158">
        <f t="shared" si="32"/>
        <v>0</v>
      </c>
      <c r="N27" s="158">
        <f t="shared" si="33"/>
        <v>0</v>
      </c>
      <c r="O27" s="158">
        <f t="shared" si="34"/>
        <v>0</v>
      </c>
      <c r="P27" s="158">
        <f t="shared" si="35"/>
        <v>0</v>
      </c>
      <c r="Q27" s="158">
        <f t="shared" si="36"/>
        <v>0</v>
      </c>
      <c r="R27" s="158">
        <f t="shared" si="37"/>
        <v>0</v>
      </c>
      <c r="S27" s="158">
        <f t="shared" si="38"/>
        <v>0</v>
      </c>
      <c r="T27" s="158">
        <f t="shared" si="39"/>
        <v>0</v>
      </c>
      <c r="U27" s="128"/>
      <c r="V27" s="172">
        <f t="shared" si="24"/>
        <v>0</v>
      </c>
      <c r="W27" s="172">
        <f t="shared" si="25"/>
        <v>0</v>
      </c>
      <c r="X27" s="172">
        <f t="shared" si="26"/>
        <v>0</v>
      </c>
      <c r="Y27" s="172">
        <f t="shared" si="27"/>
        <v>0</v>
      </c>
      <c r="Z27" s="172">
        <f t="shared" si="28"/>
        <v>0</v>
      </c>
      <c r="AA27" s="172">
        <f t="shared" si="29"/>
        <v>0</v>
      </c>
      <c r="AB27" s="172">
        <f t="shared" si="30"/>
        <v>0</v>
      </c>
      <c r="AC27" s="172">
        <f t="shared" si="31"/>
        <v>0</v>
      </c>
      <c r="AD27" s="112"/>
      <c r="AE27" s="112" t="e">
        <f t="shared" si="40"/>
        <v>#DIV/0!</v>
      </c>
      <c r="AF27" s="112" t="e">
        <f t="shared" si="41"/>
        <v>#DIV/0!</v>
      </c>
      <c r="AG27" s="112" t="e">
        <f t="shared" si="42"/>
        <v>#DIV/0!</v>
      </c>
      <c r="AH27" s="112" t="e">
        <f t="shared" si="43"/>
        <v>#DIV/0!</v>
      </c>
      <c r="AI27" s="112" t="e">
        <f t="shared" si="44"/>
        <v>#DIV/0!</v>
      </c>
      <c r="AJ27" s="112" t="e">
        <f t="shared" si="45"/>
        <v>#DIV/0!</v>
      </c>
      <c r="AK27" s="112" t="e">
        <f t="shared" si="46"/>
        <v>#DIV/0!</v>
      </c>
      <c r="AL27" s="112" t="e">
        <f t="shared" si="47"/>
        <v>#DIV/0!</v>
      </c>
      <c r="AM27" s="112"/>
      <c r="AN27" s="129" t="e">
        <f>VLOOKUP($B27,'input gas_ethane'!$B$3:$Y$68,24,FALSE)*1000/'input vfa'!AC27</f>
        <v>#N/A</v>
      </c>
      <c r="AO27" s="129" t="e">
        <f>VLOOKUP($B27,'input gas_ethane'!$B$3:$Y$68,22,FALSE)*1000/'input vfa'!AC27</f>
        <v>#N/A</v>
      </c>
      <c r="AP27" s="129" t="e">
        <f t="shared" si="49"/>
        <v>#DIV/0!</v>
      </c>
      <c r="AQ27" s="129" t="e">
        <f t="shared" si="50"/>
        <v>#DIV/0!</v>
      </c>
      <c r="AR27" s="129">
        <f t="shared" si="51"/>
        <v>0</v>
      </c>
      <c r="AS27" s="129">
        <f t="shared" si="52"/>
        <v>0</v>
      </c>
      <c r="AT27" s="129" t="e">
        <f t="shared" si="53"/>
        <v>#DIV/0!</v>
      </c>
      <c r="AU27" s="127">
        <f>SUM(preparation_sheet_flasks!M27:P27)</f>
        <v>0</v>
      </c>
    </row>
    <row r="28" spans="1:47" ht="14.25" customHeight="1">
      <c r="A28" s="127">
        <f>technical_sheet_vfa!B29</f>
        <v>0</v>
      </c>
      <c r="B28" s="107">
        <f>technical_sheet_vfa!C29</f>
        <v>0</v>
      </c>
      <c r="C28" s="128"/>
      <c r="D28" s="128"/>
      <c r="E28" s="128"/>
      <c r="F28" s="128"/>
      <c r="G28" s="128"/>
      <c r="H28" s="128"/>
      <c r="I28" s="128"/>
      <c r="J28" s="128"/>
      <c r="K28" s="128">
        <v>25</v>
      </c>
      <c r="L28" s="128"/>
      <c r="M28" s="158">
        <f t="shared" si="32"/>
        <v>0</v>
      </c>
      <c r="N28" s="158">
        <f t="shared" si="33"/>
        <v>0</v>
      </c>
      <c r="O28" s="158">
        <f t="shared" si="34"/>
        <v>0</v>
      </c>
      <c r="P28" s="158">
        <f t="shared" si="35"/>
        <v>0</v>
      </c>
      <c r="Q28" s="158">
        <f t="shared" si="36"/>
        <v>0</v>
      </c>
      <c r="R28" s="158">
        <f t="shared" si="37"/>
        <v>0</v>
      </c>
      <c r="S28" s="158">
        <f t="shared" si="38"/>
        <v>0</v>
      </c>
      <c r="T28" s="158">
        <f t="shared" si="39"/>
        <v>0</v>
      </c>
      <c r="U28" s="128"/>
      <c r="V28" s="172">
        <f t="shared" si="24"/>
        <v>0</v>
      </c>
      <c r="W28" s="172">
        <f t="shared" si="25"/>
        <v>0</v>
      </c>
      <c r="X28" s="172">
        <f t="shared" si="26"/>
        <v>0</v>
      </c>
      <c r="Y28" s="172">
        <f t="shared" si="27"/>
        <v>0</v>
      </c>
      <c r="Z28" s="172">
        <f t="shared" si="28"/>
        <v>0</v>
      </c>
      <c r="AA28" s="172">
        <f t="shared" si="29"/>
        <v>0</v>
      </c>
      <c r="AB28" s="172">
        <f t="shared" si="30"/>
        <v>0</v>
      </c>
      <c r="AC28" s="172">
        <f t="shared" si="31"/>
        <v>0</v>
      </c>
      <c r="AD28" s="112"/>
      <c r="AE28" s="112" t="e">
        <f t="shared" si="40"/>
        <v>#DIV/0!</v>
      </c>
      <c r="AF28" s="112" t="e">
        <f t="shared" ref="AF28:AL31" si="54">(W28/$AC28)*1000</f>
        <v>#DIV/0!</v>
      </c>
      <c r="AG28" s="112" t="e">
        <f t="shared" si="54"/>
        <v>#DIV/0!</v>
      </c>
      <c r="AH28" s="112" t="e">
        <f t="shared" si="54"/>
        <v>#DIV/0!</v>
      </c>
      <c r="AI28" s="112" t="e">
        <f t="shared" si="54"/>
        <v>#DIV/0!</v>
      </c>
      <c r="AJ28" s="112" t="e">
        <f t="shared" si="54"/>
        <v>#DIV/0!</v>
      </c>
      <c r="AK28" s="112" t="e">
        <f t="shared" si="54"/>
        <v>#DIV/0!</v>
      </c>
      <c r="AL28" s="112" t="e">
        <f t="shared" si="54"/>
        <v>#DIV/0!</v>
      </c>
      <c r="AM28" s="112"/>
      <c r="AN28" s="129" t="e">
        <f>VLOOKUP($B28,'input gas_ethane'!$B$3:$Y$68,24,FALSE)*1000/'input vfa'!AC28</f>
        <v>#N/A</v>
      </c>
      <c r="AO28" s="129" t="e">
        <f>VLOOKUP($B28,'input gas_ethane'!$B$3:$Y$68,22,FALSE)*1000/'input vfa'!AC28</f>
        <v>#N/A</v>
      </c>
      <c r="AP28" s="129" t="e">
        <f t="shared" si="49"/>
        <v>#DIV/0!</v>
      </c>
      <c r="AQ28" s="129" t="e">
        <f t="shared" si="50"/>
        <v>#DIV/0!</v>
      </c>
      <c r="AR28" s="129">
        <f t="shared" si="51"/>
        <v>0</v>
      </c>
      <c r="AS28" s="129">
        <f t="shared" si="52"/>
        <v>0</v>
      </c>
      <c r="AT28" s="129" t="e">
        <f t="shared" si="53"/>
        <v>#DIV/0!</v>
      </c>
      <c r="AU28" s="127">
        <f>SUM(preparation_sheet_flasks!M28:P28)</f>
        <v>0</v>
      </c>
    </row>
    <row r="29" spans="1:47" ht="14.25" customHeight="1">
      <c r="A29" s="127">
        <f>technical_sheet_vfa!B30</f>
        <v>0</v>
      </c>
      <c r="B29" s="107">
        <f>technical_sheet_vfa!C30</f>
        <v>0</v>
      </c>
      <c r="C29" s="128"/>
      <c r="D29" s="128"/>
      <c r="E29" s="128"/>
      <c r="F29" s="128"/>
      <c r="G29" s="128"/>
      <c r="H29" s="128"/>
      <c r="I29" s="128"/>
      <c r="J29" s="128"/>
      <c r="K29" s="128">
        <v>25</v>
      </c>
      <c r="L29" s="128"/>
      <c r="M29" s="158">
        <f t="shared" si="32"/>
        <v>0</v>
      </c>
      <c r="N29" s="158">
        <f t="shared" si="33"/>
        <v>0</v>
      </c>
      <c r="O29" s="158">
        <f t="shared" si="34"/>
        <v>0</v>
      </c>
      <c r="P29" s="158">
        <f t="shared" si="35"/>
        <v>0</v>
      </c>
      <c r="Q29" s="158">
        <f t="shared" si="36"/>
        <v>0</v>
      </c>
      <c r="R29" s="158">
        <f t="shared" si="37"/>
        <v>0</v>
      </c>
      <c r="S29" s="158">
        <f t="shared" si="38"/>
        <v>0</v>
      </c>
      <c r="T29" s="158">
        <f t="shared" si="39"/>
        <v>0</v>
      </c>
      <c r="U29" s="128"/>
      <c r="V29" s="172">
        <f t="shared" si="24"/>
        <v>0</v>
      </c>
      <c r="W29" s="172">
        <f t="shared" si="25"/>
        <v>0</v>
      </c>
      <c r="X29" s="172">
        <f t="shared" si="26"/>
        <v>0</v>
      </c>
      <c r="Y29" s="172">
        <f t="shared" si="27"/>
        <v>0</v>
      </c>
      <c r="Z29" s="172">
        <f t="shared" si="28"/>
        <v>0</v>
      </c>
      <c r="AA29" s="172">
        <f t="shared" si="29"/>
        <v>0</v>
      </c>
      <c r="AB29" s="172">
        <f t="shared" si="30"/>
        <v>0</v>
      </c>
      <c r="AC29" s="172">
        <f t="shared" si="31"/>
        <v>0</v>
      </c>
      <c r="AD29" s="112"/>
      <c r="AE29" s="112" t="e">
        <f t="shared" si="40"/>
        <v>#DIV/0!</v>
      </c>
      <c r="AF29" s="112" t="e">
        <f t="shared" si="54"/>
        <v>#DIV/0!</v>
      </c>
      <c r="AG29" s="112" t="e">
        <f t="shared" si="54"/>
        <v>#DIV/0!</v>
      </c>
      <c r="AH29" s="112" t="e">
        <f t="shared" si="54"/>
        <v>#DIV/0!</v>
      </c>
      <c r="AI29" s="112" t="e">
        <f t="shared" si="54"/>
        <v>#DIV/0!</v>
      </c>
      <c r="AJ29" s="112" t="e">
        <f t="shared" si="54"/>
        <v>#DIV/0!</v>
      </c>
      <c r="AK29" s="112" t="e">
        <f t="shared" si="54"/>
        <v>#DIV/0!</v>
      </c>
      <c r="AL29" s="112" t="e">
        <f t="shared" si="54"/>
        <v>#DIV/0!</v>
      </c>
      <c r="AM29" s="112"/>
      <c r="AN29" s="129" t="e">
        <f>VLOOKUP($B29,'input gas_ethane'!$B$3:$Y$68,24,FALSE)*1000/'input vfa'!AC29</f>
        <v>#N/A</v>
      </c>
      <c r="AO29" s="129" t="e">
        <f>VLOOKUP($B29,'input gas_ethane'!$B$3:$Y$68,22,FALSE)*1000/'input vfa'!AC29</f>
        <v>#N/A</v>
      </c>
      <c r="AP29" s="129" t="e">
        <f t="shared" si="49"/>
        <v>#DIV/0!</v>
      </c>
      <c r="AQ29" s="129" t="e">
        <f t="shared" si="50"/>
        <v>#DIV/0!</v>
      </c>
      <c r="AR29" s="129">
        <f t="shared" si="51"/>
        <v>0</v>
      </c>
      <c r="AS29" s="129">
        <f t="shared" si="52"/>
        <v>0</v>
      </c>
      <c r="AT29" s="129" t="e">
        <f t="shared" si="53"/>
        <v>#DIV/0!</v>
      </c>
      <c r="AU29" s="127">
        <f>SUM(preparation_sheet_flasks!M29:P29)</f>
        <v>0</v>
      </c>
    </row>
    <row r="30" spans="1:47" ht="14.25" customHeight="1">
      <c r="A30" s="127">
        <f>technical_sheet_vfa!B31</f>
        <v>0</v>
      </c>
      <c r="B30" s="107">
        <f>technical_sheet_vfa!C31</f>
        <v>0</v>
      </c>
      <c r="C30" s="128"/>
      <c r="D30" s="128"/>
      <c r="E30" s="128"/>
      <c r="F30" s="128"/>
      <c r="G30" s="128"/>
      <c r="H30" s="128"/>
      <c r="I30" s="128"/>
      <c r="J30" s="128"/>
      <c r="K30" s="128">
        <v>25</v>
      </c>
      <c r="L30" s="128"/>
      <c r="M30" s="158">
        <f t="shared" si="32"/>
        <v>0</v>
      </c>
      <c r="N30" s="158">
        <f t="shared" si="33"/>
        <v>0</v>
      </c>
      <c r="O30" s="158">
        <f t="shared" si="34"/>
        <v>0</v>
      </c>
      <c r="P30" s="158">
        <f t="shared" si="35"/>
        <v>0</v>
      </c>
      <c r="Q30" s="158">
        <f t="shared" si="36"/>
        <v>0</v>
      </c>
      <c r="R30" s="158">
        <f t="shared" si="37"/>
        <v>0</v>
      </c>
      <c r="S30" s="158">
        <f t="shared" si="38"/>
        <v>0</v>
      </c>
      <c r="T30" s="158">
        <f t="shared" si="39"/>
        <v>0</v>
      </c>
      <c r="U30" s="128"/>
      <c r="V30" s="172">
        <f t="shared" si="24"/>
        <v>0</v>
      </c>
      <c r="W30" s="172">
        <f t="shared" si="25"/>
        <v>0</v>
      </c>
      <c r="X30" s="172">
        <f t="shared" si="26"/>
        <v>0</v>
      </c>
      <c r="Y30" s="172">
        <f t="shared" si="27"/>
        <v>0</v>
      </c>
      <c r="Z30" s="172">
        <f t="shared" si="28"/>
        <v>0</v>
      </c>
      <c r="AA30" s="172">
        <f t="shared" si="29"/>
        <v>0</v>
      </c>
      <c r="AB30" s="172">
        <f t="shared" si="30"/>
        <v>0</v>
      </c>
      <c r="AC30" s="172">
        <f t="shared" si="31"/>
        <v>0</v>
      </c>
      <c r="AD30" s="112"/>
      <c r="AE30" s="112" t="e">
        <f t="shared" si="40"/>
        <v>#DIV/0!</v>
      </c>
      <c r="AF30" s="112" t="e">
        <f t="shared" si="54"/>
        <v>#DIV/0!</v>
      </c>
      <c r="AG30" s="112" t="e">
        <f t="shared" si="54"/>
        <v>#DIV/0!</v>
      </c>
      <c r="AH30" s="112" t="e">
        <f t="shared" si="54"/>
        <v>#DIV/0!</v>
      </c>
      <c r="AI30" s="112" t="e">
        <f t="shared" si="54"/>
        <v>#DIV/0!</v>
      </c>
      <c r="AJ30" s="112" t="e">
        <f t="shared" si="54"/>
        <v>#DIV/0!</v>
      </c>
      <c r="AK30" s="112" t="e">
        <f t="shared" si="54"/>
        <v>#DIV/0!</v>
      </c>
      <c r="AL30" s="112" t="e">
        <f t="shared" si="54"/>
        <v>#DIV/0!</v>
      </c>
      <c r="AM30" s="112"/>
      <c r="AN30" s="129" t="e">
        <f>VLOOKUP($B30,'input gas_ethane'!$B$3:$Y$68,24,FALSE)*1000/'input vfa'!AC30</f>
        <v>#N/A</v>
      </c>
      <c r="AO30" s="129" t="e">
        <f>VLOOKUP($B30,'input gas_ethane'!$B$3:$Y$68,22,FALSE)*1000/'input vfa'!AC30</f>
        <v>#N/A</v>
      </c>
      <c r="AP30" s="129" t="e">
        <f t="shared" si="49"/>
        <v>#DIV/0!</v>
      </c>
      <c r="AQ30" s="129" t="e">
        <f t="shared" si="50"/>
        <v>#DIV/0!</v>
      </c>
      <c r="AR30" s="129">
        <f t="shared" si="51"/>
        <v>0</v>
      </c>
      <c r="AS30" s="129">
        <f t="shared" si="52"/>
        <v>0</v>
      </c>
      <c r="AT30" s="129" t="e">
        <f t="shared" si="53"/>
        <v>#DIV/0!</v>
      </c>
      <c r="AU30" s="127">
        <f>SUM(preparation_sheet_flasks!M30:P30)</f>
        <v>0</v>
      </c>
    </row>
    <row r="31" spans="1:47" ht="14.25" customHeight="1">
      <c r="A31" s="127">
        <f>technical_sheet_vfa!B32</f>
        <v>0</v>
      </c>
      <c r="B31" s="107">
        <f>technical_sheet_vfa!C32</f>
        <v>0</v>
      </c>
      <c r="C31" s="128"/>
      <c r="D31" s="128"/>
      <c r="E31" s="128"/>
      <c r="F31" s="128"/>
      <c r="G31" s="128"/>
      <c r="H31" s="128"/>
      <c r="I31" s="128"/>
      <c r="J31" s="128"/>
      <c r="K31" s="128">
        <v>25</v>
      </c>
      <c r="L31" s="128"/>
      <c r="M31" s="158">
        <f t="shared" ref="M31:R31" si="55">C31*$K31</f>
        <v>0</v>
      </c>
      <c r="N31" s="158">
        <f t="shared" si="55"/>
        <v>0</v>
      </c>
      <c r="O31" s="158">
        <f t="shared" si="55"/>
        <v>0</v>
      </c>
      <c r="P31" s="158">
        <f t="shared" si="55"/>
        <v>0</v>
      </c>
      <c r="Q31" s="158">
        <f t="shared" si="55"/>
        <v>0</v>
      </c>
      <c r="R31" s="158">
        <f t="shared" si="55"/>
        <v>0</v>
      </c>
      <c r="S31" s="158">
        <f>J31*$K31</f>
        <v>0</v>
      </c>
      <c r="T31" s="158">
        <f>SUM(M31:S31)</f>
        <v>0</v>
      </c>
      <c r="U31" s="128"/>
      <c r="V31" s="172">
        <f t="shared" si="24"/>
        <v>0</v>
      </c>
      <c r="W31" s="172">
        <f t="shared" si="25"/>
        <v>0</v>
      </c>
      <c r="X31" s="172">
        <f t="shared" si="26"/>
        <v>0</v>
      </c>
      <c r="Y31" s="172">
        <f t="shared" si="27"/>
        <v>0</v>
      </c>
      <c r="Z31" s="172">
        <f t="shared" si="28"/>
        <v>0</v>
      </c>
      <c r="AA31" s="172">
        <f t="shared" si="29"/>
        <v>0</v>
      </c>
      <c r="AB31" s="172">
        <f t="shared" si="30"/>
        <v>0</v>
      </c>
      <c r="AC31" s="172">
        <f t="shared" si="31"/>
        <v>0</v>
      </c>
      <c r="AD31" s="112"/>
      <c r="AE31" s="112" t="e">
        <f t="shared" si="40"/>
        <v>#DIV/0!</v>
      </c>
      <c r="AF31" s="112" t="e">
        <f t="shared" si="54"/>
        <v>#DIV/0!</v>
      </c>
      <c r="AG31" s="112" t="e">
        <f t="shared" si="54"/>
        <v>#DIV/0!</v>
      </c>
      <c r="AH31" s="112" t="e">
        <f t="shared" si="54"/>
        <v>#DIV/0!</v>
      </c>
      <c r="AI31" s="112" t="e">
        <f t="shared" si="54"/>
        <v>#DIV/0!</v>
      </c>
      <c r="AJ31" s="112" t="e">
        <f t="shared" si="54"/>
        <v>#DIV/0!</v>
      </c>
      <c r="AK31" s="112" t="e">
        <f t="shared" si="54"/>
        <v>#DIV/0!</v>
      </c>
      <c r="AL31" s="112" t="e">
        <f t="shared" si="54"/>
        <v>#DIV/0!</v>
      </c>
      <c r="AM31" s="112"/>
      <c r="AN31" s="129" t="e">
        <f>VLOOKUP($B31,'input gas_ethane'!$B$3:$Y$68,24,FALSE)*1000/'input vfa'!AC31</f>
        <v>#N/A</v>
      </c>
      <c r="AO31" s="129" t="e">
        <f>VLOOKUP($B31,'input gas_ethane'!$B$3:$Y$68,22,FALSE)*1000/'input vfa'!AC31</f>
        <v>#N/A</v>
      </c>
      <c r="AP31" s="129" t="e">
        <f t="shared" si="49"/>
        <v>#DIV/0!</v>
      </c>
      <c r="AQ31" s="129" t="e">
        <f t="shared" si="50"/>
        <v>#DIV/0!</v>
      </c>
      <c r="AR31" s="129">
        <f t="shared" si="51"/>
        <v>0</v>
      </c>
      <c r="AS31" s="129">
        <f t="shared" si="52"/>
        <v>0</v>
      </c>
      <c r="AT31" s="129" t="e">
        <f t="shared" si="53"/>
        <v>#DIV/0!</v>
      </c>
      <c r="AU31" s="127">
        <f>SUM(preparation_sheet_flasks!M31:P31)</f>
        <v>0</v>
      </c>
    </row>
    <row r="32" spans="1:47" ht="14.25" customHeight="1">
      <c r="A32" s="127">
        <f>technical_sheet_vfa!B33</f>
        <v>0</v>
      </c>
      <c r="B32" s="107">
        <f>technical_sheet_vfa!C33</f>
        <v>0</v>
      </c>
      <c r="C32" s="128"/>
      <c r="D32" s="128"/>
      <c r="E32" s="128"/>
      <c r="F32" s="128"/>
      <c r="G32" s="128"/>
      <c r="H32" s="128"/>
      <c r="I32" s="128"/>
      <c r="J32" s="128"/>
      <c r="K32" s="128">
        <v>25</v>
      </c>
      <c r="L32" s="128"/>
      <c r="M32" s="158">
        <f t="shared" ref="M32:M76" si="56">C32*$K32</f>
        <v>0</v>
      </c>
      <c r="N32" s="158">
        <f t="shared" ref="N32:N76" si="57">D32*$K32</f>
        <v>0</v>
      </c>
      <c r="O32" s="158">
        <f t="shared" ref="O32:O76" si="58">E32*$K32</f>
        <v>0</v>
      </c>
      <c r="P32" s="158">
        <f t="shared" ref="P32:P76" si="59">F32*$K32</f>
        <v>0</v>
      </c>
      <c r="Q32" s="158">
        <f t="shared" ref="Q32:Q76" si="60">G32*$K32</f>
        <v>0</v>
      </c>
      <c r="R32" s="158">
        <f t="shared" ref="R32:R76" si="61">H32*$K32</f>
        <v>0</v>
      </c>
      <c r="S32" s="158">
        <f t="shared" ref="S32:S76" si="62">J32*$K32</f>
        <v>0</v>
      </c>
      <c r="T32" s="158">
        <f t="shared" ref="T32:T76" si="63">SUM(M32:S32)</f>
        <v>0</v>
      </c>
      <c r="U32" s="128"/>
      <c r="V32" s="172">
        <f t="shared" ref="V32:V76" si="64">M32-AVERAGE(M$2:M$4)</f>
        <v>0</v>
      </c>
      <c r="W32" s="172">
        <f t="shared" ref="W32:W76" si="65">N32-AVERAGE(N$2:N$4)</f>
        <v>0</v>
      </c>
      <c r="X32" s="172">
        <f t="shared" ref="X32:X76" si="66">O32-AVERAGE(O$2:O$4)</f>
        <v>0</v>
      </c>
      <c r="Y32" s="172">
        <f t="shared" ref="Y32:Y76" si="67">P32-AVERAGE(P$2:P$4)</f>
        <v>0</v>
      </c>
      <c r="Z32" s="172">
        <f t="shared" ref="Z32:Z76" si="68">Q32-AVERAGE(Q$2:Q$4)</f>
        <v>0</v>
      </c>
      <c r="AA32" s="172">
        <f t="shared" ref="AA32:AA76" si="69">R32-AVERAGE(R$2:R$4)</f>
        <v>0</v>
      </c>
      <c r="AB32" s="172">
        <f t="shared" ref="AB32:AB76" si="70">S32-AVERAGE(S$2:S$4)</f>
        <v>0</v>
      </c>
      <c r="AC32" s="172">
        <f t="shared" ref="AC32:AC76" si="71">T32-AVERAGE(T$2:T$4)</f>
        <v>0</v>
      </c>
      <c r="AD32" s="112"/>
      <c r="AE32" s="112" t="e">
        <f t="shared" ref="AE32:AE76" si="72">(V32/$AC32)*1000</f>
        <v>#DIV/0!</v>
      </c>
      <c r="AF32" s="112" t="e">
        <f t="shared" ref="AF32:AF76" si="73">(W32/$AC32)*1000</f>
        <v>#DIV/0!</v>
      </c>
      <c r="AG32" s="112" t="e">
        <f t="shared" ref="AG32:AG76" si="74">(X32/$AC32)*1000</f>
        <v>#DIV/0!</v>
      </c>
      <c r="AH32" s="112" t="e">
        <f t="shared" ref="AH32:AH76" si="75">(Y32/$AC32)*1000</f>
        <v>#DIV/0!</v>
      </c>
      <c r="AI32" s="112" t="e">
        <f t="shared" ref="AI32:AI76" si="76">(Z32/$AC32)*1000</f>
        <v>#DIV/0!</v>
      </c>
      <c r="AJ32" s="112" t="e">
        <f t="shared" ref="AJ32:AJ76" si="77">(AA32/$AC32)*1000</f>
        <v>#DIV/0!</v>
      </c>
      <c r="AK32" s="112" t="e">
        <f t="shared" ref="AK32:AK76" si="78">(AB32/$AC32)*1000</f>
        <v>#DIV/0!</v>
      </c>
      <c r="AL32" s="112" t="e">
        <f t="shared" ref="AL32:AL76" si="79">(AC32/$AC32)*1000</f>
        <v>#DIV/0!</v>
      </c>
      <c r="AM32" s="112"/>
      <c r="AN32" s="129" t="e">
        <f>VLOOKUP($B32,'input gas_ethane'!$B$3:$Y$68,24,FALSE)*1000/'input vfa'!AC32</f>
        <v>#N/A</v>
      </c>
      <c r="AO32" s="129" t="e">
        <f>VLOOKUP($B32,'input gas_ethane'!$B$3:$Y$68,22,FALSE)*1000/'input vfa'!AC32</f>
        <v>#N/A</v>
      </c>
      <c r="AP32" s="129" t="e">
        <f t="shared" si="49"/>
        <v>#DIV/0!</v>
      </c>
      <c r="AQ32" s="129" t="e">
        <f t="shared" ref="AQ32:AQ76" si="80">(2*$AF32+2*$AH32+4*$AN32+AO32)/(2*$AE32+$AF32+4*$AH32)</f>
        <v>#DIV/0!</v>
      </c>
      <c r="AR32" s="129">
        <f t="shared" ref="AR32:AR76" si="81">V32/2+W32/2+Y32</f>
        <v>0</v>
      </c>
      <c r="AS32" s="129">
        <f t="shared" ref="AS32:AS76" si="82">AR32*162/1000</f>
        <v>0</v>
      </c>
      <c r="AT32" s="129" t="e">
        <f t="shared" ref="AT32:AT76" si="83">AS32/AU32*100</f>
        <v>#DIV/0!</v>
      </c>
      <c r="AU32" s="127">
        <f>SUM(preparation_sheet_flasks!M32:P32)</f>
        <v>0</v>
      </c>
    </row>
    <row r="33" spans="1:47" ht="14.25" customHeight="1">
      <c r="A33" s="127">
        <f>technical_sheet_vfa!B34</f>
        <v>0</v>
      </c>
      <c r="B33" s="107">
        <f>technical_sheet_vfa!C34</f>
        <v>0</v>
      </c>
      <c r="C33" s="128"/>
      <c r="D33" s="128"/>
      <c r="E33" s="128"/>
      <c r="F33" s="128"/>
      <c r="G33" s="128"/>
      <c r="H33" s="128"/>
      <c r="I33" s="128"/>
      <c r="J33" s="128"/>
      <c r="K33" s="128">
        <v>25</v>
      </c>
      <c r="L33" s="128"/>
      <c r="M33" s="158">
        <f t="shared" si="56"/>
        <v>0</v>
      </c>
      <c r="N33" s="158">
        <f t="shared" si="57"/>
        <v>0</v>
      </c>
      <c r="O33" s="158">
        <f t="shared" si="58"/>
        <v>0</v>
      </c>
      <c r="P33" s="158">
        <f t="shared" si="59"/>
        <v>0</v>
      </c>
      <c r="Q33" s="158">
        <f t="shared" si="60"/>
        <v>0</v>
      </c>
      <c r="R33" s="158">
        <f t="shared" si="61"/>
        <v>0</v>
      </c>
      <c r="S33" s="158">
        <f t="shared" si="62"/>
        <v>0</v>
      </c>
      <c r="T33" s="158">
        <f t="shared" si="63"/>
        <v>0</v>
      </c>
      <c r="U33" s="128"/>
      <c r="V33" s="172">
        <f t="shared" si="64"/>
        <v>0</v>
      </c>
      <c r="W33" s="172">
        <f t="shared" si="65"/>
        <v>0</v>
      </c>
      <c r="X33" s="172">
        <f t="shared" si="66"/>
        <v>0</v>
      </c>
      <c r="Y33" s="172">
        <f t="shared" si="67"/>
        <v>0</v>
      </c>
      <c r="Z33" s="172">
        <f t="shared" si="68"/>
        <v>0</v>
      </c>
      <c r="AA33" s="172">
        <f t="shared" si="69"/>
        <v>0</v>
      </c>
      <c r="AB33" s="172">
        <f t="shared" si="70"/>
        <v>0</v>
      </c>
      <c r="AC33" s="172">
        <f t="shared" si="71"/>
        <v>0</v>
      </c>
      <c r="AD33" s="112"/>
      <c r="AE33" s="112" t="e">
        <f t="shared" si="72"/>
        <v>#DIV/0!</v>
      </c>
      <c r="AF33" s="112" t="e">
        <f t="shared" si="73"/>
        <v>#DIV/0!</v>
      </c>
      <c r="AG33" s="112" t="e">
        <f t="shared" si="74"/>
        <v>#DIV/0!</v>
      </c>
      <c r="AH33" s="112" t="e">
        <f t="shared" si="75"/>
        <v>#DIV/0!</v>
      </c>
      <c r="AI33" s="112" t="e">
        <f t="shared" si="76"/>
        <v>#DIV/0!</v>
      </c>
      <c r="AJ33" s="112" t="e">
        <f t="shared" si="77"/>
        <v>#DIV/0!</v>
      </c>
      <c r="AK33" s="112" t="e">
        <f t="shared" si="78"/>
        <v>#DIV/0!</v>
      </c>
      <c r="AL33" s="112" t="e">
        <f t="shared" si="79"/>
        <v>#DIV/0!</v>
      </c>
      <c r="AM33" s="112"/>
      <c r="AN33" s="129" t="e">
        <f>VLOOKUP($B33,'input gas_ethane'!$B$3:$Y$68,24,FALSE)*1000/'input vfa'!AC33</f>
        <v>#N/A</v>
      </c>
      <c r="AO33" s="129" t="e">
        <f>VLOOKUP($B33,'input gas_ethane'!$B$3:$Y$68,22,FALSE)*1000/'input vfa'!AC33</f>
        <v>#N/A</v>
      </c>
      <c r="AP33" s="129" t="e">
        <f t="shared" si="49"/>
        <v>#DIV/0!</v>
      </c>
      <c r="AQ33" s="129" t="e">
        <f t="shared" si="80"/>
        <v>#DIV/0!</v>
      </c>
      <c r="AR33" s="129">
        <f t="shared" si="81"/>
        <v>0</v>
      </c>
      <c r="AS33" s="129">
        <f t="shared" si="82"/>
        <v>0</v>
      </c>
      <c r="AT33" s="129" t="e">
        <f t="shared" si="83"/>
        <v>#DIV/0!</v>
      </c>
      <c r="AU33" s="127">
        <f>SUM(preparation_sheet_flasks!M33:P33)</f>
        <v>0</v>
      </c>
    </row>
    <row r="34" spans="1:47" ht="14.25" customHeight="1">
      <c r="A34" s="127">
        <f>technical_sheet_vfa!B35</f>
        <v>0</v>
      </c>
      <c r="B34" s="107">
        <f>technical_sheet_vfa!C35</f>
        <v>0</v>
      </c>
      <c r="C34" s="128"/>
      <c r="D34" s="128"/>
      <c r="E34" s="128"/>
      <c r="F34" s="128"/>
      <c r="G34" s="128"/>
      <c r="H34" s="128"/>
      <c r="I34" s="128"/>
      <c r="J34" s="128"/>
      <c r="K34" s="128">
        <v>25</v>
      </c>
      <c r="L34" s="128"/>
      <c r="M34" s="158">
        <f t="shared" si="56"/>
        <v>0</v>
      </c>
      <c r="N34" s="158">
        <f t="shared" si="57"/>
        <v>0</v>
      </c>
      <c r="O34" s="158">
        <f t="shared" si="58"/>
        <v>0</v>
      </c>
      <c r="P34" s="158">
        <f t="shared" si="59"/>
        <v>0</v>
      </c>
      <c r="Q34" s="158">
        <f t="shared" si="60"/>
        <v>0</v>
      </c>
      <c r="R34" s="158">
        <f t="shared" si="61"/>
        <v>0</v>
      </c>
      <c r="S34" s="158">
        <f t="shared" si="62"/>
        <v>0</v>
      </c>
      <c r="T34" s="158">
        <f t="shared" si="63"/>
        <v>0</v>
      </c>
      <c r="U34" s="128"/>
      <c r="V34" s="172">
        <f t="shared" si="64"/>
        <v>0</v>
      </c>
      <c r="W34" s="172">
        <f t="shared" si="65"/>
        <v>0</v>
      </c>
      <c r="X34" s="172">
        <f t="shared" si="66"/>
        <v>0</v>
      </c>
      <c r="Y34" s="172">
        <f t="shared" si="67"/>
        <v>0</v>
      </c>
      <c r="Z34" s="172">
        <f t="shared" si="68"/>
        <v>0</v>
      </c>
      <c r="AA34" s="172">
        <f t="shared" si="69"/>
        <v>0</v>
      </c>
      <c r="AB34" s="172">
        <f t="shared" si="70"/>
        <v>0</v>
      </c>
      <c r="AC34" s="172">
        <f t="shared" si="71"/>
        <v>0</v>
      </c>
      <c r="AD34" s="112"/>
      <c r="AE34" s="112" t="e">
        <f t="shared" si="72"/>
        <v>#DIV/0!</v>
      </c>
      <c r="AF34" s="112" t="e">
        <f t="shared" si="73"/>
        <v>#DIV/0!</v>
      </c>
      <c r="AG34" s="112" t="e">
        <f t="shared" si="74"/>
        <v>#DIV/0!</v>
      </c>
      <c r="AH34" s="112" t="e">
        <f t="shared" si="75"/>
        <v>#DIV/0!</v>
      </c>
      <c r="AI34" s="112" t="e">
        <f t="shared" si="76"/>
        <v>#DIV/0!</v>
      </c>
      <c r="AJ34" s="112" t="e">
        <f t="shared" si="77"/>
        <v>#DIV/0!</v>
      </c>
      <c r="AK34" s="112" t="e">
        <f t="shared" si="78"/>
        <v>#DIV/0!</v>
      </c>
      <c r="AL34" s="112" t="e">
        <f t="shared" si="79"/>
        <v>#DIV/0!</v>
      </c>
      <c r="AM34" s="112"/>
      <c r="AN34" s="129" t="e">
        <f>VLOOKUP($B34,'input gas_ethane'!$B$3:$Y$68,24,FALSE)*1000/'input vfa'!AC34</f>
        <v>#N/A</v>
      </c>
      <c r="AO34" s="129" t="e">
        <f>VLOOKUP($B34,'input gas_ethane'!$B$3:$Y$68,22,FALSE)*1000/'input vfa'!AC34</f>
        <v>#N/A</v>
      </c>
      <c r="AP34" s="129" t="e">
        <f t="shared" si="49"/>
        <v>#DIV/0!</v>
      </c>
      <c r="AQ34" s="129" t="e">
        <f t="shared" si="80"/>
        <v>#DIV/0!</v>
      </c>
      <c r="AR34" s="129">
        <f t="shared" si="81"/>
        <v>0</v>
      </c>
      <c r="AS34" s="129">
        <f t="shared" si="82"/>
        <v>0</v>
      </c>
      <c r="AT34" s="129" t="e">
        <f t="shared" si="83"/>
        <v>#DIV/0!</v>
      </c>
      <c r="AU34" s="127">
        <f>SUM(preparation_sheet_flasks!M34:P34)</f>
        <v>0</v>
      </c>
    </row>
    <row r="35" spans="1:47" ht="14.25" customHeight="1">
      <c r="A35" s="127">
        <f>technical_sheet_vfa!B36</f>
        <v>0</v>
      </c>
      <c r="B35" s="107">
        <f>technical_sheet_vfa!C36</f>
        <v>0</v>
      </c>
      <c r="C35" s="128"/>
      <c r="D35" s="128"/>
      <c r="E35" s="128"/>
      <c r="F35" s="128"/>
      <c r="G35" s="128"/>
      <c r="H35" s="128"/>
      <c r="I35" s="128"/>
      <c r="J35" s="128"/>
      <c r="K35" s="128">
        <v>25</v>
      </c>
      <c r="L35" s="128"/>
      <c r="M35" s="158">
        <f t="shared" si="56"/>
        <v>0</v>
      </c>
      <c r="N35" s="158">
        <f t="shared" si="57"/>
        <v>0</v>
      </c>
      <c r="O35" s="158">
        <f t="shared" si="58"/>
        <v>0</v>
      </c>
      <c r="P35" s="158">
        <f t="shared" si="59"/>
        <v>0</v>
      </c>
      <c r="Q35" s="158">
        <f t="shared" si="60"/>
        <v>0</v>
      </c>
      <c r="R35" s="158">
        <f t="shared" si="61"/>
        <v>0</v>
      </c>
      <c r="S35" s="158">
        <f t="shared" si="62"/>
        <v>0</v>
      </c>
      <c r="T35" s="158">
        <f t="shared" si="63"/>
        <v>0</v>
      </c>
      <c r="U35" s="128"/>
      <c r="V35" s="172">
        <f t="shared" si="64"/>
        <v>0</v>
      </c>
      <c r="W35" s="172">
        <f t="shared" si="65"/>
        <v>0</v>
      </c>
      <c r="X35" s="172">
        <f t="shared" si="66"/>
        <v>0</v>
      </c>
      <c r="Y35" s="172">
        <f t="shared" si="67"/>
        <v>0</v>
      </c>
      <c r="Z35" s="172">
        <f t="shared" si="68"/>
        <v>0</v>
      </c>
      <c r="AA35" s="172">
        <f t="shared" si="69"/>
        <v>0</v>
      </c>
      <c r="AB35" s="172">
        <f t="shared" si="70"/>
        <v>0</v>
      </c>
      <c r="AC35" s="172">
        <f t="shared" si="71"/>
        <v>0</v>
      </c>
      <c r="AD35" s="112"/>
      <c r="AE35" s="112" t="e">
        <f t="shared" si="72"/>
        <v>#DIV/0!</v>
      </c>
      <c r="AF35" s="112" t="e">
        <f t="shared" si="73"/>
        <v>#DIV/0!</v>
      </c>
      <c r="AG35" s="112" t="e">
        <f t="shared" si="74"/>
        <v>#DIV/0!</v>
      </c>
      <c r="AH35" s="112" t="e">
        <f t="shared" si="75"/>
        <v>#DIV/0!</v>
      </c>
      <c r="AI35" s="112" t="e">
        <f t="shared" si="76"/>
        <v>#DIV/0!</v>
      </c>
      <c r="AJ35" s="112" t="e">
        <f t="shared" si="77"/>
        <v>#DIV/0!</v>
      </c>
      <c r="AK35" s="112" t="e">
        <f t="shared" si="78"/>
        <v>#DIV/0!</v>
      </c>
      <c r="AL35" s="112" t="e">
        <f t="shared" si="79"/>
        <v>#DIV/0!</v>
      </c>
      <c r="AM35" s="112"/>
      <c r="AN35" s="129" t="e">
        <f>VLOOKUP($B35,'input gas_ethane'!$B$3:$Y$68,24,FALSE)*1000/'input vfa'!AC35</f>
        <v>#N/A</v>
      </c>
      <c r="AO35" s="129" t="e">
        <f>VLOOKUP($B35,'input gas_ethane'!$B$3:$Y$68,22,FALSE)*1000/'input vfa'!AC35</f>
        <v>#N/A</v>
      </c>
      <c r="AP35" s="129" t="e">
        <f t="shared" si="49"/>
        <v>#DIV/0!</v>
      </c>
      <c r="AQ35" s="129" t="e">
        <f t="shared" si="80"/>
        <v>#DIV/0!</v>
      </c>
      <c r="AR35" s="129">
        <f t="shared" si="81"/>
        <v>0</v>
      </c>
      <c r="AS35" s="129">
        <f t="shared" si="82"/>
        <v>0</v>
      </c>
      <c r="AT35" s="129" t="e">
        <f t="shared" si="83"/>
        <v>#DIV/0!</v>
      </c>
      <c r="AU35" s="127">
        <f>SUM(preparation_sheet_flasks!M35:P35)</f>
        <v>0</v>
      </c>
    </row>
    <row r="36" spans="1:47" ht="14.25" customHeight="1">
      <c r="A36" s="127">
        <f>technical_sheet_vfa!B37</f>
        <v>0</v>
      </c>
      <c r="B36" s="107">
        <f>technical_sheet_vfa!C37</f>
        <v>0</v>
      </c>
      <c r="C36" s="128"/>
      <c r="D36" s="128"/>
      <c r="E36" s="128"/>
      <c r="F36" s="128"/>
      <c r="G36" s="128"/>
      <c r="H36" s="128"/>
      <c r="I36" s="128"/>
      <c r="J36" s="128"/>
      <c r="K36" s="128">
        <v>25</v>
      </c>
      <c r="L36" s="128"/>
      <c r="M36" s="158">
        <f t="shared" si="56"/>
        <v>0</v>
      </c>
      <c r="N36" s="158">
        <f t="shared" si="57"/>
        <v>0</v>
      </c>
      <c r="O36" s="158">
        <f t="shared" si="58"/>
        <v>0</v>
      </c>
      <c r="P36" s="158">
        <f t="shared" si="59"/>
        <v>0</v>
      </c>
      <c r="Q36" s="158">
        <f t="shared" si="60"/>
        <v>0</v>
      </c>
      <c r="R36" s="158">
        <f t="shared" si="61"/>
        <v>0</v>
      </c>
      <c r="S36" s="158">
        <f t="shared" si="62"/>
        <v>0</v>
      </c>
      <c r="T36" s="158">
        <f t="shared" si="63"/>
        <v>0</v>
      </c>
      <c r="U36" s="128"/>
      <c r="V36" s="172">
        <f t="shared" si="64"/>
        <v>0</v>
      </c>
      <c r="W36" s="172">
        <f t="shared" si="65"/>
        <v>0</v>
      </c>
      <c r="X36" s="172">
        <f t="shared" si="66"/>
        <v>0</v>
      </c>
      <c r="Y36" s="172">
        <f t="shared" si="67"/>
        <v>0</v>
      </c>
      <c r="Z36" s="172">
        <f t="shared" si="68"/>
        <v>0</v>
      </c>
      <c r="AA36" s="172">
        <f t="shared" si="69"/>
        <v>0</v>
      </c>
      <c r="AB36" s="172">
        <f t="shared" si="70"/>
        <v>0</v>
      </c>
      <c r="AC36" s="172">
        <f t="shared" si="71"/>
        <v>0</v>
      </c>
      <c r="AD36" s="112"/>
      <c r="AE36" s="112" t="e">
        <f t="shared" si="72"/>
        <v>#DIV/0!</v>
      </c>
      <c r="AF36" s="112" t="e">
        <f t="shared" si="73"/>
        <v>#DIV/0!</v>
      </c>
      <c r="AG36" s="112" t="e">
        <f t="shared" si="74"/>
        <v>#DIV/0!</v>
      </c>
      <c r="AH36" s="112" t="e">
        <f t="shared" si="75"/>
        <v>#DIV/0!</v>
      </c>
      <c r="AI36" s="112" t="e">
        <f t="shared" si="76"/>
        <v>#DIV/0!</v>
      </c>
      <c r="AJ36" s="112" t="e">
        <f t="shared" si="77"/>
        <v>#DIV/0!</v>
      </c>
      <c r="AK36" s="112" t="e">
        <f t="shared" si="78"/>
        <v>#DIV/0!</v>
      </c>
      <c r="AL36" s="112" t="e">
        <f t="shared" si="79"/>
        <v>#DIV/0!</v>
      </c>
      <c r="AM36" s="112"/>
      <c r="AN36" s="129" t="e">
        <f>VLOOKUP($B36,'input gas_ethane'!$B$3:$Y$68,24,FALSE)*1000/'input vfa'!AC36</f>
        <v>#N/A</v>
      </c>
      <c r="AO36" s="129" t="e">
        <f>VLOOKUP($B36,'input gas_ethane'!$B$3:$Y$68,22,FALSE)*1000/'input vfa'!AC36</f>
        <v>#N/A</v>
      </c>
      <c r="AP36" s="129" t="e">
        <f t="shared" si="49"/>
        <v>#DIV/0!</v>
      </c>
      <c r="AQ36" s="129" t="e">
        <f t="shared" si="80"/>
        <v>#DIV/0!</v>
      </c>
      <c r="AR36" s="129">
        <f t="shared" si="81"/>
        <v>0</v>
      </c>
      <c r="AS36" s="129">
        <f t="shared" si="82"/>
        <v>0</v>
      </c>
      <c r="AT36" s="129" t="e">
        <f t="shared" si="83"/>
        <v>#DIV/0!</v>
      </c>
      <c r="AU36" s="127">
        <f>SUM(preparation_sheet_flasks!M36:P36)</f>
        <v>0</v>
      </c>
    </row>
    <row r="37" spans="1:47" ht="14.25" customHeight="1">
      <c r="A37" s="127">
        <f>technical_sheet_vfa!B38</f>
        <v>0</v>
      </c>
      <c r="B37" s="107">
        <f>technical_sheet_vfa!C38</f>
        <v>0</v>
      </c>
      <c r="C37" s="128"/>
      <c r="D37" s="128"/>
      <c r="E37" s="128"/>
      <c r="F37" s="128"/>
      <c r="G37" s="128"/>
      <c r="H37" s="128"/>
      <c r="I37" s="128"/>
      <c r="J37" s="128"/>
      <c r="K37" s="128">
        <v>25</v>
      </c>
      <c r="L37" s="128"/>
      <c r="M37" s="158">
        <f t="shared" si="56"/>
        <v>0</v>
      </c>
      <c r="N37" s="158">
        <f t="shared" si="57"/>
        <v>0</v>
      </c>
      <c r="O37" s="158">
        <f t="shared" si="58"/>
        <v>0</v>
      </c>
      <c r="P37" s="158">
        <f t="shared" si="59"/>
        <v>0</v>
      </c>
      <c r="Q37" s="158">
        <f t="shared" si="60"/>
        <v>0</v>
      </c>
      <c r="R37" s="158">
        <f t="shared" si="61"/>
        <v>0</v>
      </c>
      <c r="S37" s="158">
        <f t="shared" si="62"/>
        <v>0</v>
      </c>
      <c r="T37" s="158">
        <f t="shared" si="63"/>
        <v>0</v>
      </c>
      <c r="U37" s="128"/>
      <c r="V37" s="172">
        <f t="shared" si="64"/>
        <v>0</v>
      </c>
      <c r="W37" s="172">
        <f t="shared" si="65"/>
        <v>0</v>
      </c>
      <c r="X37" s="172">
        <f t="shared" si="66"/>
        <v>0</v>
      </c>
      <c r="Y37" s="172">
        <f t="shared" si="67"/>
        <v>0</v>
      </c>
      <c r="Z37" s="172">
        <f t="shared" si="68"/>
        <v>0</v>
      </c>
      <c r="AA37" s="172">
        <f t="shared" si="69"/>
        <v>0</v>
      </c>
      <c r="AB37" s="172">
        <f t="shared" si="70"/>
        <v>0</v>
      </c>
      <c r="AC37" s="172">
        <f t="shared" si="71"/>
        <v>0</v>
      </c>
      <c r="AD37" s="112"/>
      <c r="AE37" s="112" t="e">
        <f t="shared" si="72"/>
        <v>#DIV/0!</v>
      </c>
      <c r="AF37" s="112" t="e">
        <f t="shared" si="73"/>
        <v>#DIV/0!</v>
      </c>
      <c r="AG37" s="112" t="e">
        <f t="shared" si="74"/>
        <v>#DIV/0!</v>
      </c>
      <c r="AH37" s="112" t="e">
        <f t="shared" si="75"/>
        <v>#DIV/0!</v>
      </c>
      <c r="AI37" s="112" t="e">
        <f t="shared" si="76"/>
        <v>#DIV/0!</v>
      </c>
      <c r="AJ37" s="112" t="e">
        <f t="shared" si="77"/>
        <v>#DIV/0!</v>
      </c>
      <c r="AK37" s="112" t="e">
        <f t="shared" si="78"/>
        <v>#DIV/0!</v>
      </c>
      <c r="AL37" s="112" t="e">
        <f t="shared" si="79"/>
        <v>#DIV/0!</v>
      </c>
      <c r="AM37" s="112"/>
      <c r="AN37" s="129" t="e">
        <f>VLOOKUP($B37,'input gas_ethane'!$B$3:$Y$68,24,FALSE)*1000/'input vfa'!AC37</f>
        <v>#N/A</v>
      </c>
      <c r="AO37" s="129" t="e">
        <f>VLOOKUP($B37,'input gas_ethane'!$B$3:$Y$68,22,FALSE)*1000/'input vfa'!AC37</f>
        <v>#N/A</v>
      </c>
      <c r="AP37" s="129" t="e">
        <f t="shared" si="49"/>
        <v>#DIV/0!</v>
      </c>
      <c r="AQ37" s="129" t="e">
        <f t="shared" si="80"/>
        <v>#DIV/0!</v>
      </c>
      <c r="AR37" s="129">
        <f t="shared" si="81"/>
        <v>0</v>
      </c>
      <c r="AS37" s="129">
        <f t="shared" si="82"/>
        <v>0</v>
      </c>
      <c r="AT37" s="129" t="e">
        <f t="shared" si="83"/>
        <v>#DIV/0!</v>
      </c>
      <c r="AU37" s="127">
        <f>SUM(preparation_sheet_flasks!M37:P37)</f>
        <v>0</v>
      </c>
    </row>
    <row r="38" spans="1:47" ht="14.25" customHeight="1">
      <c r="A38" s="127">
        <f>technical_sheet_vfa!B39</f>
        <v>0</v>
      </c>
      <c r="B38" s="107">
        <f>technical_sheet_vfa!C39</f>
        <v>0</v>
      </c>
      <c r="C38" s="128"/>
      <c r="D38" s="128"/>
      <c r="E38" s="128"/>
      <c r="F38" s="128"/>
      <c r="G38" s="128"/>
      <c r="H38" s="128"/>
      <c r="I38" s="128"/>
      <c r="J38" s="128"/>
      <c r="K38" s="128">
        <v>25</v>
      </c>
      <c r="L38" s="128"/>
      <c r="M38" s="158">
        <f t="shared" si="56"/>
        <v>0</v>
      </c>
      <c r="N38" s="158">
        <f t="shared" si="57"/>
        <v>0</v>
      </c>
      <c r="O38" s="158">
        <f t="shared" si="58"/>
        <v>0</v>
      </c>
      <c r="P38" s="158">
        <f t="shared" si="59"/>
        <v>0</v>
      </c>
      <c r="Q38" s="158">
        <f t="shared" si="60"/>
        <v>0</v>
      </c>
      <c r="R38" s="158">
        <f t="shared" si="61"/>
        <v>0</v>
      </c>
      <c r="S38" s="158">
        <f t="shared" si="62"/>
        <v>0</v>
      </c>
      <c r="T38" s="158">
        <f t="shared" si="63"/>
        <v>0</v>
      </c>
      <c r="U38" s="128"/>
      <c r="V38" s="172">
        <f t="shared" si="64"/>
        <v>0</v>
      </c>
      <c r="W38" s="172">
        <f t="shared" si="65"/>
        <v>0</v>
      </c>
      <c r="X38" s="172">
        <f t="shared" si="66"/>
        <v>0</v>
      </c>
      <c r="Y38" s="172">
        <f t="shared" si="67"/>
        <v>0</v>
      </c>
      <c r="Z38" s="172">
        <f t="shared" si="68"/>
        <v>0</v>
      </c>
      <c r="AA38" s="172">
        <f t="shared" si="69"/>
        <v>0</v>
      </c>
      <c r="AB38" s="172">
        <f t="shared" si="70"/>
        <v>0</v>
      </c>
      <c r="AC38" s="172">
        <f t="shared" si="71"/>
        <v>0</v>
      </c>
      <c r="AD38" s="112"/>
      <c r="AE38" s="112" t="e">
        <f t="shared" si="72"/>
        <v>#DIV/0!</v>
      </c>
      <c r="AF38" s="112" t="e">
        <f t="shared" si="73"/>
        <v>#DIV/0!</v>
      </c>
      <c r="AG38" s="112" t="e">
        <f t="shared" si="74"/>
        <v>#DIV/0!</v>
      </c>
      <c r="AH38" s="112" t="e">
        <f t="shared" si="75"/>
        <v>#DIV/0!</v>
      </c>
      <c r="AI38" s="112" t="e">
        <f t="shared" si="76"/>
        <v>#DIV/0!</v>
      </c>
      <c r="AJ38" s="112" t="e">
        <f t="shared" si="77"/>
        <v>#DIV/0!</v>
      </c>
      <c r="AK38" s="112" t="e">
        <f t="shared" si="78"/>
        <v>#DIV/0!</v>
      </c>
      <c r="AL38" s="112" t="e">
        <f t="shared" si="79"/>
        <v>#DIV/0!</v>
      </c>
      <c r="AM38" s="112"/>
      <c r="AN38" s="129" t="e">
        <f>VLOOKUP($B38,'input gas_ethane'!$B$3:$Y$68,24,FALSE)*1000/'input vfa'!AC38</f>
        <v>#N/A</v>
      </c>
      <c r="AO38" s="129" t="e">
        <f>VLOOKUP($B38,'input gas_ethane'!$B$3:$Y$68,22,FALSE)*1000/'input vfa'!AC38</f>
        <v>#N/A</v>
      </c>
      <c r="AP38" s="129" t="e">
        <f t="shared" si="49"/>
        <v>#DIV/0!</v>
      </c>
      <c r="AQ38" s="129" t="e">
        <f t="shared" si="80"/>
        <v>#DIV/0!</v>
      </c>
      <c r="AR38" s="129">
        <f t="shared" si="81"/>
        <v>0</v>
      </c>
      <c r="AS38" s="129">
        <f t="shared" si="82"/>
        <v>0</v>
      </c>
      <c r="AT38" s="129" t="e">
        <f t="shared" si="83"/>
        <v>#DIV/0!</v>
      </c>
      <c r="AU38" s="127">
        <f>SUM(preparation_sheet_flasks!M38:P38)</f>
        <v>0</v>
      </c>
    </row>
    <row r="39" spans="1:47" ht="14.25" customHeight="1">
      <c r="A39" s="127">
        <f>technical_sheet_vfa!B40</f>
        <v>0</v>
      </c>
      <c r="B39" s="107">
        <f>technical_sheet_vfa!C40</f>
        <v>0</v>
      </c>
      <c r="C39" s="128"/>
      <c r="D39" s="128"/>
      <c r="E39" s="128"/>
      <c r="F39" s="128"/>
      <c r="G39" s="128"/>
      <c r="H39" s="128"/>
      <c r="I39" s="128"/>
      <c r="J39" s="128"/>
      <c r="K39" s="128">
        <v>25</v>
      </c>
      <c r="L39" s="128"/>
      <c r="M39" s="158">
        <f t="shared" si="56"/>
        <v>0</v>
      </c>
      <c r="N39" s="158">
        <f t="shared" si="57"/>
        <v>0</v>
      </c>
      <c r="O39" s="158">
        <f t="shared" si="58"/>
        <v>0</v>
      </c>
      <c r="P39" s="158">
        <f t="shared" si="59"/>
        <v>0</v>
      </c>
      <c r="Q39" s="158">
        <f t="shared" si="60"/>
        <v>0</v>
      </c>
      <c r="R39" s="158">
        <f t="shared" si="61"/>
        <v>0</v>
      </c>
      <c r="S39" s="158">
        <f t="shared" si="62"/>
        <v>0</v>
      </c>
      <c r="T39" s="158">
        <f t="shared" si="63"/>
        <v>0</v>
      </c>
      <c r="U39" s="128"/>
      <c r="V39" s="172">
        <f t="shared" si="64"/>
        <v>0</v>
      </c>
      <c r="W39" s="172">
        <f t="shared" si="65"/>
        <v>0</v>
      </c>
      <c r="X39" s="172">
        <f t="shared" si="66"/>
        <v>0</v>
      </c>
      <c r="Y39" s="172">
        <f t="shared" si="67"/>
        <v>0</v>
      </c>
      <c r="Z39" s="172">
        <f t="shared" si="68"/>
        <v>0</v>
      </c>
      <c r="AA39" s="172">
        <f t="shared" si="69"/>
        <v>0</v>
      </c>
      <c r="AB39" s="172">
        <f t="shared" si="70"/>
        <v>0</v>
      </c>
      <c r="AC39" s="172">
        <f t="shared" si="71"/>
        <v>0</v>
      </c>
      <c r="AD39" s="112"/>
      <c r="AE39" s="112" t="e">
        <f t="shared" si="72"/>
        <v>#DIV/0!</v>
      </c>
      <c r="AF39" s="112" t="e">
        <f t="shared" si="73"/>
        <v>#DIV/0!</v>
      </c>
      <c r="AG39" s="112" t="e">
        <f t="shared" si="74"/>
        <v>#DIV/0!</v>
      </c>
      <c r="AH39" s="112" t="e">
        <f t="shared" si="75"/>
        <v>#DIV/0!</v>
      </c>
      <c r="AI39" s="112" t="e">
        <f t="shared" si="76"/>
        <v>#DIV/0!</v>
      </c>
      <c r="AJ39" s="112" t="e">
        <f t="shared" si="77"/>
        <v>#DIV/0!</v>
      </c>
      <c r="AK39" s="112" t="e">
        <f t="shared" si="78"/>
        <v>#DIV/0!</v>
      </c>
      <c r="AL39" s="112" t="e">
        <f t="shared" si="79"/>
        <v>#DIV/0!</v>
      </c>
      <c r="AM39" s="112"/>
      <c r="AN39" s="129" t="e">
        <f>VLOOKUP($B39,'input gas_ethane'!$B$3:$Y$68,24,FALSE)*1000/'input vfa'!AC39</f>
        <v>#N/A</v>
      </c>
      <c r="AO39" s="129" t="e">
        <f>VLOOKUP($B39,'input gas_ethane'!$B$3:$Y$68,22,FALSE)*1000/'input vfa'!AC39</f>
        <v>#N/A</v>
      </c>
      <c r="AP39" s="129" t="e">
        <f t="shared" si="49"/>
        <v>#DIV/0!</v>
      </c>
      <c r="AQ39" s="129" t="e">
        <f t="shared" si="80"/>
        <v>#DIV/0!</v>
      </c>
      <c r="AR39" s="129">
        <f t="shared" si="81"/>
        <v>0</v>
      </c>
      <c r="AS39" s="129">
        <f t="shared" si="82"/>
        <v>0</v>
      </c>
      <c r="AT39" s="129" t="e">
        <f t="shared" si="83"/>
        <v>#DIV/0!</v>
      </c>
      <c r="AU39" s="127">
        <f>SUM(preparation_sheet_flasks!M39:P39)</f>
        <v>0</v>
      </c>
    </row>
    <row r="40" spans="1:47" ht="14.25" customHeight="1">
      <c r="A40" s="127">
        <f>technical_sheet_vfa!B41</f>
        <v>0</v>
      </c>
      <c r="B40" s="107">
        <f>technical_sheet_vfa!C41</f>
        <v>0</v>
      </c>
      <c r="C40" s="128"/>
      <c r="D40" s="128"/>
      <c r="E40" s="128"/>
      <c r="F40" s="128"/>
      <c r="G40" s="128"/>
      <c r="H40" s="128"/>
      <c r="I40" s="128"/>
      <c r="J40" s="128"/>
      <c r="K40" s="128">
        <v>25</v>
      </c>
      <c r="L40" s="128"/>
      <c r="M40" s="158">
        <f t="shared" si="56"/>
        <v>0</v>
      </c>
      <c r="N40" s="158">
        <f t="shared" si="57"/>
        <v>0</v>
      </c>
      <c r="O40" s="158">
        <f t="shared" si="58"/>
        <v>0</v>
      </c>
      <c r="P40" s="158">
        <f t="shared" si="59"/>
        <v>0</v>
      </c>
      <c r="Q40" s="158">
        <f t="shared" si="60"/>
        <v>0</v>
      </c>
      <c r="R40" s="158">
        <f t="shared" si="61"/>
        <v>0</v>
      </c>
      <c r="S40" s="158">
        <f t="shared" si="62"/>
        <v>0</v>
      </c>
      <c r="T40" s="158">
        <f t="shared" si="63"/>
        <v>0</v>
      </c>
      <c r="U40" s="128"/>
      <c r="V40" s="172">
        <f t="shared" si="64"/>
        <v>0</v>
      </c>
      <c r="W40" s="172">
        <f t="shared" si="65"/>
        <v>0</v>
      </c>
      <c r="X40" s="172">
        <f t="shared" si="66"/>
        <v>0</v>
      </c>
      <c r="Y40" s="172">
        <f t="shared" si="67"/>
        <v>0</v>
      </c>
      <c r="Z40" s="172">
        <f t="shared" si="68"/>
        <v>0</v>
      </c>
      <c r="AA40" s="172">
        <f t="shared" si="69"/>
        <v>0</v>
      </c>
      <c r="AB40" s="172">
        <f t="shared" si="70"/>
        <v>0</v>
      </c>
      <c r="AC40" s="172">
        <f t="shared" si="71"/>
        <v>0</v>
      </c>
      <c r="AD40" s="112"/>
      <c r="AE40" s="112" t="e">
        <f t="shared" si="72"/>
        <v>#DIV/0!</v>
      </c>
      <c r="AF40" s="112" t="e">
        <f t="shared" si="73"/>
        <v>#DIV/0!</v>
      </c>
      <c r="AG40" s="112" t="e">
        <f t="shared" si="74"/>
        <v>#DIV/0!</v>
      </c>
      <c r="AH40" s="112" t="e">
        <f t="shared" si="75"/>
        <v>#DIV/0!</v>
      </c>
      <c r="AI40" s="112" t="e">
        <f t="shared" si="76"/>
        <v>#DIV/0!</v>
      </c>
      <c r="AJ40" s="112" t="e">
        <f t="shared" si="77"/>
        <v>#DIV/0!</v>
      </c>
      <c r="AK40" s="112" t="e">
        <f t="shared" si="78"/>
        <v>#DIV/0!</v>
      </c>
      <c r="AL40" s="112" t="e">
        <f t="shared" si="79"/>
        <v>#DIV/0!</v>
      </c>
      <c r="AM40" s="112"/>
      <c r="AN40" s="129" t="e">
        <f>VLOOKUP($B40,'input gas_ethane'!$B$3:$Y$68,24,FALSE)*1000/'input vfa'!AC40</f>
        <v>#N/A</v>
      </c>
      <c r="AO40" s="129" t="e">
        <f>VLOOKUP($B40,'input gas_ethane'!$B$3:$Y$68,22,FALSE)*1000/'input vfa'!AC40</f>
        <v>#N/A</v>
      </c>
      <c r="AP40" s="129" t="e">
        <f t="shared" si="49"/>
        <v>#DIV/0!</v>
      </c>
      <c r="AQ40" s="129" t="e">
        <f t="shared" si="80"/>
        <v>#DIV/0!</v>
      </c>
      <c r="AR40" s="129">
        <f t="shared" si="81"/>
        <v>0</v>
      </c>
      <c r="AS40" s="129">
        <f t="shared" si="82"/>
        <v>0</v>
      </c>
      <c r="AT40" s="129" t="e">
        <f t="shared" si="83"/>
        <v>#DIV/0!</v>
      </c>
      <c r="AU40" s="127">
        <f>SUM(preparation_sheet_flasks!M40:P40)</f>
        <v>0</v>
      </c>
    </row>
    <row r="41" spans="1:47" ht="14.25" customHeight="1">
      <c r="A41" s="127">
        <f>technical_sheet_vfa!B42</f>
        <v>0</v>
      </c>
      <c r="B41" s="107">
        <f>technical_sheet_vfa!C42</f>
        <v>0</v>
      </c>
      <c r="C41" s="128"/>
      <c r="D41" s="128"/>
      <c r="E41" s="128"/>
      <c r="F41" s="128"/>
      <c r="G41" s="128"/>
      <c r="H41" s="128"/>
      <c r="I41" s="128"/>
      <c r="J41" s="128"/>
      <c r="K41" s="128">
        <v>25</v>
      </c>
      <c r="L41" s="128"/>
      <c r="M41" s="158">
        <f t="shared" si="56"/>
        <v>0</v>
      </c>
      <c r="N41" s="158">
        <f t="shared" si="57"/>
        <v>0</v>
      </c>
      <c r="O41" s="158">
        <f t="shared" si="58"/>
        <v>0</v>
      </c>
      <c r="P41" s="158">
        <f t="shared" si="59"/>
        <v>0</v>
      </c>
      <c r="Q41" s="158">
        <f t="shared" si="60"/>
        <v>0</v>
      </c>
      <c r="R41" s="158">
        <f t="shared" si="61"/>
        <v>0</v>
      </c>
      <c r="S41" s="158">
        <f t="shared" si="62"/>
        <v>0</v>
      </c>
      <c r="T41" s="158">
        <f t="shared" si="63"/>
        <v>0</v>
      </c>
      <c r="U41" s="128"/>
      <c r="V41" s="172">
        <f t="shared" si="64"/>
        <v>0</v>
      </c>
      <c r="W41" s="172">
        <f t="shared" si="65"/>
        <v>0</v>
      </c>
      <c r="X41" s="172">
        <f t="shared" si="66"/>
        <v>0</v>
      </c>
      <c r="Y41" s="172">
        <f t="shared" si="67"/>
        <v>0</v>
      </c>
      <c r="Z41" s="172">
        <f t="shared" si="68"/>
        <v>0</v>
      </c>
      <c r="AA41" s="172">
        <f t="shared" si="69"/>
        <v>0</v>
      </c>
      <c r="AB41" s="172">
        <f t="shared" si="70"/>
        <v>0</v>
      </c>
      <c r="AC41" s="172">
        <f t="shared" si="71"/>
        <v>0</v>
      </c>
      <c r="AD41" s="112"/>
      <c r="AE41" s="112" t="e">
        <f t="shared" si="72"/>
        <v>#DIV/0!</v>
      </c>
      <c r="AF41" s="112" t="e">
        <f t="shared" si="73"/>
        <v>#DIV/0!</v>
      </c>
      <c r="AG41" s="112" t="e">
        <f t="shared" si="74"/>
        <v>#DIV/0!</v>
      </c>
      <c r="AH41" s="112" t="e">
        <f t="shared" si="75"/>
        <v>#DIV/0!</v>
      </c>
      <c r="AI41" s="112" t="e">
        <f t="shared" si="76"/>
        <v>#DIV/0!</v>
      </c>
      <c r="AJ41" s="112" t="e">
        <f t="shared" si="77"/>
        <v>#DIV/0!</v>
      </c>
      <c r="AK41" s="112" t="e">
        <f t="shared" si="78"/>
        <v>#DIV/0!</v>
      </c>
      <c r="AL41" s="112" t="e">
        <f t="shared" si="79"/>
        <v>#DIV/0!</v>
      </c>
      <c r="AM41" s="112"/>
      <c r="AN41" s="129" t="e">
        <f>VLOOKUP($B41,'input gas_ethane'!$B$3:$Y$68,24,FALSE)*1000/'input vfa'!AC41</f>
        <v>#N/A</v>
      </c>
      <c r="AO41" s="129" t="e">
        <f>VLOOKUP($B41,'input gas_ethane'!$B$3:$Y$68,22,FALSE)*1000/'input vfa'!AC41</f>
        <v>#N/A</v>
      </c>
      <c r="AP41" s="129" t="e">
        <f t="shared" si="49"/>
        <v>#DIV/0!</v>
      </c>
      <c r="AQ41" s="129" t="e">
        <f t="shared" si="80"/>
        <v>#DIV/0!</v>
      </c>
      <c r="AR41" s="129">
        <f t="shared" si="81"/>
        <v>0</v>
      </c>
      <c r="AS41" s="129">
        <f t="shared" si="82"/>
        <v>0</v>
      </c>
      <c r="AT41" s="129" t="e">
        <f t="shared" si="83"/>
        <v>#DIV/0!</v>
      </c>
      <c r="AU41" s="127">
        <f>SUM(preparation_sheet_flasks!M41:P41)</f>
        <v>0</v>
      </c>
    </row>
    <row r="42" spans="1:47" ht="14.25" customHeight="1">
      <c r="A42" s="127">
        <f>technical_sheet_vfa!B43</f>
        <v>0</v>
      </c>
      <c r="B42" s="107">
        <f>technical_sheet_vfa!C43</f>
        <v>0</v>
      </c>
      <c r="C42" s="128"/>
      <c r="D42" s="128"/>
      <c r="E42" s="128"/>
      <c r="F42" s="128"/>
      <c r="G42" s="128"/>
      <c r="H42" s="128"/>
      <c r="I42" s="128"/>
      <c r="J42" s="128"/>
      <c r="K42" s="128">
        <v>25</v>
      </c>
      <c r="L42" s="128"/>
      <c r="M42" s="158">
        <f t="shared" si="56"/>
        <v>0</v>
      </c>
      <c r="N42" s="158">
        <f t="shared" si="57"/>
        <v>0</v>
      </c>
      <c r="O42" s="158">
        <f t="shared" si="58"/>
        <v>0</v>
      </c>
      <c r="P42" s="158">
        <f t="shared" si="59"/>
        <v>0</v>
      </c>
      <c r="Q42" s="158">
        <f t="shared" si="60"/>
        <v>0</v>
      </c>
      <c r="R42" s="158">
        <f t="shared" si="61"/>
        <v>0</v>
      </c>
      <c r="S42" s="158">
        <f t="shared" si="62"/>
        <v>0</v>
      </c>
      <c r="T42" s="158">
        <f t="shared" si="63"/>
        <v>0</v>
      </c>
      <c r="U42" s="128"/>
      <c r="V42" s="172">
        <f t="shared" si="64"/>
        <v>0</v>
      </c>
      <c r="W42" s="172">
        <f t="shared" si="65"/>
        <v>0</v>
      </c>
      <c r="X42" s="172">
        <f t="shared" si="66"/>
        <v>0</v>
      </c>
      <c r="Y42" s="172">
        <f t="shared" si="67"/>
        <v>0</v>
      </c>
      <c r="Z42" s="172">
        <f t="shared" si="68"/>
        <v>0</v>
      </c>
      <c r="AA42" s="172">
        <f t="shared" si="69"/>
        <v>0</v>
      </c>
      <c r="AB42" s="172">
        <f t="shared" si="70"/>
        <v>0</v>
      </c>
      <c r="AC42" s="172">
        <f t="shared" si="71"/>
        <v>0</v>
      </c>
      <c r="AD42" s="112"/>
      <c r="AE42" s="112" t="e">
        <f t="shared" si="72"/>
        <v>#DIV/0!</v>
      </c>
      <c r="AF42" s="112" t="e">
        <f t="shared" si="73"/>
        <v>#DIV/0!</v>
      </c>
      <c r="AG42" s="112" t="e">
        <f t="shared" si="74"/>
        <v>#DIV/0!</v>
      </c>
      <c r="AH42" s="112" t="e">
        <f t="shared" si="75"/>
        <v>#DIV/0!</v>
      </c>
      <c r="AI42" s="112" t="e">
        <f t="shared" si="76"/>
        <v>#DIV/0!</v>
      </c>
      <c r="AJ42" s="112" t="e">
        <f t="shared" si="77"/>
        <v>#DIV/0!</v>
      </c>
      <c r="AK42" s="112" t="e">
        <f t="shared" si="78"/>
        <v>#DIV/0!</v>
      </c>
      <c r="AL42" s="112" t="e">
        <f t="shared" si="79"/>
        <v>#DIV/0!</v>
      </c>
      <c r="AM42" s="112"/>
      <c r="AN42" s="129" t="e">
        <f>VLOOKUP($B42,'input gas_ethane'!$B$3:$Y$68,24,FALSE)*1000/'input vfa'!AC42</f>
        <v>#N/A</v>
      </c>
      <c r="AO42" s="129" t="e">
        <f>VLOOKUP($B42,'input gas_ethane'!$B$3:$Y$68,22,FALSE)*1000/'input vfa'!AC42</f>
        <v>#N/A</v>
      </c>
      <c r="AP42" s="129" t="e">
        <f t="shared" si="49"/>
        <v>#DIV/0!</v>
      </c>
      <c r="AQ42" s="129" t="e">
        <f t="shared" si="80"/>
        <v>#DIV/0!</v>
      </c>
      <c r="AR42" s="129">
        <f t="shared" si="81"/>
        <v>0</v>
      </c>
      <c r="AS42" s="129">
        <f t="shared" si="82"/>
        <v>0</v>
      </c>
      <c r="AT42" s="129" t="e">
        <f t="shared" si="83"/>
        <v>#DIV/0!</v>
      </c>
      <c r="AU42" s="127">
        <f>SUM(preparation_sheet_flasks!M42:P42)</f>
        <v>0</v>
      </c>
    </row>
    <row r="43" spans="1:47" ht="14.25" customHeight="1">
      <c r="A43" s="127">
        <f>technical_sheet_vfa!B44</f>
        <v>0</v>
      </c>
      <c r="B43" s="107">
        <f>technical_sheet_vfa!C44</f>
        <v>0</v>
      </c>
      <c r="C43" s="128"/>
      <c r="D43" s="128"/>
      <c r="E43" s="128"/>
      <c r="F43" s="128"/>
      <c r="G43" s="128"/>
      <c r="H43" s="128"/>
      <c r="I43" s="128"/>
      <c r="J43" s="128"/>
      <c r="K43" s="128">
        <v>25</v>
      </c>
      <c r="L43" s="128"/>
      <c r="M43" s="158">
        <f t="shared" si="56"/>
        <v>0</v>
      </c>
      <c r="N43" s="158">
        <f t="shared" si="57"/>
        <v>0</v>
      </c>
      <c r="O43" s="158">
        <f t="shared" si="58"/>
        <v>0</v>
      </c>
      <c r="P43" s="158">
        <f t="shared" si="59"/>
        <v>0</v>
      </c>
      <c r="Q43" s="158">
        <f t="shared" si="60"/>
        <v>0</v>
      </c>
      <c r="R43" s="158">
        <f t="shared" si="61"/>
        <v>0</v>
      </c>
      <c r="S43" s="158">
        <f t="shared" si="62"/>
        <v>0</v>
      </c>
      <c r="T43" s="158">
        <f t="shared" si="63"/>
        <v>0</v>
      </c>
      <c r="U43" s="128"/>
      <c r="V43" s="172">
        <f t="shared" si="64"/>
        <v>0</v>
      </c>
      <c r="W43" s="172">
        <f t="shared" si="65"/>
        <v>0</v>
      </c>
      <c r="X43" s="172">
        <f t="shared" si="66"/>
        <v>0</v>
      </c>
      <c r="Y43" s="172">
        <f t="shared" si="67"/>
        <v>0</v>
      </c>
      <c r="Z43" s="172">
        <f t="shared" si="68"/>
        <v>0</v>
      </c>
      <c r="AA43" s="172">
        <f t="shared" si="69"/>
        <v>0</v>
      </c>
      <c r="AB43" s="172">
        <f t="shared" si="70"/>
        <v>0</v>
      </c>
      <c r="AC43" s="172">
        <f t="shared" si="71"/>
        <v>0</v>
      </c>
      <c r="AD43" s="112"/>
      <c r="AE43" s="112" t="e">
        <f t="shared" si="72"/>
        <v>#DIV/0!</v>
      </c>
      <c r="AF43" s="112" t="e">
        <f t="shared" si="73"/>
        <v>#DIV/0!</v>
      </c>
      <c r="AG43" s="112" t="e">
        <f t="shared" si="74"/>
        <v>#DIV/0!</v>
      </c>
      <c r="AH43" s="112" t="e">
        <f t="shared" si="75"/>
        <v>#DIV/0!</v>
      </c>
      <c r="AI43" s="112" t="e">
        <f t="shared" si="76"/>
        <v>#DIV/0!</v>
      </c>
      <c r="AJ43" s="112" t="e">
        <f t="shared" si="77"/>
        <v>#DIV/0!</v>
      </c>
      <c r="AK43" s="112" t="e">
        <f t="shared" si="78"/>
        <v>#DIV/0!</v>
      </c>
      <c r="AL43" s="112" t="e">
        <f t="shared" si="79"/>
        <v>#DIV/0!</v>
      </c>
      <c r="AM43" s="112"/>
      <c r="AN43" s="129" t="e">
        <f>VLOOKUP($B43,'input gas_ethane'!$B$3:$Y$68,24,FALSE)*1000/'input vfa'!AC43</f>
        <v>#N/A</v>
      </c>
      <c r="AO43" s="129" t="e">
        <f>VLOOKUP($B43,'input gas_ethane'!$B$3:$Y$68,22,FALSE)*1000/'input vfa'!AC43</f>
        <v>#N/A</v>
      </c>
      <c r="AP43" s="129" t="e">
        <f t="shared" si="49"/>
        <v>#DIV/0!</v>
      </c>
      <c r="AQ43" s="129" t="e">
        <f t="shared" si="80"/>
        <v>#DIV/0!</v>
      </c>
      <c r="AR43" s="129">
        <f t="shared" si="81"/>
        <v>0</v>
      </c>
      <c r="AS43" s="129">
        <f t="shared" si="82"/>
        <v>0</v>
      </c>
      <c r="AT43" s="129" t="e">
        <f t="shared" si="83"/>
        <v>#DIV/0!</v>
      </c>
      <c r="AU43" s="127">
        <f>SUM(preparation_sheet_flasks!M43:P43)</f>
        <v>0</v>
      </c>
    </row>
    <row r="44" spans="1:47" ht="14.25" customHeight="1">
      <c r="A44" s="127">
        <f>technical_sheet_vfa!B45</f>
        <v>0</v>
      </c>
      <c r="B44" s="107">
        <f>technical_sheet_vfa!C45</f>
        <v>0</v>
      </c>
      <c r="C44" s="128"/>
      <c r="D44" s="128"/>
      <c r="E44" s="128"/>
      <c r="F44" s="128"/>
      <c r="G44" s="128"/>
      <c r="H44" s="128"/>
      <c r="I44" s="128"/>
      <c r="J44" s="128"/>
      <c r="K44" s="128">
        <v>25</v>
      </c>
      <c r="L44" s="128"/>
      <c r="M44" s="158">
        <f t="shared" si="56"/>
        <v>0</v>
      </c>
      <c r="N44" s="158">
        <f t="shared" si="57"/>
        <v>0</v>
      </c>
      <c r="O44" s="158">
        <f t="shared" si="58"/>
        <v>0</v>
      </c>
      <c r="P44" s="158">
        <f t="shared" si="59"/>
        <v>0</v>
      </c>
      <c r="Q44" s="158">
        <f t="shared" si="60"/>
        <v>0</v>
      </c>
      <c r="R44" s="158">
        <f t="shared" si="61"/>
        <v>0</v>
      </c>
      <c r="S44" s="158">
        <f t="shared" si="62"/>
        <v>0</v>
      </c>
      <c r="T44" s="158">
        <f t="shared" si="63"/>
        <v>0</v>
      </c>
      <c r="U44" s="128"/>
      <c r="V44" s="172">
        <f t="shared" si="64"/>
        <v>0</v>
      </c>
      <c r="W44" s="172">
        <f t="shared" si="65"/>
        <v>0</v>
      </c>
      <c r="X44" s="172">
        <f t="shared" si="66"/>
        <v>0</v>
      </c>
      <c r="Y44" s="172">
        <f t="shared" si="67"/>
        <v>0</v>
      </c>
      <c r="Z44" s="172">
        <f t="shared" si="68"/>
        <v>0</v>
      </c>
      <c r="AA44" s="172">
        <f t="shared" si="69"/>
        <v>0</v>
      </c>
      <c r="AB44" s="172">
        <f t="shared" si="70"/>
        <v>0</v>
      </c>
      <c r="AC44" s="172">
        <f t="shared" si="71"/>
        <v>0</v>
      </c>
      <c r="AD44" s="112"/>
      <c r="AE44" s="112" t="e">
        <f t="shared" si="72"/>
        <v>#DIV/0!</v>
      </c>
      <c r="AF44" s="112" t="e">
        <f t="shared" si="73"/>
        <v>#DIV/0!</v>
      </c>
      <c r="AG44" s="112" t="e">
        <f t="shared" si="74"/>
        <v>#DIV/0!</v>
      </c>
      <c r="AH44" s="112" t="e">
        <f t="shared" si="75"/>
        <v>#DIV/0!</v>
      </c>
      <c r="AI44" s="112" t="e">
        <f t="shared" si="76"/>
        <v>#DIV/0!</v>
      </c>
      <c r="AJ44" s="112" t="e">
        <f t="shared" si="77"/>
        <v>#DIV/0!</v>
      </c>
      <c r="AK44" s="112" t="e">
        <f t="shared" si="78"/>
        <v>#DIV/0!</v>
      </c>
      <c r="AL44" s="112" t="e">
        <f t="shared" si="79"/>
        <v>#DIV/0!</v>
      </c>
      <c r="AM44" s="112"/>
      <c r="AN44" s="129" t="e">
        <f>VLOOKUP($B44,'input gas_ethane'!$B$3:$Y$68,24,FALSE)*1000/'input vfa'!AC44</f>
        <v>#N/A</v>
      </c>
      <c r="AO44" s="129" t="e">
        <f>VLOOKUP($B44,'input gas_ethane'!$B$3:$Y$68,22,FALSE)*1000/'input vfa'!AC44</f>
        <v>#N/A</v>
      </c>
      <c r="AP44" s="129" t="e">
        <f t="shared" si="49"/>
        <v>#DIV/0!</v>
      </c>
      <c r="AQ44" s="129" t="e">
        <f t="shared" si="80"/>
        <v>#DIV/0!</v>
      </c>
      <c r="AR44" s="129">
        <f t="shared" si="81"/>
        <v>0</v>
      </c>
      <c r="AS44" s="129">
        <f t="shared" si="82"/>
        <v>0</v>
      </c>
      <c r="AT44" s="129" t="e">
        <f t="shared" si="83"/>
        <v>#DIV/0!</v>
      </c>
      <c r="AU44" s="127">
        <f>SUM(preparation_sheet_flasks!M44:P44)</f>
        <v>0</v>
      </c>
    </row>
    <row r="45" spans="1:47" ht="14.25" customHeight="1">
      <c r="A45" s="127">
        <f>technical_sheet_vfa!B46</f>
        <v>0</v>
      </c>
      <c r="B45" s="107">
        <f>technical_sheet_vfa!C46</f>
        <v>0</v>
      </c>
      <c r="C45" s="128"/>
      <c r="D45" s="128"/>
      <c r="E45" s="128"/>
      <c r="F45" s="128"/>
      <c r="G45" s="128"/>
      <c r="H45" s="128"/>
      <c r="I45" s="128"/>
      <c r="J45" s="128"/>
      <c r="K45" s="128">
        <v>25</v>
      </c>
      <c r="L45" s="128"/>
      <c r="M45" s="158">
        <f t="shared" si="56"/>
        <v>0</v>
      </c>
      <c r="N45" s="158">
        <f t="shared" si="57"/>
        <v>0</v>
      </c>
      <c r="O45" s="158">
        <f t="shared" si="58"/>
        <v>0</v>
      </c>
      <c r="P45" s="158">
        <f t="shared" si="59"/>
        <v>0</v>
      </c>
      <c r="Q45" s="158">
        <f t="shared" si="60"/>
        <v>0</v>
      </c>
      <c r="R45" s="158">
        <f t="shared" si="61"/>
        <v>0</v>
      </c>
      <c r="S45" s="158">
        <f t="shared" si="62"/>
        <v>0</v>
      </c>
      <c r="T45" s="158">
        <f t="shared" si="63"/>
        <v>0</v>
      </c>
      <c r="U45" s="128"/>
      <c r="V45" s="172">
        <f t="shared" si="64"/>
        <v>0</v>
      </c>
      <c r="W45" s="172">
        <f t="shared" si="65"/>
        <v>0</v>
      </c>
      <c r="X45" s="172">
        <f t="shared" si="66"/>
        <v>0</v>
      </c>
      <c r="Y45" s="172">
        <f t="shared" si="67"/>
        <v>0</v>
      </c>
      <c r="Z45" s="172">
        <f t="shared" si="68"/>
        <v>0</v>
      </c>
      <c r="AA45" s="172">
        <f t="shared" si="69"/>
        <v>0</v>
      </c>
      <c r="AB45" s="172">
        <f t="shared" si="70"/>
        <v>0</v>
      </c>
      <c r="AC45" s="172">
        <f t="shared" si="71"/>
        <v>0</v>
      </c>
      <c r="AD45" s="112"/>
      <c r="AE45" s="112" t="e">
        <f t="shared" si="72"/>
        <v>#DIV/0!</v>
      </c>
      <c r="AF45" s="112" t="e">
        <f t="shared" si="73"/>
        <v>#DIV/0!</v>
      </c>
      <c r="AG45" s="112" t="e">
        <f t="shared" si="74"/>
        <v>#DIV/0!</v>
      </c>
      <c r="AH45" s="112" t="e">
        <f t="shared" si="75"/>
        <v>#DIV/0!</v>
      </c>
      <c r="AI45" s="112" t="e">
        <f t="shared" si="76"/>
        <v>#DIV/0!</v>
      </c>
      <c r="AJ45" s="112" t="e">
        <f t="shared" si="77"/>
        <v>#DIV/0!</v>
      </c>
      <c r="AK45" s="112" t="e">
        <f t="shared" si="78"/>
        <v>#DIV/0!</v>
      </c>
      <c r="AL45" s="112" t="e">
        <f t="shared" si="79"/>
        <v>#DIV/0!</v>
      </c>
      <c r="AM45" s="112"/>
      <c r="AN45" s="129" t="e">
        <f>VLOOKUP($B45,'input gas_ethane'!$B$3:$Y$68,24,FALSE)*1000/'input vfa'!AC45</f>
        <v>#N/A</v>
      </c>
      <c r="AO45" s="129" t="e">
        <f>VLOOKUP($B45,'input gas_ethane'!$B$3:$Y$68,22,FALSE)*1000/'input vfa'!AC45</f>
        <v>#N/A</v>
      </c>
      <c r="AP45" s="129" t="e">
        <f t="shared" si="49"/>
        <v>#DIV/0!</v>
      </c>
      <c r="AQ45" s="129" t="e">
        <f t="shared" si="80"/>
        <v>#DIV/0!</v>
      </c>
      <c r="AR45" s="129">
        <f t="shared" si="81"/>
        <v>0</v>
      </c>
      <c r="AS45" s="129">
        <f t="shared" si="82"/>
        <v>0</v>
      </c>
      <c r="AT45" s="129" t="e">
        <f t="shared" si="83"/>
        <v>#DIV/0!</v>
      </c>
      <c r="AU45" s="127">
        <f>SUM(preparation_sheet_flasks!M45:P45)</f>
        <v>0</v>
      </c>
    </row>
    <row r="46" spans="1:47" ht="14.25" customHeight="1">
      <c r="A46" s="127">
        <f>technical_sheet_vfa!B47</f>
        <v>0</v>
      </c>
      <c r="B46" s="107">
        <f>technical_sheet_vfa!C47</f>
        <v>0</v>
      </c>
      <c r="C46" s="128"/>
      <c r="D46" s="128"/>
      <c r="E46" s="128"/>
      <c r="F46" s="128"/>
      <c r="G46" s="128"/>
      <c r="H46" s="128"/>
      <c r="I46" s="128"/>
      <c r="J46" s="128"/>
      <c r="K46" s="128">
        <v>25</v>
      </c>
      <c r="L46" s="128"/>
      <c r="M46" s="158">
        <f t="shared" si="56"/>
        <v>0</v>
      </c>
      <c r="N46" s="158">
        <f t="shared" si="57"/>
        <v>0</v>
      </c>
      <c r="O46" s="158">
        <f t="shared" si="58"/>
        <v>0</v>
      </c>
      <c r="P46" s="158">
        <f t="shared" si="59"/>
        <v>0</v>
      </c>
      <c r="Q46" s="158">
        <f t="shared" si="60"/>
        <v>0</v>
      </c>
      <c r="R46" s="158">
        <f t="shared" si="61"/>
        <v>0</v>
      </c>
      <c r="S46" s="158">
        <f t="shared" si="62"/>
        <v>0</v>
      </c>
      <c r="T46" s="158">
        <f t="shared" si="63"/>
        <v>0</v>
      </c>
      <c r="U46" s="128"/>
      <c r="V46" s="172">
        <f t="shared" si="64"/>
        <v>0</v>
      </c>
      <c r="W46" s="172">
        <f t="shared" si="65"/>
        <v>0</v>
      </c>
      <c r="X46" s="172">
        <f t="shared" si="66"/>
        <v>0</v>
      </c>
      <c r="Y46" s="172">
        <f t="shared" si="67"/>
        <v>0</v>
      </c>
      <c r="Z46" s="172">
        <f t="shared" si="68"/>
        <v>0</v>
      </c>
      <c r="AA46" s="172">
        <f t="shared" si="69"/>
        <v>0</v>
      </c>
      <c r="AB46" s="172">
        <f t="shared" si="70"/>
        <v>0</v>
      </c>
      <c r="AC46" s="172">
        <f t="shared" si="71"/>
        <v>0</v>
      </c>
      <c r="AD46" s="112"/>
      <c r="AE46" s="112" t="e">
        <f t="shared" si="72"/>
        <v>#DIV/0!</v>
      </c>
      <c r="AF46" s="112" t="e">
        <f t="shared" si="73"/>
        <v>#DIV/0!</v>
      </c>
      <c r="AG46" s="112" t="e">
        <f t="shared" si="74"/>
        <v>#DIV/0!</v>
      </c>
      <c r="AH46" s="112" t="e">
        <f t="shared" si="75"/>
        <v>#DIV/0!</v>
      </c>
      <c r="AI46" s="112" t="e">
        <f t="shared" si="76"/>
        <v>#DIV/0!</v>
      </c>
      <c r="AJ46" s="112" t="e">
        <f t="shared" si="77"/>
        <v>#DIV/0!</v>
      </c>
      <c r="AK46" s="112" t="e">
        <f t="shared" si="78"/>
        <v>#DIV/0!</v>
      </c>
      <c r="AL46" s="112" t="e">
        <f t="shared" si="79"/>
        <v>#DIV/0!</v>
      </c>
      <c r="AM46" s="112"/>
      <c r="AN46" s="129" t="e">
        <f>VLOOKUP($B46,'input gas_ethane'!$B$3:$Y$68,24,FALSE)*1000/'input vfa'!AC46</f>
        <v>#N/A</v>
      </c>
      <c r="AO46" s="129" t="e">
        <f>VLOOKUP($B46,'input gas_ethane'!$B$3:$Y$68,22,FALSE)*1000/'input vfa'!AC46</f>
        <v>#N/A</v>
      </c>
      <c r="AP46" s="129" t="e">
        <f t="shared" si="49"/>
        <v>#DIV/0!</v>
      </c>
      <c r="AQ46" s="129" t="e">
        <f t="shared" si="80"/>
        <v>#DIV/0!</v>
      </c>
      <c r="AR46" s="129">
        <f t="shared" si="81"/>
        <v>0</v>
      </c>
      <c r="AS46" s="129">
        <f t="shared" si="82"/>
        <v>0</v>
      </c>
      <c r="AT46" s="129" t="e">
        <f t="shared" si="83"/>
        <v>#DIV/0!</v>
      </c>
      <c r="AU46" s="127">
        <f>SUM(preparation_sheet_flasks!M46:P46)</f>
        <v>0</v>
      </c>
    </row>
    <row r="47" spans="1:47" ht="14.25" customHeight="1">
      <c r="A47" s="127">
        <f>technical_sheet_vfa!B48</f>
        <v>0</v>
      </c>
      <c r="B47" s="107">
        <f>technical_sheet_vfa!C48</f>
        <v>0</v>
      </c>
      <c r="C47" s="128"/>
      <c r="D47" s="128"/>
      <c r="E47" s="128"/>
      <c r="F47" s="128"/>
      <c r="G47" s="128"/>
      <c r="H47" s="128"/>
      <c r="I47" s="128"/>
      <c r="J47" s="128"/>
      <c r="K47" s="128">
        <v>25</v>
      </c>
      <c r="L47" s="128"/>
      <c r="M47" s="158">
        <f t="shared" si="56"/>
        <v>0</v>
      </c>
      <c r="N47" s="158">
        <f t="shared" si="57"/>
        <v>0</v>
      </c>
      <c r="O47" s="158">
        <f t="shared" si="58"/>
        <v>0</v>
      </c>
      <c r="P47" s="158">
        <f t="shared" si="59"/>
        <v>0</v>
      </c>
      <c r="Q47" s="158">
        <f t="shared" si="60"/>
        <v>0</v>
      </c>
      <c r="R47" s="158">
        <f t="shared" si="61"/>
        <v>0</v>
      </c>
      <c r="S47" s="158">
        <f t="shared" si="62"/>
        <v>0</v>
      </c>
      <c r="T47" s="158">
        <f t="shared" si="63"/>
        <v>0</v>
      </c>
      <c r="U47" s="128"/>
      <c r="V47" s="172">
        <f t="shared" si="64"/>
        <v>0</v>
      </c>
      <c r="W47" s="172">
        <f t="shared" si="65"/>
        <v>0</v>
      </c>
      <c r="X47" s="172">
        <f t="shared" si="66"/>
        <v>0</v>
      </c>
      <c r="Y47" s="172">
        <f t="shared" si="67"/>
        <v>0</v>
      </c>
      <c r="Z47" s="172">
        <f t="shared" si="68"/>
        <v>0</v>
      </c>
      <c r="AA47" s="172">
        <f t="shared" si="69"/>
        <v>0</v>
      </c>
      <c r="AB47" s="172">
        <f t="shared" si="70"/>
        <v>0</v>
      </c>
      <c r="AC47" s="172">
        <f t="shared" si="71"/>
        <v>0</v>
      </c>
      <c r="AD47" s="112"/>
      <c r="AE47" s="112" t="e">
        <f t="shared" si="72"/>
        <v>#DIV/0!</v>
      </c>
      <c r="AF47" s="112" t="e">
        <f t="shared" si="73"/>
        <v>#DIV/0!</v>
      </c>
      <c r="AG47" s="112" t="e">
        <f t="shared" si="74"/>
        <v>#DIV/0!</v>
      </c>
      <c r="AH47" s="112" t="e">
        <f t="shared" si="75"/>
        <v>#DIV/0!</v>
      </c>
      <c r="AI47" s="112" t="e">
        <f t="shared" si="76"/>
        <v>#DIV/0!</v>
      </c>
      <c r="AJ47" s="112" t="e">
        <f t="shared" si="77"/>
        <v>#DIV/0!</v>
      </c>
      <c r="AK47" s="112" t="e">
        <f t="shared" si="78"/>
        <v>#DIV/0!</v>
      </c>
      <c r="AL47" s="112" t="e">
        <f t="shared" si="79"/>
        <v>#DIV/0!</v>
      </c>
      <c r="AM47" s="112"/>
      <c r="AN47" s="129" t="e">
        <f>VLOOKUP($B47,'input gas_ethane'!$B$3:$Y$68,24,FALSE)*1000/'input vfa'!AC47</f>
        <v>#N/A</v>
      </c>
      <c r="AO47" s="129" t="e">
        <f>VLOOKUP($B47,'input gas_ethane'!$B$3:$Y$68,22,FALSE)*1000/'input vfa'!AC47</f>
        <v>#N/A</v>
      </c>
      <c r="AP47" s="129" t="e">
        <f t="shared" si="49"/>
        <v>#DIV/0!</v>
      </c>
      <c r="AQ47" s="129" t="e">
        <f t="shared" si="80"/>
        <v>#DIV/0!</v>
      </c>
      <c r="AR47" s="129">
        <f t="shared" si="81"/>
        <v>0</v>
      </c>
      <c r="AS47" s="129">
        <f t="shared" si="82"/>
        <v>0</v>
      </c>
      <c r="AT47" s="129" t="e">
        <f t="shared" si="83"/>
        <v>#DIV/0!</v>
      </c>
      <c r="AU47" s="127">
        <f>SUM(preparation_sheet_flasks!M47:P47)</f>
        <v>0</v>
      </c>
    </row>
    <row r="48" spans="1:47" ht="14.25" customHeight="1">
      <c r="A48" s="127">
        <f>technical_sheet_vfa!B49</f>
        <v>0</v>
      </c>
      <c r="B48" s="107">
        <f>technical_sheet_vfa!C49</f>
        <v>0</v>
      </c>
      <c r="C48" s="128"/>
      <c r="D48" s="128"/>
      <c r="E48" s="128"/>
      <c r="F48" s="128"/>
      <c r="G48" s="128"/>
      <c r="H48" s="128"/>
      <c r="I48" s="128"/>
      <c r="J48" s="128"/>
      <c r="K48" s="128">
        <v>25</v>
      </c>
      <c r="L48" s="128"/>
      <c r="M48" s="158">
        <f t="shared" si="56"/>
        <v>0</v>
      </c>
      <c r="N48" s="158">
        <f t="shared" si="57"/>
        <v>0</v>
      </c>
      <c r="O48" s="158">
        <f t="shared" si="58"/>
        <v>0</v>
      </c>
      <c r="P48" s="158">
        <f t="shared" si="59"/>
        <v>0</v>
      </c>
      <c r="Q48" s="158">
        <f t="shared" si="60"/>
        <v>0</v>
      </c>
      <c r="R48" s="158">
        <f t="shared" si="61"/>
        <v>0</v>
      </c>
      <c r="S48" s="158">
        <f t="shared" si="62"/>
        <v>0</v>
      </c>
      <c r="T48" s="158">
        <f t="shared" si="63"/>
        <v>0</v>
      </c>
      <c r="U48" s="128"/>
      <c r="V48" s="172">
        <f t="shared" si="64"/>
        <v>0</v>
      </c>
      <c r="W48" s="172">
        <f t="shared" si="65"/>
        <v>0</v>
      </c>
      <c r="X48" s="172">
        <f t="shared" si="66"/>
        <v>0</v>
      </c>
      <c r="Y48" s="172">
        <f t="shared" si="67"/>
        <v>0</v>
      </c>
      <c r="Z48" s="172">
        <f t="shared" si="68"/>
        <v>0</v>
      </c>
      <c r="AA48" s="172">
        <f t="shared" si="69"/>
        <v>0</v>
      </c>
      <c r="AB48" s="172">
        <f t="shared" si="70"/>
        <v>0</v>
      </c>
      <c r="AC48" s="172">
        <f t="shared" si="71"/>
        <v>0</v>
      </c>
      <c r="AD48" s="112"/>
      <c r="AE48" s="112" t="e">
        <f t="shared" si="72"/>
        <v>#DIV/0!</v>
      </c>
      <c r="AF48" s="112" t="e">
        <f t="shared" si="73"/>
        <v>#DIV/0!</v>
      </c>
      <c r="AG48" s="112" t="e">
        <f t="shared" si="74"/>
        <v>#DIV/0!</v>
      </c>
      <c r="AH48" s="112" t="e">
        <f t="shared" si="75"/>
        <v>#DIV/0!</v>
      </c>
      <c r="AI48" s="112" t="e">
        <f t="shared" si="76"/>
        <v>#DIV/0!</v>
      </c>
      <c r="AJ48" s="112" t="e">
        <f t="shared" si="77"/>
        <v>#DIV/0!</v>
      </c>
      <c r="AK48" s="112" t="e">
        <f t="shared" si="78"/>
        <v>#DIV/0!</v>
      </c>
      <c r="AL48" s="112" t="e">
        <f t="shared" si="79"/>
        <v>#DIV/0!</v>
      </c>
      <c r="AM48" s="112"/>
      <c r="AN48" s="129" t="e">
        <f>VLOOKUP($B48,'input gas_ethane'!$B$3:$Y$68,24,FALSE)*1000/'input vfa'!AC48</f>
        <v>#N/A</v>
      </c>
      <c r="AO48" s="129" t="e">
        <f>VLOOKUP($B48,'input gas_ethane'!$B$3:$Y$68,22,FALSE)*1000/'input vfa'!AC48</f>
        <v>#N/A</v>
      </c>
      <c r="AP48" s="129" t="e">
        <f t="shared" si="49"/>
        <v>#DIV/0!</v>
      </c>
      <c r="AQ48" s="129" t="e">
        <f t="shared" si="80"/>
        <v>#DIV/0!</v>
      </c>
      <c r="AR48" s="129">
        <f t="shared" si="81"/>
        <v>0</v>
      </c>
      <c r="AS48" s="129">
        <f t="shared" si="82"/>
        <v>0</v>
      </c>
      <c r="AT48" s="129" t="e">
        <f t="shared" si="83"/>
        <v>#DIV/0!</v>
      </c>
      <c r="AU48" s="127">
        <f>SUM(preparation_sheet_flasks!M48:P48)</f>
        <v>0</v>
      </c>
    </row>
    <row r="49" spans="1:47" ht="14.25" customHeight="1">
      <c r="A49" s="127">
        <f>technical_sheet_vfa!B50</f>
        <v>0</v>
      </c>
      <c r="B49" s="107">
        <f>technical_sheet_vfa!C50</f>
        <v>0</v>
      </c>
      <c r="C49" s="128"/>
      <c r="D49" s="128"/>
      <c r="E49" s="128"/>
      <c r="F49" s="128"/>
      <c r="G49" s="128"/>
      <c r="H49" s="128"/>
      <c r="I49" s="128"/>
      <c r="J49" s="128"/>
      <c r="K49" s="128">
        <v>25</v>
      </c>
      <c r="L49" s="128"/>
      <c r="M49" s="158">
        <f t="shared" si="56"/>
        <v>0</v>
      </c>
      <c r="N49" s="158">
        <f t="shared" si="57"/>
        <v>0</v>
      </c>
      <c r="O49" s="158">
        <f t="shared" si="58"/>
        <v>0</v>
      </c>
      <c r="P49" s="158">
        <f t="shared" si="59"/>
        <v>0</v>
      </c>
      <c r="Q49" s="158">
        <f t="shared" si="60"/>
        <v>0</v>
      </c>
      <c r="R49" s="158">
        <f t="shared" si="61"/>
        <v>0</v>
      </c>
      <c r="S49" s="158">
        <f t="shared" si="62"/>
        <v>0</v>
      </c>
      <c r="T49" s="158">
        <f t="shared" si="63"/>
        <v>0</v>
      </c>
      <c r="U49" s="128"/>
      <c r="V49" s="172">
        <f t="shared" si="64"/>
        <v>0</v>
      </c>
      <c r="W49" s="172">
        <f t="shared" si="65"/>
        <v>0</v>
      </c>
      <c r="X49" s="172">
        <f t="shared" si="66"/>
        <v>0</v>
      </c>
      <c r="Y49" s="172">
        <f t="shared" si="67"/>
        <v>0</v>
      </c>
      <c r="Z49" s="172">
        <f t="shared" si="68"/>
        <v>0</v>
      </c>
      <c r="AA49" s="172">
        <f t="shared" si="69"/>
        <v>0</v>
      </c>
      <c r="AB49" s="172">
        <f t="shared" si="70"/>
        <v>0</v>
      </c>
      <c r="AC49" s="172">
        <f t="shared" si="71"/>
        <v>0</v>
      </c>
      <c r="AD49" s="112"/>
      <c r="AE49" s="112" t="e">
        <f t="shared" si="72"/>
        <v>#DIV/0!</v>
      </c>
      <c r="AF49" s="112" t="e">
        <f t="shared" si="73"/>
        <v>#DIV/0!</v>
      </c>
      <c r="AG49" s="112" t="e">
        <f t="shared" si="74"/>
        <v>#DIV/0!</v>
      </c>
      <c r="AH49" s="112" t="e">
        <f t="shared" si="75"/>
        <v>#DIV/0!</v>
      </c>
      <c r="AI49" s="112" t="e">
        <f t="shared" si="76"/>
        <v>#DIV/0!</v>
      </c>
      <c r="AJ49" s="112" t="e">
        <f t="shared" si="77"/>
        <v>#DIV/0!</v>
      </c>
      <c r="AK49" s="112" t="e">
        <f t="shared" si="78"/>
        <v>#DIV/0!</v>
      </c>
      <c r="AL49" s="112" t="e">
        <f t="shared" si="79"/>
        <v>#DIV/0!</v>
      </c>
      <c r="AM49" s="112"/>
      <c r="AN49" s="129" t="e">
        <f>VLOOKUP($B49,'input gas_ethane'!$B$3:$Y$68,24,FALSE)*1000/'input vfa'!AC49</f>
        <v>#N/A</v>
      </c>
      <c r="AO49" s="129" t="e">
        <f>VLOOKUP($B49,'input gas_ethane'!$B$3:$Y$68,22,FALSE)*1000/'input vfa'!AC49</f>
        <v>#N/A</v>
      </c>
      <c r="AP49" s="129" t="e">
        <f t="shared" si="49"/>
        <v>#DIV/0!</v>
      </c>
      <c r="AQ49" s="129" t="e">
        <f t="shared" si="80"/>
        <v>#DIV/0!</v>
      </c>
      <c r="AR49" s="129">
        <f t="shared" si="81"/>
        <v>0</v>
      </c>
      <c r="AS49" s="129">
        <f t="shared" si="82"/>
        <v>0</v>
      </c>
      <c r="AT49" s="129" t="e">
        <f t="shared" si="83"/>
        <v>#DIV/0!</v>
      </c>
      <c r="AU49" s="127">
        <f>SUM(preparation_sheet_flasks!M49:P49)</f>
        <v>0</v>
      </c>
    </row>
    <row r="50" spans="1:47" ht="14.25" customHeight="1">
      <c r="A50" s="127">
        <f>technical_sheet_vfa!B51</f>
        <v>0</v>
      </c>
      <c r="B50" s="107">
        <f>technical_sheet_vfa!C51</f>
        <v>0</v>
      </c>
      <c r="C50" s="128"/>
      <c r="D50" s="128"/>
      <c r="E50" s="128"/>
      <c r="F50" s="128"/>
      <c r="G50" s="128"/>
      <c r="H50" s="128"/>
      <c r="I50" s="128"/>
      <c r="J50" s="128"/>
      <c r="K50" s="128">
        <v>25</v>
      </c>
      <c r="L50" s="128"/>
      <c r="M50" s="158">
        <f t="shared" si="56"/>
        <v>0</v>
      </c>
      <c r="N50" s="158">
        <f t="shared" si="57"/>
        <v>0</v>
      </c>
      <c r="O50" s="158">
        <f t="shared" si="58"/>
        <v>0</v>
      </c>
      <c r="P50" s="158">
        <f t="shared" si="59"/>
        <v>0</v>
      </c>
      <c r="Q50" s="158">
        <f t="shared" si="60"/>
        <v>0</v>
      </c>
      <c r="R50" s="158">
        <f t="shared" si="61"/>
        <v>0</v>
      </c>
      <c r="S50" s="158">
        <f t="shared" si="62"/>
        <v>0</v>
      </c>
      <c r="T50" s="158">
        <f t="shared" si="63"/>
        <v>0</v>
      </c>
      <c r="U50" s="128"/>
      <c r="V50" s="172">
        <f t="shared" si="64"/>
        <v>0</v>
      </c>
      <c r="W50" s="172">
        <f t="shared" si="65"/>
        <v>0</v>
      </c>
      <c r="X50" s="172">
        <f t="shared" si="66"/>
        <v>0</v>
      </c>
      <c r="Y50" s="172">
        <f t="shared" si="67"/>
        <v>0</v>
      </c>
      <c r="Z50" s="172">
        <f t="shared" si="68"/>
        <v>0</v>
      </c>
      <c r="AA50" s="172">
        <f t="shared" si="69"/>
        <v>0</v>
      </c>
      <c r="AB50" s="172">
        <f t="shared" si="70"/>
        <v>0</v>
      </c>
      <c r="AC50" s="172">
        <f t="shared" si="71"/>
        <v>0</v>
      </c>
      <c r="AD50" s="112"/>
      <c r="AE50" s="112" t="e">
        <f t="shared" si="72"/>
        <v>#DIV/0!</v>
      </c>
      <c r="AF50" s="112" t="e">
        <f t="shared" si="73"/>
        <v>#DIV/0!</v>
      </c>
      <c r="AG50" s="112" t="e">
        <f t="shared" si="74"/>
        <v>#DIV/0!</v>
      </c>
      <c r="AH50" s="112" t="e">
        <f t="shared" si="75"/>
        <v>#DIV/0!</v>
      </c>
      <c r="AI50" s="112" t="e">
        <f t="shared" si="76"/>
        <v>#DIV/0!</v>
      </c>
      <c r="AJ50" s="112" t="e">
        <f t="shared" si="77"/>
        <v>#DIV/0!</v>
      </c>
      <c r="AK50" s="112" t="e">
        <f t="shared" si="78"/>
        <v>#DIV/0!</v>
      </c>
      <c r="AL50" s="112" t="e">
        <f t="shared" si="79"/>
        <v>#DIV/0!</v>
      </c>
      <c r="AM50" s="112"/>
      <c r="AN50" s="129" t="e">
        <f>VLOOKUP($B50,'input gas_ethane'!$B$3:$Y$68,24,FALSE)*1000/'input vfa'!AC50</f>
        <v>#N/A</v>
      </c>
      <c r="AO50" s="129" t="e">
        <f>VLOOKUP($B50,'input gas_ethane'!$B$3:$Y$68,22,FALSE)*1000/'input vfa'!AC50</f>
        <v>#N/A</v>
      </c>
      <c r="AP50" s="129" t="e">
        <f t="shared" si="49"/>
        <v>#DIV/0!</v>
      </c>
      <c r="AQ50" s="129" t="e">
        <f t="shared" si="80"/>
        <v>#DIV/0!</v>
      </c>
      <c r="AR50" s="129">
        <f t="shared" si="81"/>
        <v>0</v>
      </c>
      <c r="AS50" s="129">
        <f t="shared" si="82"/>
        <v>0</v>
      </c>
      <c r="AT50" s="129" t="e">
        <f t="shared" si="83"/>
        <v>#DIV/0!</v>
      </c>
      <c r="AU50" s="127">
        <f>SUM(preparation_sheet_flasks!M50:P50)</f>
        <v>0</v>
      </c>
    </row>
    <row r="51" spans="1:47" ht="14.25" customHeight="1">
      <c r="A51" s="127">
        <f>technical_sheet_vfa!B52</f>
        <v>0</v>
      </c>
      <c r="B51" s="107">
        <f>technical_sheet_vfa!C52</f>
        <v>0</v>
      </c>
      <c r="C51" s="128"/>
      <c r="D51" s="128"/>
      <c r="E51" s="128"/>
      <c r="F51" s="128"/>
      <c r="G51" s="128"/>
      <c r="H51" s="128"/>
      <c r="I51" s="128"/>
      <c r="J51" s="128"/>
      <c r="K51" s="128">
        <v>25</v>
      </c>
      <c r="L51" s="128"/>
      <c r="M51" s="158">
        <f t="shared" si="56"/>
        <v>0</v>
      </c>
      <c r="N51" s="158">
        <f t="shared" si="57"/>
        <v>0</v>
      </c>
      <c r="O51" s="158">
        <f t="shared" si="58"/>
        <v>0</v>
      </c>
      <c r="P51" s="158">
        <f t="shared" si="59"/>
        <v>0</v>
      </c>
      <c r="Q51" s="158">
        <f t="shared" si="60"/>
        <v>0</v>
      </c>
      <c r="R51" s="158">
        <f t="shared" si="61"/>
        <v>0</v>
      </c>
      <c r="S51" s="158">
        <f t="shared" si="62"/>
        <v>0</v>
      </c>
      <c r="T51" s="158">
        <f t="shared" si="63"/>
        <v>0</v>
      </c>
      <c r="U51" s="128"/>
      <c r="V51" s="172">
        <f t="shared" si="64"/>
        <v>0</v>
      </c>
      <c r="W51" s="172">
        <f t="shared" si="65"/>
        <v>0</v>
      </c>
      <c r="X51" s="172">
        <f t="shared" si="66"/>
        <v>0</v>
      </c>
      <c r="Y51" s="172">
        <f t="shared" si="67"/>
        <v>0</v>
      </c>
      <c r="Z51" s="172">
        <f t="shared" si="68"/>
        <v>0</v>
      </c>
      <c r="AA51" s="172">
        <f t="shared" si="69"/>
        <v>0</v>
      </c>
      <c r="AB51" s="172">
        <f t="shared" si="70"/>
        <v>0</v>
      </c>
      <c r="AC51" s="172">
        <f t="shared" si="71"/>
        <v>0</v>
      </c>
      <c r="AD51" s="112"/>
      <c r="AE51" s="112" t="e">
        <f t="shared" si="72"/>
        <v>#DIV/0!</v>
      </c>
      <c r="AF51" s="112" t="e">
        <f t="shared" si="73"/>
        <v>#DIV/0!</v>
      </c>
      <c r="AG51" s="112" t="e">
        <f t="shared" si="74"/>
        <v>#DIV/0!</v>
      </c>
      <c r="AH51" s="112" t="e">
        <f t="shared" si="75"/>
        <v>#DIV/0!</v>
      </c>
      <c r="AI51" s="112" t="e">
        <f t="shared" si="76"/>
        <v>#DIV/0!</v>
      </c>
      <c r="AJ51" s="112" t="e">
        <f t="shared" si="77"/>
        <v>#DIV/0!</v>
      </c>
      <c r="AK51" s="112" t="e">
        <f t="shared" si="78"/>
        <v>#DIV/0!</v>
      </c>
      <c r="AL51" s="112" t="e">
        <f t="shared" si="79"/>
        <v>#DIV/0!</v>
      </c>
      <c r="AM51" s="112"/>
      <c r="AN51" s="129" t="e">
        <f>VLOOKUP($B51,'input gas_ethane'!$B$3:$Y$68,24,FALSE)*1000/'input vfa'!AC51</f>
        <v>#N/A</v>
      </c>
      <c r="AO51" s="129" t="e">
        <f>VLOOKUP($B51,'input gas_ethane'!$B$3:$Y$68,22,FALSE)*1000/'input vfa'!AC51</f>
        <v>#N/A</v>
      </c>
      <c r="AP51" s="129" t="e">
        <f t="shared" si="49"/>
        <v>#DIV/0!</v>
      </c>
      <c r="AQ51" s="129" t="e">
        <f t="shared" si="80"/>
        <v>#DIV/0!</v>
      </c>
      <c r="AR51" s="129">
        <f t="shared" si="81"/>
        <v>0</v>
      </c>
      <c r="AS51" s="129">
        <f t="shared" si="82"/>
        <v>0</v>
      </c>
      <c r="AT51" s="129" t="e">
        <f t="shared" si="83"/>
        <v>#DIV/0!</v>
      </c>
      <c r="AU51" s="127">
        <f>SUM(preparation_sheet_flasks!M51:P51)</f>
        <v>0</v>
      </c>
    </row>
    <row r="52" spans="1:47" ht="14.25" customHeight="1">
      <c r="A52" s="127">
        <f>technical_sheet_vfa!B53</f>
        <v>0</v>
      </c>
      <c r="B52" s="107">
        <f>technical_sheet_vfa!C53</f>
        <v>0</v>
      </c>
      <c r="C52" s="128"/>
      <c r="D52" s="128"/>
      <c r="E52" s="128"/>
      <c r="F52" s="128"/>
      <c r="G52" s="128"/>
      <c r="H52" s="128"/>
      <c r="I52" s="128"/>
      <c r="J52" s="128"/>
      <c r="K52" s="128">
        <v>25</v>
      </c>
      <c r="L52" s="128"/>
      <c r="M52" s="158">
        <f t="shared" si="56"/>
        <v>0</v>
      </c>
      <c r="N52" s="158">
        <f t="shared" si="57"/>
        <v>0</v>
      </c>
      <c r="O52" s="158">
        <f t="shared" si="58"/>
        <v>0</v>
      </c>
      <c r="P52" s="158">
        <f t="shared" si="59"/>
        <v>0</v>
      </c>
      <c r="Q52" s="158">
        <f t="shared" si="60"/>
        <v>0</v>
      </c>
      <c r="R52" s="158">
        <f t="shared" si="61"/>
        <v>0</v>
      </c>
      <c r="S52" s="158">
        <f t="shared" si="62"/>
        <v>0</v>
      </c>
      <c r="T52" s="158">
        <f t="shared" si="63"/>
        <v>0</v>
      </c>
      <c r="U52" s="128"/>
      <c r="V52" s="172">
        <f t="shared" si="64"/>
        <v>0</v>
      </c>
      <c r="W52" s="172">
        <f t="shared" si="65"/>
        <v>0</v>
      </c>
      <c r="X52" s="172">
        <f t="shared" si="66"/>
        <v>0</v>
      </c>
      <c r="Y52" s="172">
        <f t="shared" si="67"/>
        <v>0</v>
      </c>
      <c r="Z52" s="172">
        <f t="shared" si="68"/>
        <v>0</v>
      </c>
      <c r="AA52" s="172">
        <f t="shared" si="69"/>
        <v>0</v>
      </c>
      <c r="AB52" s="172">
        <f t="shared" si="70"/>
        <v>0</v>
      </c>
      <c r="AC52" s="172">
        <f t="shared" si="71"/>
        <v>0</v>
      </c>
      <c r="AD52" s="112"/>
      <c r="AE52" s="112" t="e">
        <f t="shared" si="72"/>
        <v>#DIV/0!</v>
      </c>
      <c r="AF52" s="112" t="e">
        <f t="shared" si="73"/>
        <v>#DIV/0!</v>
      </c>
      <c r="AG52" s="112" t="e">
        <f t="shared" si="74"/>
        <v>#DIV/0!</v>
      </c>
      <c r="AH52" s="112" t="e">
        <f t="shared" si="75"/>
        <v>#DIV/0!</v>
      </c>
      <c r="AI52" s="112" t="e">
        <f t="shared" si="76"/>
        <v>#DIV/0!</v>
      </c>
      <c r="AJ52" s="112" t="e">
        <f t="shared" si="77"/>
        <v>#DIV/0!</v>
      </c>
      <c r="AK52" s="112" t="e">
        <f t="shared" si="78"/>
        <v>#DIV/0!</v>
      </c>
      <c r="AL52" s="112" t="e">
        <f t="shared" si="79"/>
        <v>#DIV/0!</v>
      </c>
      <c r="AM52" s="112"/>
      <c r="AN52" s="129" t="e">
        <f>VLOOKUP($B52,'input gas_ethane'!$B$3:$Y$68,24,FALSE)*1000/'input vfa'!AC52</f>
        <v>#N/A</v>
      </c>
      <c r="AO52" s="129" t="e">
        <f>VLOOKUP($B52,'input gas_ethane'!$B$3:$Y$68,22,FALSE)*1000/'input vfa'!AC52</f>
        <v>#N/A</v>
      </c>
      <c r="AP52" s="129" t="e">
        <f t="shared" si="49"/>
        <v>#DIV/0!</v>
      </c>
      <c r="AQ52" s="129" t="e">
        <f t="shared" si="80"/>
        <v>#DIV/0!</v>
      </c>
      <c r="AR52" s="129">
        <f t="shared" si="81"/>
        <v>0</v>
      </c>
      <c r="AS52" s="129">
        <f t="shared" si="82"/>
        <v>0</v>
      </c>
      <c r="AT52" s="129" t="e">
        <f t="shared" si="83"/>
        <v>#DIV/0!</v>
      </c>
      <c r="AU52" s="127">
        <f>SUM(preparation_sheet_flasks!M52:P52)</f>
        <v>0</v>
      </c>
    </row>
    <row r="53" spans="1:47" ht="14.25" customHeight="1">
      <c r="A53" s="127">
        <f>technical_sheet_vfa!B54</f>
        <v>0</v>
      </c>
      <c r="B53" s="107">
        <f>technical_sheet_vfa!C54</f>
        <v>0</v>
      </c>
      <c r="C53" s="128"/>
      <c r="D53" s="128"/>
      <c r="E53" s="128"/>
      <c r="F53" s="128"/>
      <c r="G53" s="128"/>
      <c r="H53" s="128"/>
      <c r="I53" s="128"/>
      <c r="J53" s="128"/>
      <c r="K53" s="128">
        <v>25</v>
      </c>
      <c r="L53" s="128"/>
      <c r="M53" s="158">
        <f t="shared" si="56"/>
        <v>0</v>
      </c>
      <c r="N53" s="158">
        <f t="shared" si="57"/>
        <v>0</v>
      </c>
      <c r="O53" s="158">
        <f t="shared" si="58"/>
        <v>0</v>
      </c>
      <c r="P53" s="158">
        <f t="shared" si="59"/>
        <v>0</v>
      </c>
      <c r="Q53" s="158">
        <f t="shared" si="60"/>
        <v>0</v>
      </c>
      <c r="R53" s="158">
        <f t="shared" si="61"/>
        <v>0</v>
      </c>
      <c r="S53" s="158">
        <f t="shared" si="62"/>
        <v>0</v>
      </c>
      <c r="T53" s="158">
        <f t="shared" si="63"/>
        <v>0</v>
      </c>
      <c r="U53" s="128"/>
      <c r="V53" s="172">
        <f t="shared" si="64"/>
        <v>0</v>
      </c>
      <c r="W53" s="172">
        <f t="shared" si="65"/>
        <v>0</v>
      </c>
      <c r="X53" s="172">
        <f t="shared" si="66"/>
        <v>0</v>
      </c>
      <c r="Y53" s="172">
        <f t="shared" si="67"/>
        <v>0</v>
      </c>
      <c r="Z53" s="172">
        <f t="shared" si="68"/>
        <v>0</v>
      </c>
      <c r="AA53" s="172">
        <f t="shared" si="69"/>
        <v>0</v>
      </c>
      <c r="AB53" s="172">
        <f t="shared" si="70"/>
        <v>0</v>
      </c>
      <c r="AC53" s="172">
        <f t="shared" si="71"/>
        <v>0</v>
      </c>
      <c r="AD53" s="112"/>
      <c r="AE53" s="112" t="e">
        <f t="shared" si="72"/>
        <v>#DIV/0!</v>
      </c>
      <c r="AF53" s="112" t="e">
        <f t="shared" si="73"/>
        <v>#DIV/0!</v>
      </c>
      <c r="AG53" s="112" t="e">
        <f t="shared" si="74"/>
        <v>#DIV/0!</v>
      </c>
      <c r="AH53" s="112" t="e">
        <f t="shared" si="75"/>
        <v>#DIV/0!</v>
      </c>
      <c r="AI53" s="112" t="e">
        <f t="shared" si="76"/>
        <v>#DIV/0!</v>
      </c>
      <c r="AJ53" s="112" t="e">
        <f t="shared" si="77"/>
        <v>#DIV/0!</v>
      </c>
      <c r="AK53" s="112" t="e">
        <f t="shared" si="78"/>
        <v>#DIV/0!</v>
      </c>
      <c r="AL53" s="112" t="e">
        <f t="shared" si="79"/>
        <v>#DIV/0!</v>
      </c>
      <c r="AM53" s="112"/>
      <c r="AN53" s="129" t="e">
        <f>VLOOKUP($B53,'input gas_ethane'!$B$3:$Y$68,24,FALSE)*1000/'input vfa'!AC53</f>
        <v>#N/A</v>
      </c>
      <c r="AO53" s="129" t="e">
        <f>VLOOKUP($B53,'input gas_ethane'!$B$3:$Y$68,22,FALSE)*1000/'input vfa'!AC53</f>
        <v>#N/A</v>
      </c>
      <c r="AP53" s="129" t="e">
        <f t="shared" si="49"/>
        <v>#DIV/0!</v>
      </c>
      <c r="AQ53" s="129" t="e">
        <f t="shared" si="80"/>
        <v>#DIV/0!</v>
      </c>
      <c r="AR53" s="129">
        <f t="shared" si="81"/>
        <v>0</v>
      </c>
      <c r="AS53" s="129">
        <f t="shared" si="82"/>
        <v>0</v>
      </c>
      <c r="AT53" s="129" t="e">
        <f t="shared" si="83"/>
        <v>#DIV/0!</v>
      </c>
      <c r="AU53" s="127">
        <f>SUM(preparation_sheet_flasks!M53:P53)</f>
        <v>0</v>
      </c>
    </row>
    <row r="54" spans="1:47" ht="14.25" customHeight="1">
      <c r="A54" s="127">
        <f>technical_sheet_vfa!B55</f>
        <v>0</v>
      </c>
      <c r="B54" s="107">
        <f>technical_sheet_vfa!C55</f>
        <v>0</v>
      </c>
      <c r="C54" s="128"/>
      <c r="D54" s="128"/>
      <c r="E54" s="128"/>
      <c r="F54" s="128"/>
      <c r="G54" s="128"/>
      <c r="H54" s="128"/>
      <c r="I54" s="128"/>
      <c r="J54" s="128"/>
      <c r="K54" s="128">
        <v>25</v>
      </c>
      <c r="L54" s="128"/>
      <c r="M54" s="158">
        <f t="shared" si="56"/>
        <v>0</v>
      </c>
      <c r="N54" s="158">
        <f t="shared" si="57"/>
        <v>0</v>
      </c>
      <c r="O54" s="158">
        <f t="shared" si="58"/>
        <v>0</v>
      </c>
      <c r="P54" s="158">
        <f t="shared" si="59"/>
        <v>0</v>
      </c>
      <c r="Q54" s="158">
        <f t="shared" si="60"/>
        <v>0</v>
      </c>
      <c r="R54" s="158">
        <f t="shared" si="61"/>
        <v>0</v>
      </c>
      <c r="S54" s="158">
        <f t="shared" si="62"/>
        <v>0</v>
      </c>
      <c r="T54" s="158">
        <f t="shared" si="63"/>
        <v>0</v>
      </c>
      <c r="U54" s="128"/>
      <c r="V54" s="172">
        <f t="shared" si="64"/>
        <v>0</v>
      </c>
      <c r="W54" s="172">
        <f t="shared" si="65"/>
        <v>0</v>
      </c>
      <c r="X54" s="172">
        <f t="shared" si="66"/>
        <v>0</v>
      </c>
      <c r="Y54" s="172">
        <f t="shared" si="67"/>
        <v>0</v>
      </c>
      <c r="Z54" s="172">
        <f t="shared" si="68"/>
        <v>0</v>
      </c>
      <c r="AA54" s="172">
        <f t="shared" si="69"/>
        <v>0</v>
      </c>
      <c r="AB54" s="172">
        <f t="shared" si="70"/>
        <v>0</v>
      </c>
      <c r="AC54" s="172">
        <f t="shared" si="71"/>
        <v>0</v>
      </c>
      <c r="AD54" s="112"/>
      <c r="AE54" s="112" t="e">
        <f t="shared" si="72"/>
        <v>#DIV/0!</v>
      </c>
      <c r="AF54" s="112" t="e">
        <f t="shared" si="73"/>
        <v>#DIV/0!</v>
      </c>
      <c r="AG54" s="112" t="e">
        <f t="shared" si="74"/>
        <v>#DIV/0!</v>
      </c>
      <c r="AH54" s="112" t="e">
        <f t="shared" si="75"/>
        <v>#DIV/0!</v>
      </c>
      <c r="AI54" s="112" t="e">
        <f t="shared" si="76"/>
        <v>#DIV/0!</v>
      </c>
      <c r="AJ54" s="112" t="e">
        <f t="shared" si="77"/>
        <v>#DIV/0!</v>
      </c>
      <c r="AK54" s="112" t="e">
        <f t="shared" si="78"/>
        <v>#DIV/0!</v>
      </c>
      <c r="AL54" s="112" t="e">
        <f t="shared" si="79"/>
        <v>#DIV/0!</v>
      </c>
      <c r="AM54" s="112"/>
      <c r="AN54" s="129" t="e">
        <f>VLOOKUP($B54,'input gas_ethane'!$B$3:$Y$68,24,FALSE)*1000/'input vfa'!AC54</f>
        <v>#N/A</v>
      </c>
      <c r="AO54" s="129" t="e">
        <f>VLOOKUP($B54,'input gas_ethane'!$B$3:$Y$68,22,FALSE)*1000/'input vfa'!AC54</f>
        <v>#N/A</v>
      </c>
      <c r="AP54" s="129" t="e">
        <f t="shared" si="49"/>
        <v>#DIV/0!</v>
      </c>
      <c r="AQ54" s="129" t="e">
        <f t="shared" si="80"/>
        <v>#DIV/0!</v>
      </c>
      <c r="AR54" s="129">
        <f t="shared" si="81"/>
        <v>0</v>
      </c>
      <c r="AS54" s="129">
        <f t="shared" si="82"/>
        <v>0</v>
      </c>
      <c r="AT54" s="129" t="e">
        <f t="shared" si="83"/>
        <v>#DIV/0!</v>
      </c>
      <c r="AU54" s="127">
        <f>SUM(preparation_sheet_flasks!M54:P54)</f>
        <v>0</v>
      </c>
    </row>
    <row r="55" spans="1:47" ht="14.25" customHeight="1">
      <c r="A55" s="127">
        <f>technical_sheet_vfa!B56</f>
        <v>0</v>
      </c>
      <c r="B55" s="107">
        <f>technical_sheet_vfa!C56</f>
        <v>0</v>
      </c>
      <c r="C55" s="128"/>
      <c r="D55" s="128"/>
      <c r="E55" s="128"/>
      <c r="F55" s="128"/>
      <c r="G55" s="128"/>
      <c r="H55" s="128"/>
      <c r="I55" s="128"/>
      <c r="J55" s="128"/>
      <c r="K55" s="128">
        <v>25</v>
      </c>
      <c r="L55" s="128"/>
      <c r="M55" s="158">
        <f t="shared" si="56"/>
        <v>0</v>
      </c>
      <c r="N55" s="158">
        <f t="shared" si="57"/>
        <v>0</v>
      </c>
      <c r="O55" s="158">
        <f t="shared" si="58"/>
        <v>0</v>
      </c>
      <c r="P55" s="158">
        <f t="shared" si="59"/>
        <v>0</v>
      </c>
      <c r="Q55" s="158">
        <f t="shared" si="60"/>
        <v>0</v>
      </c>
      <c r="R55" s="158">
        <f t="shared" si="61"/>
        <v>0</v>
      </c>
      <c r="S55" s="158">
        <f t="shared" si="62"/>
        <v>0</v>
      </c>
      <c r="T55" s="158">
        <f t="shared" si="63"/>
        <v>0</v>
      </c>
      <c r="U55" s="128"/>
      <c r="V55" s="172">
        <f t="shared" si="64"/>
        <v>0</v>
      </c>
      <c r="W55" s="172">
        <f t="shared" si="65"/>
        <v>0</v>
      </c>
      <c r="X55" s="172">
        <f t="shared" si="66"/>
        <v>0</v>
      </c>
      <c r="Y55" s="172">
        <f t="shared" si="67"/>
        <v>0</v>
      </c>
      <c r="Z55" s="172">
        <f t="shared" si="68"/>
        <v>0</v>
      </c>
      <c r="AA55" s="172">
        <f t="shared" si="69"/>
        <v>0</v>
      </c>
      <c r="AB55" s="172">
        <f t="shared" si="70"/>
        <v>0</v>
      </c>
      <c r="AC55" s="172">
        <f t="shared" si="71"/>
        <v>0</v>
      </c>
      <c r="AD55" s="112"/>
      <c r="AE55" s="112" t="e">
        <f t="shared" si="72"/>
        <v>#DIV/0!</v>
      </c>
      <c r="AF55" s="112" t="e">
        <f t="shared" si="73"/>
        <v>#DIV/0!</v>
      </c>
      <c r="AG55" s="112" t="e">
        <f t="shared" si="74"/>
        <v>#DIV/0!</v>
      </c>
      <c r="AH55" s="112" t="e">
        <f t="shared" si="75"/>
        <v>#DIV/0!</v>
      </c>
      <c r="AI55" s="112" t="e">
        <f t="shared" si="76"/>
        <v>#DIV/0!</v>
      </c>
      <c r="AJ55" s="112" t="e">
        <f t="shared" si="77"/>
        <v>#DIV/0!</v>
      </c>
      <c r="AK55" s="112" t="e">
        <f t="shared" si="78"/>
        <v>#DIV/0!</v>
      </c>
      <c r="AL55" s="112" t="e">
        <f t="shared" si="79"/>
        <v>#DIV/0!</v>
      </c>
      <c r="AM55" s="112"/>
      <c r="AN55" s="129" t="e">
        <f>VLOOKUP($B55,'input gas_ethane'!$B$3:$Y$68,24,FALSE)*1000/'input vfa'!AC55</f>
        <v>#N/A</v>
      </c>
      <c r="AO55" s="129" t="e">
        <f>VLOOKUP($B55,'input gas_ethane'!$B$3:$Y$68,22,FALSE)*1000/'input vfa'!AC55</f>
        <v>#N/A</v>
      </c>
      <c r="AP55" s="129" t="e">
        <f t="shared" si="49"/>
        <v>#DIV/0!</v>
      </c>
      <c r="AQ55" s="129" t="e">
        <f t="shared" si="80"/>
        <v>#DIV/0!</v>
      </c>
      <c r="AR55" s="129">
        <f t="shared" si="81"/>
        <v>0</v>
      </c>
      <c r="AS55" s="129">
        <f t="shared" si="82"/>
        <v>0</v>
      </c>
      <c r="AT55" s="129" t="e">
        <f t="shared" si="83"/>
        <v>#DIV/0!</v>
      </c>
      <c r="AU55" s="127">
        <f>SUM(preparation_sheet_flasks!M55:P55)</f>
        <v>0</v>
      </c>
    </row>
    <row r="56" spans="1:47" ht="14.25" customHeight="1">
      <c r="A56" s="127">
        <f>technical_sheet_vfa!B57</f>
        <v>0</v>
      </c>
      <c r="B56" s="107">
        <f>technical_sheet_vfa!C57</f>
        <v>0</v>
      </c>
      <c r="C56" s="128"/>
      <c r="D56" s="128"/>
      <c r="E56" s="128"/>
      <c r="F56" s="128"/>
      <c r="G56" s="128"/>
      <c r="H56" s="128"/>
      <c r="I56" s="128"/>
      <c r="J56" s="128"/>
      <c r="K56" s="128">
        <v>25</v>
      </c>
      <c r="L56" s="128"/>
      <c r="M56" s="158">
        <f t="shared" si="56"/>
        <v>0</v>
      </c>
      <c r="N56" s="158">
        <f t="shared" si="57"/>
        <v>0</v>
      </c>
      <c r="O56" s="158">
        <f t="shared" si="58"/>
        <v>0</v>
      </c>
      <c r="P56" s="158">
        <f t="shared" si="59"/>
        <v>0</v>
      </c>
      <c r="Q56" s="158">
        <f t="shared" si="60"/>
        <v>0</v>
      </c>
      <c r="R56" s="158">
        <f t="shared" si="61"/>
        <v>0</v>
      </c>
      <c r="S56" s="158">
        <f t="shared" si="62"/>
        <v>0</v>
      </c>
      <c r="T56" s="158">
        <f t="shared" si="63"/>
        <v>0</v>
      </c>
      <c r="U56" s="128"/>
      <c r="V56" s="172">
        <f t="shared" si="64"/>
        <v>0</v>
      </c>
      <c r="W56" s="172">
        <f t="shared" si="65"/>
        <v>0</v>
      </c>
      <c r="X56" s="172">
        <f t="shared" si="66"/>
        <v>0</v>
      </c>
      <c r="Y56" s="172">
        <f t="shared" si="67"/>
        <v>0</v>
      </c>
      <c r="Z56" s="172">
        <f t="shared" si="68"/>
        <v>0</v>
      </c>
      <c r="AA56" s="172">
        <f t="shared" si="69"/>
        <v>0</v>
      </c>
      <c r="AB56" s="172">
        <f t="shared" si="70"/>
        <v>0</v>
      </c>
      <c r="AC56" s="172">
        <f t="shared" si="71"/>
        <v>0</v>
      </c>
      <c r="AD56" s="112"/>
      <c r="AE56" s="112" t="e">
        <f t="shared" si="72"/>
        <v>#DIV/0!</v>
      </c>
      <c r="AF56" s="112" t="e">
        <f t="shared" si="73"/>
        <v>#DIV/0!</v>
      </c>
      <c r="AG56" s="112" t="e">
        <f t="shared" si="74"/>
        <v>#DIV/0!</v>
      </c>
      <c r="AH56" s="112" t="e">
        <f t="shared" si="75"/>
        <v>#DIV/0!</v>
      </c>
      <c r="AI56" s="112" t="e">
        <f t="shared" si="76"/>
        <v>#DIV/0!</v>
      </c>
      <c r="AJ56" s="112" t="e">
        <f t="shared" si="77"/>
        <v>#DIV/0!</v>
      </c>
      <c r="AK56" s="112" t="e">
        <f t="shared" si="78"/>
        <v>#DIV/0!</v>
      </c>
      <c r="AL56" s="112" t="e">
        <f t="shared" si="79"/>
        <v>#DIV/0!</v>
      </c>
      <c r="AM56" s="112"/>
      <c r="AN56" s="129" t="e">
        <f>VLOOKUP($B56,'input gas_ethane'!$B$3:$Y$68,24,FALSE)*1000/'input vfa'!AC56</f>
        <v>#N/A</v>
      </c>
      <c r="AO56" s="129" t="e">
        <f>VLOOKUP($B56,'input gas_ethane'!$B$3:$Y$68,22,FALSE)*1000/'input vfa'!AC56</f>
        <v>#N/A</v>
      </c>
      <c r="AP56" s="129" t="e">
        <f t="shared" si="49"/>
        <v>#DIV/0!</v>
      </c>
      <c r="AQ56" s="129" t="e">
        <f t="shared" si="80"/>
        <v>#DIV/0!</v>
      </c>
      <c r="AR56" s="129">
        <f t="shared" si="81"/>
        <v>0</v>
      </c>
      <c r="AS56" s="129">
        <f t="shared" si="82"/>
        <v>0</v>
      </c>
      <c r="AT56" s="129" t="e">
        <f t="shared" si="83"/>
        <v>#DIV/0!</v>
      </c>
      <c r="AU56" s="127">
        <f>SUM(preparation_sheet_flasks!M56:P56)</f>
        <v>0</v>
      </c>
    </row>
    <row r="57" spans="1:47" ht="14.25" customHeight="1">
      <c r="A57" s="127">
        <f>technical_sheet_vfa!B58</f>
        <v>0</v>
      </c>
      <c r="B57" s="107">
        <f>technical_sheet_vfa!C58</f>
        <v>0</v>
      </c>
      <c r="C57" s="128"/>
      <c r="D57" s="128"/>
      <c r="E57" s="128"/>
      <c r="F57" s="128"/>
      <c r="G57" s="128"/>
      <c r="H57" s="128"/>
      <c r="I57" s="128"/>
      <c r="J57" s="128"/>
      <c r="K57" s="128">
        <v>25</v>
      </c>
      <c r="L57" s="128"/>
      <c r="M57" s="158">
        <f t="shared" si="56"/>
        <v>0</v>
      </c>
      <c r="N57" s="158">
        <f t="shared" si="57"/>
        <v>0</v>
      </c>
      <c r="O57" s="158">
        <f t="shared" si="58"/>
        <v>0</v>
      </c>
      <c r="P57" s="158">
        <f t="shared" si="59"/>
        <v>0</v>
      </c>
      <c r="Q57" s="158">
        <f t="shared" si="60"/>
        <v>0</v>
      </c>
      <c r="R57" s="158">
        <f t="shared" si="61"/>
        <v>0</v>
      </c>
      <c r="S57" s="158">
        <f t="shared" si="62"/>
        <v>0</v>
      </c>
      <c r="T57" s="158">
        <f t="shared" si="63"/>
        <v>0</v>
      </c>
      <c r="U57" s="128"/>
      <c r="V57" s="172">
        <f t="shared" si="64"/>
        <v>0</v>
      </c>
      <c r="W57" s="172">
        <f t="shared" si="65"/>
        <v>0</v>
      </c>
      <c r="X57" s="172">
        <f t="shared" si="66"/>
        <v>0</v>
      </c>
      <c r="Y57" s="172">
        <f t="shared" si="67"/>
        <v>0</v>
      </c>
      <c r="Z57" s="172">
        <f t="shared" si="68"/>
        <v>0</v>
      </c>
      <c r="AA57" s="172">
        <f t="shared" si="69"/>
        <v>0</v>
      </c>
      <c r="AB57" s="172">
        <f t="shared" si="70"/>
        <v>0</v>
      </c>
      <c r="AC57" s="172">
        <f t="shared" si="71"/>
        <v>0</v>
      </c>
      <c r="AD57" s="112"/>
      <c r="AE57" s="112" t="e">
        <f t="shared" si="72"/>
        <v>#DIV/0!</v>
      </c>
      <c r="AF57" s="112" t="e">
        <f t="shared" si="73"/>
        <v>#DIV/0!</v>
      </c>
      <c r="AG57" s="112" t="e">
        <f t="shared" si="74"/>
        <v>#DIV/0!</v>
      </c>
      <c r="AH57" s="112" t="e">
        <f t="shared" si="75"/>
        <v>#DIV/0!</v>
      </c>
      <c r="AI57" s="112" t="e">
        <f t="shared" si="76"/>
        <v>#DIV/0!</v>
      </c>
      <c r="AJ57" s="112" t="e">
        <f t="shared" si="77"/>
        <v>#DIV/0!</v>
      </c>
      <c r="AK57" s="112" t="e">
        <f t="shared" si="78"/>
        <v>#DIV/0!</v>
      </c>
      <c r="AL57" s="112" t="e">
        <f t="shared" si="79"/>
        <v>#DIV/0!</v>
      </c>
      <c r="AM57" s="112"/>
      <c r="AN57" s="129" t="e">
        <f>VLOOKUP($B57,'input gas_ethane'!$B$3:$Y$68,24,FALSE)*1000/'input vfa'!AC57</f>
        <v>#N/A</v>
      </c>
      <c r="AO57" s="129" t="e">
        <f>VLOOKUP($B57,'input gas_ethane'!$B$3:$Y$68,22,FALSE)*1000/'input vfa'!AC57</f>
        <v>#N/A</v>
      </c>
      <c r="AP57" s="129" t="e">
        <f t="shared" si="49"/>
        <v>#DIV/0!</v>
      </c>
      <c r="AQ57" s="129" t="e">
        <f t="shared" si="80"/>
        <v>#DIV/0!</v>
      </c>
      <c r="AR57" s="129">
        <f t="shared" si="81"/>
        <v>0</v>
      </c>
      <c r="AS57" s="129">
        <f t="shared" si="82"/>
        <v>0</v>
      </c>
      <c r="AT57" s="129" t="e">
        <f t="shared" si="83"/>
        <v>#DIV/0!</v>
      </c>
      <c r="AU57" s="127">
        <f>SUM(preparation_sheet_flasks!M57:P57)</f>
        <v>0</v>
      </c>
    </row>
    <row r="58" spans="1:47" ht="14.25" customHeight="1">
      <c r="A58" s="127">
        <f>technical_sheet_vfa!B59</f>
        <v>0</v>
      </c>
      <c r="B58" s="107">
        <f>technical_sheet_vfa!C59</f>
        <v>0</v>
      </c>
      <c r="C58" s="128"/>
      <c r="D58" s="128"/>
      <c r="E58" s="128"/>
      <c r="F58" s="128"/>
      <c r="G58" s="128"/>
      <c r="H58" s="128"/>
      <c r="I58" s="128"/>
      <c r="J58" s="128"/>
      <c r="K58" s="128">
        <v>25</v>
      </c>
      <c r="L58" s="128"/>
      <c r="M58" s="158">
        <f t="shared" si="56"/>
        <v>0</v>
      </c>
      <c r="N58" s="158">
        <f t="shared" si="57"/>
        <v>0</v>
      </c>
      <c r="O58" s="158">
        <f t="shared" si="58"/>
        <v>0</v>
      </c>
      <c r="P58" s="158">
        <f t="shared" si="59"/>
        <v>0</v>
      </c>
      <c r="Q58" s="158">
        <f t="shared" si="60"/>
        <v>0</v>
      </c>
      <c r="R58" s="158">
        <f t="shared" si="61"/>
        <v>0</v>
      </c>
      <c r="S58" s="158">
        <f t="shared" si="62"/>
        <v>0</v>
      </c>
      <c r="T58" s="158">
        <f t="shared" si="63"/>
        <v>0</v>
      </c>
      <c r="U58" s="128"/>
      <c r="V58" s="172">
        <f t="shared" si="64"/>
        <v>0</v>
      </c>
      <c r="W58" s="172">
        <f t="shared" si="65"/>
        <v>0</v>
      </c>
      <c r="X58" s="172">
        <f t="shared" si="66"/>
        <v>0</v>
      </c>
      <c r="Y58" s="172">
        <f t="shared" si="67"/>
        <v>0</v>
      </c>
      <c r="Z58" s="172">
        <f t="shared" si="68"/>
        <v>0</v>
      </c>
      <c r="AA58" s="172">
        <f t="shared" si="69"/>
        <v>0</v>
      </c>
      <c r="AB58" s="172">
        <f t="shared" si="70"/>
        <v>0</v>
      </c>
      <c r="AC58" s="172">
        <f t="shared" si="71"/>
        <v>0</v>
      </c>
      <c r="AD58" s="112"/>
      <c r="AE58" s="112" t="e">
        <f t="shared" si="72"/>
        <v>#DIV/0!</v>
      </c>
      <c r="AF58" s="112" t="e">
        <f t="shared" si="73"/>
        <v>#DIV/0!</v>
      </c>
      <c r="AG58" s="112" t="e">
        <f t="shared" si="74"/>
        <v>#DIV/0!</v>
      </c>
      <c r="AH58" s="112" t="e">
        <f t="shared" si="75"/>
        <v>#DIV/0!</v>
      </c>
      <c r="AI58" s="112" t="e">
        <f t="shared" si="76"/>
        <v>#DIV/0!</v>
      </c>
      <c r="AJ58" s="112" t="e">
        <f t="shared" si="77"/>
        <v>#DIV/0!</v>
      </c>
      <c r="AK58" s="112" t="e">
        <f t="shared" si="78"/>
        <v>#DIV/0!</v>
      </c>
      <c r="AL58" s="112" t="e">
        <f t="shared" si="79"/>
        <v>#DIV/0!</v>
      </c>
      <c r="AM58" s="112"/>
      <c r="AN58" s="129" t="e">
        <f>VLOOKUP($B58,'input gas_ethane'!$B$3:$Y$68,24,FALSE)*1000/'input vfa'!AC58</f>
        <v>#N/A</v>
      </c>
      <c r="AO58" s="129" t="e">
        <f>VLOOKUP($B58,'input gas_ethane'!$B$3:$Y$68,22,FALSE)*1000/'input vfa'!AC58</f>
        <v>#N/A</v>
      </c>
      <c r="AP58" s="129" t="e">
        <f t="shared" si="49"/>
        <v>#DIV/0!</v>
      </c>
      <c r="AQ58" s="129" t="e">
        <f t="shared" si="80"/>
        <v>#DIV/0!</v>
      </c>
      <c r="AR58" s="129">
        <f t="shared" si="81"/>
        <v>0</v>
      </c>
      <c r="AS58" s="129">
        <f t="shared" si="82"/>
        <v>0</v>
      </c>
      <c r="AT58" s="129" t="e">
        <f t="shared" si="83"/>
        <v>#DIV/0!</v>
      </c>
      <c r="AU58" s="127">
        <f>SUM(preparation_sheet_flasks!M58:P58)</f>
        <v>0</v>
      </c>
    </row>
    <row r="59" spans="1:47" ht="14.25" customHeight="1">
      <c r="A59" s="127">
        <f>technical_sheet_vfa!B60</f>
        <v>0</v>
      </c>
      <c r="B59" s="107">
        <f>technical_sheet_vfa!C60</f>
        <v>0</v>
      </c>
      <c r="C59" s="128"/>
      <c r="D59" s="128"/>
      <c r="E59" s="128"/>
      <c r="F59" s="128"/>
      <c r="G59" s="128"/>
      <c r="H59" s="128"/>
      <c r="I59" s="128"/>
      <c r="J59" s="128"/>
      <c r="K59" s="128">
        <v>25</v>
      </c>
      <c r="L59" s="128"/>
      <c r="M59" s="158">
        <f t="shared" si="56"/>
        <v>0</v>
      </c>
      <c r="N59" s="158">
        <f t="shared" si="57"/>
        <v>0</v>
      </c>
      <c r="O59" s="158">
        <f t="shared" si="58"/>
        <v>0</v>
      </c>
      <c r="P59" s="158">
        <f t="shared" si="59"/>
        <v>0</v>
      </c>
      <c r="Q59" s="158">
        <f t="shared" si="60"/>
        <v>0</v>
      </c>
      <c r="R59" s="158">
        <f t="shared" si="61"/>
        <v>0</v>
      </c>
      <c r="S59" s="158">
        <f t="shared" si="62"/>
        <v>0</v>
      </c>
      <c r="T59" s="158">
        <f t="shared" si="63"/>
        <v>0</v>
      </c>
      <c r="U59" s="128"/>
      <c r="V59" s="172">
        <f t="shared" si="64"/>
        <v>0</v>
      </c>
      <c r="W59" s="172">
        <f t="shared" si="65"/>
        <v>0</v>
      </c>
      <c r="X59" s="172">
        <f t="shared" si="66"/>
        <v>0</v>
      </c>
      <c r="Y59" s="172">
        <f t="shared" si="67"/>
        <v>0</v>
      </c>
      <c r="Z59" s="172">
        <f t="shared" si="68"/>
        <v>0</v>
      </c>
      <c r="AA59" s="172">
        <f t="shared" si="69"/>
        <v>0</v>
      </c>
      <c r="AB59" s="172">
        <f t="shared" si="70"/>
        <v>0</v>
      </c>
      <c r="AC59" s="172">
        <f t="shared" si="71"/>
        <v>0</v>
      </c>
      <c r="AD59" s="112"/>
      <c r="AE59" s="112" t="e">
        <f t="shared" si="72"/>
        <v>#DIV/0!</v>
      </c>
      <c r="AF59" s="112" t="e">
        <f t="shared" si="73"/>
        <v>#DIV/0!</v>
      </c>
      <c r="AG59" s="112" t="e">
        <f t="shared" si="74"/>
        <v>#DIV/0!</v>
      </c>
      <c r="AH59" s="112" t="e">
        <f t="shared" si="75"/>
        <v>#DIV/0!</v>
      </c>
      <c r="AI59" s="112" t="e">
        <f t="shared" si="76"/>
        <v>#DIV/0!</v>
      </c>
      <c r="AJ59" s="112" t="e">
        <f t="shared" si="77"/>
        <v>#DIV/0!</v>
      </c>
      <c r="AK59" s="112" t="e">
        <f t="shared" si="78"/>
        <v>#DIV/0!</v>
      </c>
      <c r="AL59" s="112" t="e">
        <f t="shared" si="79"/>
        <v>#DIV/0!</v>
      </c>
      <c r="AM59" s="112"/>
      <c r="AN59" s="129" t="e">
        <f>VLOOKUP($B59,'input gas_ethane'!$B$3:$Y$68,24,FALSE)*1000/'input vfa'!AC59</f>
        <v>#N/A</v>
      </c>
      <c r="AO59" s="129" t="e">
        <f>VLOOKUP($B59,'input gas_ethane'!$B$3:$Y$68,22,FALSE)*1000/'input vfa'!AC59</f>
        <v>#N/A</v>
      </c>
      <c r="AP59" s="129" t="e">
        <f t="shared" si="49"/>
        <v>#DIV/0!</v>
      </c>
      <c r="AQ59" s="129" t="e">
        <f t="shared" si="80"/>
        <v>#DIV/0!</v>
      </c>
      <c r="AR59" s="129">
        <f t="shared" si="81"/>
        <v>0</v>
      </c>
      <c r="AS59" s="129">
        <f t="shared" si="82"/>
        <v>0</v>
      </c>
      <c r="AT59" s="129" t="e">
        <f t="shared" si="83"/>
        <v>#DIV/0!</v>
      </c>
      <c r="AU59" s="127">
        <f>SUM(preparation_sheet_flasks!M59:P59)</f>
        <v>0</v>
      </c>
    </row>
    <row r="60" spans="1:47" ht="14.25" customHeight="1">
      <c r="A60" s="127">
        <f>technical_sheet_vfa!B61</f>
        <v>0</v>
      </c>
      <c r="B60" s="107">
        <f>technical_sheet_vfa!C61</f>
        <v>0</v>
      </c>
      <c r="C60" s="128"/>
      <c r="D60" s="128"/>
      <c r="E60" s="128"/>
      <c r="F60" s="128"/>
      <c r="G60" s="128"/>
      <c r="H60" s="128"/>
      <c r="I60" s="128"/>
      <c r="J60" s="128"/>
      <c r="K60" s="128">
        <v>25</v>
      </c>
      <c r="L60" s="128"/>
      <c r="M60" s="158">
        <f t="shared" si="56"/>
        <v>0</v>
      </c>
      <c r="N60" s="158">
        <f t="shared" si="57"/>
        <v>0</v>
      </c>
      <c r="O60" s="158">
        <f t="shared" si="58"/>
        <v>0</v>
      </c>
      <c r="P60" s="158">
        <f t="shared" si="59"/>
        <v>0</v>
      </c>
      <c r="Q60" s="158">
        <f t="shared" si="60"/>
        <v>0</v>
      </c>
      <c r="R60" s="158">
        <f t="shared" si="61"/>
        <v>0</v>
      </c>
      <c r="S60" s="158">
        <f t="shared" si="62"/>
        <v>0</v>
      </c>
      <c r="T60" s="158">
        <f t="shared" si="63"/>
        <v>0</v>
      </c>
      <c r="U60" s="128"/>
      <c r="V60" s="172">
        <f t="shared" si="64"/>
        <v>0</v>
      </c>
      <c r="W60" s="172">
        <f t="shared" si="65"/>
        <v>0</v>
      </c>
      <c r="X60" s="172">
        <f t="shared" si="66"/>
        <v>0</v>
      </c>
      <c r="Y60" s="172">
        <f t="shared" si="67"/>
        <v>0</v>
      </c>
      <c r="Z60" s="172">
        <f t="shared" si="68"/>
        <v>0</v>
      </c>
      <c r="AA60" s="172">
        <f t="shared" si="69"/>
        <v>0</v>
      </c>
      <c r="AB60" s="172">
        <f t="shared" si="70"/>
        <v>0</v>
      </c>
      <c r="AC60" s="172">
        <f t="shared" si="71"/>
        <v>0</v>
      </c>
      <c r="AD60" s="112"/>
      <c r="AE60" s="112" t="e">
        <f t="shared" si="72"/>
        <v>#DIV/0!</v>
      </c>
      <c r="AF60" s="112" t="e">
        <f t="shared" si="73"/>
        <v>#DIV/0!</v>
      </c>
      <c r="AG60" s="112" t="e">
        <f t="shared" si="74"/>
        <v>#DIV/0!</v>
      </c>
      <c r="AH60" s="112" t="e">
        <f t="shared" si="75"/>
        <v>#DIV/0!</v>
      </c>
      <c r="AI60" s="112" t="e">
        <f t="shared" si="76"/>
        <v>#DIV/0!</v>
      </c>
      <c r="AJ60" s="112" t="e">
        <f t="shared" si="77"/>
        <v>#DIV/0!</v>
      </c>
      <c r="AK60" s="112" t="e">
        <f t="shared" si="78"/>
        <v>#DIV/0!</v>
      </c>
      <c r="AL60" s="112" t="e">
        <f t="shared" si="79"/>
        <v>#DIV/0!</v>
      </c>
      <c r="AM60" s="112"/>
      <c r="AN60" s="129" t="e">
        <f>VLOOKUP($B60,'input gas_ethane'!$B$3:$Y$68,24,FALSE)*1000/'input vfa'!AC60</f>
        <v>#N/A</v>
      </c>
      <c r="AO60" s="129" t="e">
        <f>VLOOKUP($B60,'input gas_ethane'!$B$3:$Y$68,22,FALSE)*1000/'input vfa'!AC60</f>
        <v>#N/A</v>
      </c>
      <c r="AP60" s="129" t="e">
        <f t="shared" si="49"/>
        <v>#DIV/0!</v>
      </c>
      <c r="AQ60" s="129" t="e">
        <f t="shared" si="80"/>
        <v>#DIV/0!</v>
      </c>
      <c r="AR60" s="129">
        <f t="shared" si="81"/>
        <v>0</v>
      </c>
      <c r="AS60" s="129">
        <f t="shared" si="82"/>
        <v>0</v>
      </c>
      <c r="AT60" s="129" t="e">
        <f t="shared" si="83"/>
        <v>#DIV/0!</v>
      </c>
      <c r="AU60" s="127">
        <f>SUM(preparation_sheet_flasks!M60:P60)</f>
        <v>0</v>
      </c>
    </row>
    <row r="61" spans="1:47" ht="14.25" customHeight="1" thickBot="1">
      <c r="A61" s="368">
        <f>technical_sheet_vfa!B62</f>
        <v>0</v>
      </c>
      <c r="B61" s="248">
        <f>technical_sheet_vfa!C62</f>
        <v>0</v>
      </c>
      <c r="C61" s="369"/>
      <c r="D61" s="369"/>
      <c r="E61" s="369"/>
      <c r="F61" s="369"/>
      <c r="G61" s="369"/>
      <c r="H61" s="369"/>
      <c r="I61" s="369"/>
      <c r="J61" s="369"/>
      <c r="K61" s="369">
        <v>25</v>
      </c>
      <c r="L61" s="369"/>
      <c r="M61" s="370">
        <f t="shared" si="56"/>
        <v>0</v>
      </c>
      <c r="N61" s="370">
        <f t="shared" si="57"/>
        <v>0</v>
      </c>
      <c r="O61" s="370">
        <f t="shared" si="58"/>
        <v>0</v>
      </c>
      <c r="P61" s="370">
        <f t="shared" si="59"/>
        <v>0</v>
      </c>
      <c r="Q61" s="370">
        <f t="shared" si="60"/>
        <v>0</v>
      </c>
      <c r="R61" s="370">
        <f t="shared" si="61"/>
        <v>0</v>
      </c>
      <c r="S61" s="370">
        <f t="shared" si="62"/>
        <v>0</v>
      </c>
      <c r="T61" s="370">
        <f t="shared" si="63"/>
        <v>0</v>
      </c>
      <c r="U61" s="369"/>
      <c r="V61" s="371">
        <f t="shared" si="64"/>
        <v>0</v>
      </c>
      <c r="W61" s="371">
        <f t="shared" si="65"/>
        <v>0</v>
      </c>
      <c r="X61" s="371">
        <f t="shared" si="66"/>
        <v>0</v>
      </c>
      <c r="Y61" s="371">
        <f t="shared" si="67"/>
        <v>0</v>
      </c>
      <c r="Z61" s="371">
        <f t="shared" si="68"/>
        <v>0</v>
      </c>
      <c r="AA61" s="371">
        <f t="shared" si="69"/>
        <v>0</v>
      </c>
      <c r="AB61" s="371">
        <f t="shared" si="70"/>
        <v>0</v>
      </c>
      <c r="AC61" s="371">
        <f t="shared" si="71"/>
        <v>0</v>
      </c>
      <c r="AD61" s="253"/>
      <c r="AE61" s="253" t="e">
        <f t="shared" si="72"/>
        <v>#DIV/0!</v>
      </c>
      <c r="AF61" s="253" t="e">
        <f t="shared" si="73"/>
        <v>#DIV/0!</v>
      </c>
      <c r="AG61" s="253" t="e">
        <f t="shared" si="74"/>
        <v>#DIV/0!</v>
      </c>
      <c r="AH61" s="253" t="e">
        <f t="shared" si="75"/>
        <v>#DIV/0!</v>
      </c>
      <c r="AI61" s="253" t="e">
        <f t="shared" si="76"/>
        <v>#DIV/0!</v>
      </c>
      <c r="AJ61" s="253" t="e">
        <f t="shared" si="77"/>
        <v>#DIV/0!</v>
      </c>
      <c r="AK61" s="253" t="e">
        <f t="shared" si="78"/>
        <v>#DIV/0!</v>
      </c>
      <c r="AL61" s="253" t="e">
        <f t="shared" si="79"/>
        <v>#DIV/0!</v>
      </c>
      <c r="AM61" s="253"/>
      <c r="AN61" s="372" t="e">
        <f>VLOOKUP($B61,'input gas_ethane'!$B$3:$Y$68,24,FALSE)*1000/'input vfa'!AC61</f>
        <v>#N/A</v>
      </c>
      <c r="AO61" s="372" t="e">
        <f>VLOOKUP($B61,'input gas_ethane'!$B$3:$Y$68,22,FALSE)*1000/'input vfa'!AC61</f>
        <v>#N/A</v>
      </c>
      <c r="AP61" s="372" t="e">
        <f t="shared" si="49"/>
        <v>#DIV/0!</v>
      </c>
      <c r="AQ61" s="372" t="e">
        <f t="shared" si="80"/>
        <v>#DIV/0!</v>
      </c>
      <c r="AR61" s="372">
        <f t="shared" si="81"/>
        <v>0</v>
      </c>
      <c r="AS61" s="372">
        <f t="shared" si="82"/>
        <v>0</v>
      </c>
      <c r="AT61" s="372" t="e">
        <f t="shared" si="83"/>
        <v>#DIV/0!</v>
      </c>
      <c r="AU61" s="368">
        <f>SUM(preparation_sheet_flasks!M61:P61)</f>
        <v>0</v>
      </c>
    </row>
    <row r="62" spans="1:47" ht="14.25" customHeight="1" thickTop="1">
      <c r="A62" s="363">
        <f>technical_sheet_vfa!B63</f>
        <v>0</v>
      </c>
      <c r="B62" s="356">
        <f>technical_sheet_vfa!C63</f>
        <v>0</v>
      </c>
      <c r="C62" s="364"/>
      <c r="D62" s="364"/>
      <c r="E62" s="364"/>
      <c r="F62" s="364"/>
      <c r="G62" s="364"/>
      <c r="H62" s="364"/>
      <c r="I62" s="364"/>
      <c r="J62" s="364"/>
      <c r="K62" s="364">
        <v>25</v>
      </c>
      <c r="L62" s="364"/>
      <c r="M62" s="365">
        <f t="shared" si="56"/>
        <v>0</v>
      </c>
      <c r="N62" s="365">
        <f t="shared" si="57"/>
        <v>0</v>
      </c>
      <c r="O62" s="365">
        <f t="shared" si="58"/>
        <v>0</v>
      </c>
      <c r="P62" s="365">
        <f t="shared" si="59"/>
        <v>0</v>
      </c>
      <c r="Q62" s="365">
        <f t="shared" si="60"/>
        <v>0</v>
      </c>
      <c r="R62" s="365">
        <f t="shared" si="61"/>
        <v>0</v>
      </c>
      <c r="S62" s="365">
        <f t="shared" si="62"/>
        <v>0</v>
      </c>
      <c r="T62" s="365">
        <f t="shared" si="63"/>
        <v>0</v>
      </c>
      <c r="U62" s="364"/>
      <c r="V62" s="366">
        <f t="shared" si="64"/>
        <v>0</v>
      </c>
      <c r="W62" s="366">
        <f t="shared" si="65"/>
        <v>0</v>
      </c>
      <c r="X62" s="366">
        <f t="shared" si="66"/>
        <v>0</v>
      </c>
      <c r="Y62" s="366">
        <f t="shared" si="67"/>
        <v>0</v>
      </c>
      <c r="Z62" s="366">
        <f t="shared" si="68"/>
        <v>0</v>
      </c>
      <c r="AA62" s="366">
        <f t="shared" si="69"/>
        <v>0</v>
      </c>
      <c r="AB62" s="366">
        <f t="shared" si="70"/>
        <v>0</v>
      </c>
      <c r="AC62" s="366">
        <f t="shared" si="71"/>
        <v>0</v>
      </c>
      <c r="AD62" s="361"/>
      <c r="AE62" s="361" t="e">
        <f t="shared" si="72"/>
        <v>#DIV/0!</v>
      </c>
      <c r="AF62" s="361" t="e">
        <f t="shared" si="73"/>
        <v>#DIV/0!</v>
      </c>
      <c r="AG62" s="361" t="e">
        <f t="shared" si="74"/>
        <v>#DIV/0!</v>
      </c>
      <c r="AH62" s="361" t="e">
        <f t="shared" si="75"/>
        <v>#DIV/0!</v>
      </c>
      <c r="AI62" s="361" t="e">
        <f t="shared" si="76"/>
        <v>#DIV/0!</v>
      </c>
      <c r="AJ62" s="361" t="e">
        <f t="shared" si="77"/>
        <v>#DIV/0!</v>
      </c>
      <c r="AK62" s="361" t="e">
        <f t="shared" si="78"/>
        <v>#DIV/0!</v>
      </c>
      <c r="AL62" s="361" t="e">
        <f t="shared" si="79"/>
        <v>#DIV/0!</v>
      </c>
      <c r="AM62" s="361"/>
      <c r="AN62" s="367" t="e">
        <f>VLOOKUP($B62,'input gas_ethane'!$B$3:$Y$68,24,FALSE)*1000/'input vfa'!AC62</f>
        <v>#N/A</v>
      </c>
      <c r="AO62" s="367" t="e">
        <f>VLOOKUP($B62,'input gas_ethane'!$B$3:$Y$68,22,FALSE)*1000/'input vfa'!AC62</f>
        <v>#N/A</v>
      </c>
      <c r="AP62" s="367" t="e">
        <f t="shared" si="49"/>
        <v>#DIV/0!</v>
      </c>
      <c r="AQ62" s="367" t="e">
        <f t="shared" si="80"/>
        <v>#DIV/0!</v>
      </c>
      <c r="AR62" s="367">
        <f t="shared" si="81"/>
        <v>0</v>
      </c>
      <c r="AS62" s="367">
        <f t="shared" si="82"/>
        <v>0</v>
      </c>
      <c r="AT62" s="367" t="e">
        <f t="shared" si="83"/>
        <v>#DIV/0!</v>
      </c>
      <c r="AU62" s="363">
        <f>SUM(preparation_sheet_flasks!M62:P62)</f>
        <v>0</v>
      </c>
    </row>
    <row r="63" spans="1:47" ht="14.25" customHeight="1">
      <c r="A63" s="127">
        <f>technical_sheet_vfa!B64</f>
        <v>0</v>
      </c>
      <c r="B63" s="107">
        <f>technical_sheet_vfa!C64</f>
        <v>0</v>
      </c>
      <c r="C63" s="128"/>
      <c r="D63" s="128"/>
      <c r="E63" s="128"/>
      <c r="F63" s="128"/>
      <c r="G63" s="128"/>
      <c r="H63" s="128"/>
      <c r="I63" s="128"/>
      <c r="J63" s="128"/>
      <c r="K63" s="128">
        <v>25</v>
      </c>
      <c r="L63" s="128"/>
      <c r="M63" s="158">
        <f t="shared" si="56"/>
        <v>0</v>
      </c>
      <c r="N63" s="158">
        <f t="shared" si="57"/>
        <v>0</v>
      </c>
      <c r="O63" s="158">
        <f t="shared" si="58"/>
        <v>0</v>
      </c>
      <c r="P63" s="158">
        <f t="shared" si="59"/>
        <v>0</v>
      </c>
      <c r="Q63" s="158">
        <f t="shared" si="60"/>
        <v>0</v>
      </c>
      <c r="R63" s="158">
        <f t="shared" si="61"/>
        <v>0</v>
      </c>
      <c r="S63" s="158">
        <f t="shared" si="62"/>
        <v>0</v>
      </c>
      <c r="T63" s="158">
        <f t="shared" si="63"/>
        <v>0</v>
      </c>
      <c r="U63" s="128"/>
      <c r="V63" s="172">
        <f t="shared" si="64"/>
        <v>0</v>
      </c>
      <c r="W63" s="172">
        <f t="shared" si="65"/>
        <v>0</v>
      </c>
      <c r="X63" s="172">
        <f t="shared" si="66"/>
        <v>0</v>
      </c>
      <c r="Y63" s="172">
        <f t="shared" si="67"/>
        <v>0</v>
      </c>
      <c r="Z63" s="172">
        <f t="shared" si="68"/>
        <v>0</v>
      </c>
      <c r="AA63" s="172">
        <f t="shared" si="69"/>
        <v>0</v>
      </c>
      <c r="AB63" s="172">
        <f t="shared" si="70"/>
        <v>0</v>
      </c>
      <c r="AC63" s="172">
        <f t="shared" si="71"/>
        <v>0</v>
      </c>
      <c r="AD63" s="112"/>
      <c r="AE63" s="112" t="e">
        <f t="shared" si="72"/>
        <v>#DIV/0!</v>
      </c>
      <c r="AF63" s="112" t="e">
        <f t="shared" si="73"/>
        <v>#DIV/0!</v>
      </c>
      <c r="AG63" s="112" t="e">
        <f t="shared" si="74"/>
        <v>#DIV/0!</v>
      </c>
      <c r="AH63" s="112" t="e">
        <f t="shared" si="75"/>
        <v>#DIV/0!</v>
      </c>
      <c r="AI63" s="112" t="e">
        <f t="shared" si="76"/>
        <v>#DIV/0!</v>
      </c>
      <c r="AJ63" s="112" t="e">
        <f t="shared" si="77"/>
        <v>#DIV/0!</v>
      </c>
      <c r="AK63" s="112" t="e">
        <f t="shared" si="78"/>
        <v>#DIV/0!</v>
      </c>
      <c r="AL63" s="112" t="e">
        <f t="shared" si="79"/>
        <v>#DIV/0!</v>
      </c>
      <c r="AM63" s="112"/>
      <c r="AN63" s="129" t="e">
        <f>VLOOKUP($B63,'input gas_ethane'!$B$3:$Y$68,24,FALSE)*1000/'input vfa'!AC63</f>
        <v>#N/A</v>
      </c>
      <c r="AO63" s="129" t="e">
        <f>VLOOKUP($B63,'input gas_ethane'!$B$3:$Y$68,22,FALSE)*1000/'input vfa'!AC63</f>
        <v>#N/A</v>
      </c>
      <c r="AP63" s="129" t="e">
        <f t="shared" si="49"/>
        <v>#DIV/0!</v>
      </c>
      <c r="AQ63" s="129" t="e">
        <f t="shared" si="80"/>
        <v>#DIV/0!</v>
      </c>
      <c r="AR63" s="129">
        <f t="shared" si="81"/>
        <v>0</v>
      </c>
      <c r="AS63" s="129">
        <f t="shared" si="82"/>
        <v>0</v>
      </c>
      <c r="AT63" s="129" t="e">
        <f t="shared" si="83"/>
        <v>#DIV/0!</v>
      </c>
      <c r="AU63" s="127">
        <f>SUM(preparation_sheet_flasks!M63:P63)</f>
        <v>0</v>
      </c>
    </row>
    <row r="64" spans="1:47" ht="14.25" customHeight="1">
      <c r="A64" s="127">
        <f>technical_sheet_vfa!B65</f>
        <v>0</v>
      </c>
      <c r="B64" s="107">
        <f>technical_sheet_vfa!C65</f>
        <v>0</v>
      </c>
      <c r="C64" s="128"/>
      <c r="D64" s="128"/>
      <c r="E64" s="128"/>
      <c r="F64" s="128"/>
      <c r="G64" s="128"/>
      <c r="H64" s="128"/>
      <c r="I64" s="128"/>
      <c r="J64" s="128"/>
      <c r="K64" s="128">
        <v>25</v>
      </c>
      <c r="L64" s="128"/>
      <c r="M64" s="158">
        <f t="shared" si="56"/>
        <v>0</v>
      </c>
      <c r="N64" s="158">
        <f t="shared" si="57"/>
        <v>0</v>
      </c>
      <c r="O64" s="158">
        <f t="shared" si="58"/>
        <v>0</v>
      </c>
      <c r="P64" s="158">
        <f t="shared" si="59"/>
        <v>0</v>
      </c>
      <c r="Q64" s="158">
        <f t="shared" si="60"/>
        <v>0</v>
      </c>
      <c r="R64" s="158">
        <f t="shared" si="61"/>
        <v>0</v>
      </c>
      <c r="S64" s="158">
        <f t="shared" si="62"/>
        <v>0</v>
      </c>
      <c r="T64" s="158">
        <f t="shared" si="63"/>
        <v>0</v>
      </c>
      <c r="U64" s="128"/>
      <c r="V64" s="172">
        <f t="shared" si="64"/>
        <v>0</v>
      </c>
      <c r="W64" s="172">
        <f t="shared" si="65"/>
        <v>0</v>
      </c>
      <c r="X64" s="172">
        <f t="shared" si="66"/>
        <v>0</v>
      </c>
      <c r="Y64" s="172">
        <f t="shared" si="67"/>
        <v>0</v>
      </c>
      <c r="Z64" s="172">
        <f t="shared" si="68"/>
        <v>0</v>
      </c>
      <c r="AA64" s="172">
        <f t="shared" si="69"/>
        <v>0</v>
      </c>
      <c r="AB64" s="172">
        <f t="shared" si="70"/>
        <v>0</v>
      </c>
      <c r="AC64" s="172">
        <f t="shared" si="71"/>
        <v>0</v>
      </c>
      <c r="AD64" s="112"/>
      <c r="AE64" s="112" t="e">
        <f t="shared" si="72"/>
        <v>#DIV/0!</v>
      </c>
      <c r="AF64" s="112" t="e">
        <f t="shared" si="73"/>
        <v>#DIV/0!</v>
      </c>
      <c r="AG64" s="112" t="e">
        <f t="shared" si="74"/>
        <v>#DIV/0!</v>
      </c>
      <c r="AH64" s="112" t="e">
        <f t="shared" si="75"/>
        <v>#DIV/0!</v>
      </c>
      <c r="AI64" s="112" t="e">
        <f t="shared" si="76"/>
        <v>#DIV/0!</v>
      </c>
      <c r="AJ64" s="112" t="e">
        <f t="shared" si="77"/>
        <v>#DIV/0!</v>
      </c>
      <c r="AK64" s="112" t="e">
        <f t="shared" si="78"/>
        <v>#DIV/0!</v>
      </c>
      <c r="AL64" s="112" t="e">
        <f t="shared" si="79"/>
        <v>#DIV/0!</v>
      </c>
      <c r="AM64" s="112"/>
      <c r="AN64" s="129" t="e">
        <f>VLOOKUP($B64,'input gas_ethane'!$B$3:$Y$68,24,FALSE)*1000/'input vfa'!AC64</f>
        <v>#N/A</v>
      </c>
      <c r="AO64" s="129" t="e">
        <f>VLOOKUP($B64,'input gas_ethane'!$B$3:$Y$68,22,FALSE)*1000/'input vfa'!AC64</f>
        <v>#N/A</v>
      </c>
      <c r="AP64" s="129" t="e">
        <f t="shared" si="49"/>
        <v>#DIV/0!</v>
      </c>
      <c r="AQ64" s="129" t="e">
        <f t="shared" si="80"/>
        <v>#DIV/0!</v>
      </c>
      <c r="AR64" s="129">
        <f t="shared" si="81"/>
        <v>0</v>
      </c>
      <c r="AS64" s="129">
        <f t="shared" si="82"/>
        <v>0</v>
      </c>
      <c r="AT64" s="129" t="e">
        <f t="shared" si="83"/>
        <v>#DIV/0!</v>
      </c>
      <c r="AU64" s="127">
        <f>SUM(preparation_sheet_flasks!M64:P64)</f>
        <v>0</v>
      </c>
    </row>
    <row r="65" spans="1:47" ht="14.25" customHeight="1">
      <c r="A65" s="127">
        <f>technical_sheet_vfa!B66</f>
        <v>0</v>
      </c>
      <c r="B65" s="107">
        <f>technical_sheet_vfa!C66</f>
        <v>0</v>
      </c>
      <c r="C65" s="128"/>
      <c r="D65" s="128"/>
      <c r="E65" s="128"/>
      <c r="F65" s="128"/>
      <c r="G65" s="128"/>
      <c r="H65" s="128"/>
      <c r="I65" s="128"/>
      <c r="J65" s="128"/>
      <c r="K65" s="128">
        <v>25</v>
      </c>
      <c r="L65" s="128"/>
      <c r="M65" s="158">
        <f t="shared" si="56"/>
        <v>0</v>
      </c>
      <c r="N65" s="158">
        <f t="shared" si="57"/>
        <v>0</v>
      </c>
      <c r="O65" s="158">
        <f t="shared" si="58"/>
        <v>0</v>
      </c>
      <c r="P65" s="158">
        <f t="shared" si="59"/>
        <v>0</v>
      </c>
      <c r="Q65" s="158">
        <f t="shared" si="60"/>
        <v>0</v>
      </c>
      <c r="R65" s="158">
        <f t="shared" si="61"/>
        <v>0</v>
      </c>
      <c r="S65" s="158">
        <f t="shared" si="62"/>
        <v>0</v>
      </c>
      <c r="T65" s="158">
        <f t="shared" si="63"/>
        <v>0</v>
      </c>
      <c r="U65" s="128"/>
      <c r="V65" s="172">
        <f t="shared" si="64"/>
        <v>0</v>
      </c>
      <c r="W65" s="172">
        <f t="shared" si="65"/>
        <v>0</v>
      </c>
      <c r="X65" s="172">
        <f t="shared" si="66"/>
        <v>0</v>
      </c>
      <c r="Y65" s="172">
        <f t="shared" si="67"/>
        <v>0</v>
      </c>
      <c r="Z65" s="172">
        <f t="shared" si="68"/>
        <v>0</v>
      </c>
      <c r="AA65" s="172">
        <f t="shared" si="69"/>
        <v>0</v>
      </c>
      <c r="AB65" s="172">
        <f t="shared" si="70"/>
        <v>0</v>
      </c>
      <c r="AC65" s="172">
        <f t="shared" si="71"/>
        <v>0</v>
      </c>
      <c r="AD65" s="112"/>
      <c r="AE65" s="112" t="e">
        <f t="shared" si="72"/>
        <v>#DIV/0!</v>
      </c>
      <c r="AF65" s="112" t="e">
        <f t="shared" si="73"/>
        <v>#DIV/0!</v>
      </c>
      <c r="AG65" s="112" t="e">
        <f t="shared" si="74"/>
        <v>#DIV/0!</v>
      </c>
      <c r="AH65" s="112" t="e">
        <f t="shared" si="75"/>
        <v>#DIV/0!</v>
      </c>
      <c r="AI65" s="112" t="e">
        <f t="shared" si="76"/>
        <v>#DIV/0!</v>
      </c>
      <c r="AJ65" s="112" t="e">
        <f t="shared" si="77"/>
        <v>#DIV/0!</v>
      </c>
      <c r="AK65" s="112" t="e">
        <f t="shared" si="78"/>
        <v>#DIV/0!</v>
      </c>
      <c r="AL65" s="112" t="e">
        <f t="shared" si="79"/>
        <v>#DIV/0!</v>
      </c>
      <c r="AM65" s="112"/>
      <c r="AN65" s="129" t="e">
        <f>VLOOKUP($B65,'input gas_ethane'!$B$3:$Y$68,24,FALSE)*1000/'input vfa'!AC65</f>
        <v>#N/A</v>
      </c>
      <c r="AO65" s="129" t="e">
        <f>VLOOKUP($B65,'input gas_ethane'!$B$3:$Y$68,22,FALSE)*1000/'input vfa'!AC65</f>
        <v>#N/A</v>
      </c>
      <c r="AP65" s="129" t="e">
        <f t="shared" si="49"/>
        <v>#DIV/0!</v>
      </c>
      <c r="AQ65" s="129" t="e">
        <f t="shared" si="80"/>
        <v>#DIV/0!</v>
      </c>
      <c r="AR65" s="129">
        <f t="shared" si="81"/>
        <v>0</v>
      </c>
      <c r="AS65" s="129">
        <f t="shared" si="82"/>
        <v>0</v>
      </c>
      <c r="AT65" s="129" t="e">
        <f t="shared" si="83"/>
        <v>#DIV/0!</v>
      </c>
      <c r="AU65" s="127">
        <f>SUM(preparation_sheet_flasks!M65:P65)</f>
        <v>0</v>
      </c>
    </row>
    <row r="66" spans="1:47" ht="14.25" customHeight="1">
      <c r="A66" s="127">
        <f>technical_sheet_vfa!B67</f>
        <v>0</v>
      </c>
      <c r="B66" s="107">
        <f>technical_sheet_vfa!C67</f>
        <v>0</v>
      </c>
      <c r="C66" s="128"/>
      <c r="D66" s="128"/>
      <c r="E66" s="128"/>
      <c r="F66" s="128"/>
      <c r="G66" s="128"/>
      <c r="H66" s="128"/>
      <c r="I66" s="128"/>
      <c r="J66" s="128"/>
      <c r="K66" s="128">
        <v>25</v>
      </c>
      <c r="L66" s="128"/>
      <c r="M66" s="158">
        <f t="shared" si="56"/>
        <v>0</v>
      </c>
      <c r="N66" s="158">
        <f t="shared" si="57"/>
        <v>0</v>
      </c>
      <c r="O66" s="158">
        <f t="shared" si="58"/>
        <v>0</v>
      </c>
      <c r="P66" s="158">
        <f t="shared" si="59"/>
        <v>0</v>
      </c>
      <c r="Q66" s="158">
        <f t="shared" si="60"/>
        <v>0</v>
      </c>
      <c r="R66" s="158">
        <f t="shared" si="61"/>
        <v>0</v>
      </c>
      <c r="S66" s="158">
        <f t="shared" si="62"/>
        <v>0</v>
      </c>
      <c r="T66" s="158">
        <f t="shared" si="63"/>
        <v>0</v>
      </c>
      <c r="U66" s="128"/>
      <c r="V66" s="172">
        <f t="shared" si="64"/>
        <v>0</v>
      </c>
      <c r="W66" s="172">
        <f t="shared" si="65"/>
        <v>0</v>
      </c>
      <c r="X66" s="172">
        <f t="shared" si="66"/>
        <v>0</v>
      </c>
      <c r="Y66" s="172">
        <f t="shared" si="67"/>
        <v>0</v>
      </c>
      <c r="Z66" s="172">
        <f t="shared" si="68"/>
        <v>0</v>
      </c>
      <c r="AA66" s="172">
        <f t="shared" si="69"/>
        <v>0</v>
      </c>
      <c r="AB66" s="172">
        <f t="shared" si="70"/>
        <v>0</v>
      </c>
      <c r="AC66" s="172">
        <f t="shared" si="71"/>
        <v>0</v>
      </c>
      <c r="AD66" s="112"/>
      <c r="AE66" s="112" t="e">
        <f t="shared" si="72"/>
        <v>#DIV/0!</v>
      </c>
      <c r="AF66" s="112" t="e">
        <f t="shared" si="73"/>
        <v>#DIV/0!</v>
      </c>
      <c r="AG66" s="112" t="e">
        <f t="shared" si="74"/>
        <v>#DIV/0!</v>
      </c>
      <c r="AH66" s="112" t="e">
        <f t="shared" si="75"/>
        <v>#DIV/0!</v>
      </c>
      <c r="AI66" s="112" t="e">
        <f t="shared" si="76"/>
        <v>#DIV/0!</v>
      </c>
      <c r="AJ66" s="112" t="e">
        <f t="shared" si="77"/>
        <v>#DIV/0!</v>
      </c>
      <c r="AK66" s="112" t="e">
        <f t="shared" si="78"/>
        <v>#DIV/0!</v>
      </c>
      <c r="AL66" s="112" t="e">
        <f t="shared" si="79"/>
        <v>#DIV/0!</v>
      </c>
      <c r="AM66" s="112"/>
      <c r="AN66" s="129" t="e">
        <f>VLOOKUP($B66,'input gas_ethane'!$B$3:$Y$68,24,FALSE)*1000/'input vfa'!AC66</f>
        <v>#N/A</v>
      </c>
      <c r="AO66" s="129" t="e">
        <f>VLOOKUP($B66,'input gas_ethane'!$B$3:$Y$68,22,FALSE)*1000/'input vfa'!AC66</f>
        <v>#N/A</v>
      </c>
      <c r="AP66" s="129" t="e">
        <f t="shared" si="49"/>
        <v>#DIV/0!</v>
      </c>
      <c r="AQ66" s="129" t="e">
        <f t="shared" si="80"/>
        <v>#DIV/0!</v>
      </c>
      <c r="AR66" s="129">
        <f t="shared" si="81"/>
        <v>0</v>
      </c>
      <c r="AS66" s="129">
        <f t="shared" si="82"/>
        <v>0</v>
      </c>
      <c r="AT66" s="129" t="e">
        <f t="shared" si="83"/>
        <v>#DIV/0!</v>
      </c>
      <c r="AU66" s="127">
        <f>SUM(preparation_sheet_flasks!M66:P66)</f>
        <v>0</v>
      </c>
    </row>
    <row r="67" spans="1:47" ht="14.25" customHeight="1">
      <c r="A67" s="127">
        <f>technical_sheet_vfa!B68</f>
        <v>0</v>
      </c>
      <c r="B67" s="107">
        <f>technical_sheet_vfa!C68</f>
        <v>0</v>
      </c>
      <c r="C67" s="128"/>
      <c r="D67" s="128"/>
      <c r="E67" s="128"/>
      <c r="F67" s="128"/>
      <c r="G67" s="128"/>
      <c r="H67" s="128"/>
      <c r="I67" s="128"/>
      <c r="J67" s="128"/>
      <c r="K67" s="128">
        <v>25</v>
      </c>
      <c r="L67" s="128"/>
      <c r="M67" s="158">
        <f t="shared" si="56"/>
        <v>0</v>
      </c>
      <c r="N67" s="158">
        <f t="shared" si="57"/>
        <v>0</v>
      </c>
      <c r="O67" s="158">
        <f t="shared" si="58"/>
        <v>0</v>
      </c>
      <c r="P67" s="158">
        <f t="shared" si="59"/>
        <v>0</v>
      </c>
      <c r="Q67" s="158">
        <f t="shared" si="60"/>
        <v>0</v>
      </c>
      <c r="R67" s="158">
        <f t="shared" si="61"/>
        <v>0</v>
      </c>
      <c r="S67" s="158">
        <f t="shared" si="62"/>
        <v>0</v>
      </c>
      <c r="T67" s="158">
        <f t="shared" si="63"/>
        <v>0</v>
      </c>
      <c r="U67" s="128"/>
      <c r="V67" s="172">
        <f t="shared" si="64"/>
        <v>0</v>
      </c>
      <c r="W67" s="172">
        <f t="shared" si="65"/>
        <v>0</v>
      </c>
      <c r="X67" s="172">
        <f t="shared" si="66"/>
        <v>0</v>
      </c>
      <c r="Y67" s="172">
        <f t="shared" si="67"/>
        <v>0</v>
      </c>
      <c r="Z67" s="172">
        <f t="shared" si="68"/>
        <v>0</v>
      </c>
      <c r="AA67" s="172">
        <f t="shared" si="69"/>
        <v>0</v>
      </c>
      <c r="AB67" s="172">
        <f t="shared" si="70"/>
        <v>0</v>
      </c>
      <c r="AC67" s="172">
        <f t="shared" si="71"/>
        <v>0</v>
      </c>
      <c r="AD67" s="112"/>
      <c r="AE67" s="112" t="e">
        <f t="shared" si="72"/>
        <v>#DIV/0!</v>
      </c>
      <c r="AF67" s="112" t="e">
        <f t="shared" si="73"/>
        <v>#DIV/0!</v>
      </c>
      <c r="AG67" s="112" t="e">
        <f t="shared" si="74"/>
        <v>#DIV/0!</v>
      </c>
      <c r="AH67" s="112" t="e">
        <f t="shared" si="75"/>
        <v>#DIV/0!</v>
      </c>
      <c r="AI67" s="112" t="e">
        <f t="shared" si="76"/>
        <v>#DIV/0!</v>
      </c>
      <c r="AJ67" s="112" t="e">
        <f t="shared" si="77"/>
        <v>#DIV/0!</v>
      </c>
      <c r="AK67" s="112" t="e">
        <f t="shared" si="78"/>
        <v>#DIV/0!</v>
      </c>
      <c r="AL67" s="112" t="e">
        <f t="shared" si="79"/>
        <v>#DIV/0!</v>
      </c>
      <c r="AM67" s="112"/>
      <c r="AN67" s="129" t="e">
        <f>VLOOKUP($B67,'input gas_ethane'!$B$3:$Y$68,24,FALSE)*1000/'input vfa'!AC67</f>
        <v>#N/A</v>
      </c>
      <c r="AO67" s="129" t="e">
        <f>VLOOKUP($B67,'input gas_ethane'!$B$3:$Y$68,22,FALSE)*1000/'input vfa'!AC67</f>
        <v>#N/A</v>
      </c>
      <c r="AP67" s="129" t="e">
        <f t="shared" si="49"/>
        <v>#DIV/0!</v>
      </c>
      <c r="AQ67" s="129" t="e">
        <f t="shared" si="80"/>
        <v>#DIV/0!</v>
      </c>
      <c r="AR67" s="129">
        <f t="shared" si="81"/>
        <v>0</v>
      </c>
      <c r="AS67" s="129">
        <f t="shared" si="82"/>
        <v>0</v>
      </c>
      <c r="AT67" s="129" t="e">
        <f t="shared" si="83"/>
        <v>#DIV/0!</v>
      </c>
      <c r="AU67" s="127">
        <f>SUM(preparation_sheet_flasks!M67:P67)</f>
        <v>0</v>
      </c>
    </row>
    <row r="68" spans="1:47" ht="14.25" customHeight="1">
      <c r="A68" s="127">
        <f>technical_sheet_vfa!B69</f>
        <v>0</v>
      </c>
      <c r="B68" s="107">
        <f>technical_sheet_vfa!C69</f>
        <v>0</v>
      </c>
      <c r="C68" s="128"/>
      <c r="D68" s="128"/>
      <c r="E68" s="128"/>
      <c r="F68" s="128"/>
      <c r="G68" s="128"/>
      <c r="H68" s="128"/>
      <c r="I68" s="128"/>
      <c r="J68" s="128"/>
      <c r="K68" s="128">
        <v>25</v>
      </c>
      <c r="L68" s="128"/>
      <c r="M68" s="158">
        <f t="shared" si="56"/>
        <v>0</v>
      </c>
      <c r="N68" s="158">
        <f t="shared" si="57"/>
        <v>0</v>
      </c>
      <c r="O68" s="158">
        <f t="shared" si="58"/>
        <v>0</v>
      </c>
      <c r="P68" s="158">
        <f t="shared" si="59"/>
        <v>0</v>
      </c>
      <c r="Q68" s="158">
        <f t="shared" si="60"/>
        <v>0</v>
      </c>
      <c r="R68" s="158">
        <f t="shared" si="61"/>
        <v>0</v>
      </c>
      <c r="S68" s="158">
        <f t="shared" si="62"/>
        <v>0</v>
      </c>
      <c r="T68" s="158">
        <f t="shared" si="63"/>
        <v>0</v>
      </c>
      <c r="U68" s="128"/>
      <c r="V68" s="172">
        <f t="shared" si="64"/>
        <v>0</v>
      </c>
      <c r="W68" s="172">
        <f t="shared" si="65"/>
        <v>0</v>
      </c>
      <c r="X68" s="172">
        <f t="shared" si="66"/>
        <v>0</v>
      </c>
      <c r="Y68" s="172">
        <f t="shared" si="67"/>
        <v>0</v>
      </c>
      <c r="Z68" s="172">
        <f t="shared" si="68"/>
        <v>0</v>
      </c>
      <c r="AA68" s="172">
        <f t="shared" si="69"/>
        <v>0</v>
      </c>
      <c r="AB68" s="172">
        <f t="shared" si="70"/>
        <v>0</v>
      </c>
      <c r="AC68" s="172">
        <f t="shared" si="71"/>
        <v>0</v>
      </c>
      <c r="AD68" s="112"/>
      <c r="AE68" s="112" t="e">
        <f t="shared" si="72"/>
        <v>#DIV/0!</v>
      </c>
      <c r="AF68" s="112" t="e">
        <f t="shared" si="73"/>
        <v>#DIV/0!</v>
      </c>
      <c r="AG68" s="112" t="e">
        <f t="shared" si="74"/>
        <v>#DIV/0!</v>
      </c>
      <c r="AH68" s="112" t="e">
        <f t="shared" si="75"/>
        <v>#DIV/0!</v>
      </c>
      <c r="AI68" s="112" t="e">
        <f t="shared" si="76"/>
        <v>#DIV/0!</v>
      </c>
      <c r="AJ68" s="112" t="e">
        <f t="shared" si="77"/>
        <v>#DIV/0!</v>
      </c>
      <c r="AK68" s="112" t="e">
        <f t="shared" si="78"/>
        <v>#DIV/0!</v>
      </c>
      <c r="AL68" s="112" t="e">
        <f t="shared" si="79"/>
        <v>#DIV/0!</v>
      </c>
      <c r="AM68" s="112"/>
      <c r="AN68" s="129" t="e">
        <f>VLOOKUP($B68,'input gas_ethane'!$B$3:$Y$68,24,FALSE)*1000/'input vfa'!AC68</f>
        <v>#N/A</v>
      </c>
      <c r="AO68" s="129" t="e">
        <f>VLOOKUP($B68,'input gas_ethane'!$B$3:$Y$68,22,FALSE)*1000/'input vfa'!AC68</f>
        <v>#N/A</v>
      </c>
      <c r="AP68" s="129" t="e">
        <f t="shared" si="49"/>
        <v>#DIV/0!</v>
      </c>
      <c r="AQ68" s="129" t="e">
        <f t="shared" si="80"/>
        <v>#DIV/0!</v>
      </c>
      <c r="AR68" s="129">
        <f t="shared" si="81"/>
        <v>0</v>
      </c>
      <c r="AS68" s="129">
        <f t="shared" si="82"/>
        <v>0</v>
      </c>
      <c r="AT68" s="129" t="e">
        <f t="shared" si="83"/>
        <v>#DIV/0!</v>
      </c>
      <c r="AU68" s="127">
        <f>SUM(preparation_sheet_flasks!M68:P68)</f>
        <v>0</v>
      </c>
    </row>
    <row r="69" spans="1:47" ht="14.25" customHeight="1">
      <c r="A69" s="127">
        <f>technical_sheet_vfa!B70</f>
        <v>0</v>
      </c>
      <c r="B69" s="107">
        <f>technical_sheet_vfa!C70</f>
        <v>0</v>
      </c>
      <c r="C69" s="128"/>
      <c r="D69" s="128"/>
      <c r="E69" s="128"/>
      <c r="F69" s="128"/>
      <c r="G69" s="128"/>
      <c r="H69" s="128"/>
      <c r="I69" s="128"/>
      <c r="J69" s="128"/>
      <c r="K69" s="128">
        <v>25</v>
      </c>
      <c r="L69" s="128"/>
      <c r="M69" s="158">
        <f t="shared" si="56"/>
        <v>0</v>
      </c>
      <c r="N69" s="158">
        <f t="shared" si="57"/>
        <v>0</v>
      </c>
      <c r="O69" s="158">
        <f t="shared" si="58"/>
        <v>0</v>
      </c>
      <c r="P69" s="158">
        <f t="shared" si="59"/>
        <v>0</v>
      </c>
      <c r="Q69" s="158">
        <f t="shared" si="60"/>
        <v>0</v>
      </c>
      <c r="R69" s="158">
        <f t="shared" si="61"/>
        <v>0</v>
      </c>
      <c r="S69" s="158">
        <f t="shared" si="62"/>
        <v>0</v>
      </c>
      <c r="T69" s="158">
        <f t="shared" si="63"/>
        <v>0</v>
      </c>
      <c r="U69" s="128"/>
      <c r="V69" s="172">
        <f t="shared" si="64"/>
        <v>0</v>
      </c>
      <c r="W69" s="172">
        <f t="shared" si="65"/>
        <v>0</v>
      </c>
      <c r="X69" s="172">
        <f t="shared" si="66"/>
        <v>0</v>
      </c>
      <c r="Y69" s="172">
        <f t="shared" si="67"/>
        <v>0</v>
      </c>
      <c r="Z69" s="172">
        <f t="shared" si="68"/>
        <v>0</v>
      </c>
      <c r="AA69" s="172">
        <f t="shared" si="69"/>
        <v>0</v>
      </c>
      <c r="AB69" s="172">
        <f t="shared" si="70"/>
        <v>0</v>
      </c>
      <c r="AC69" s="172">
        <f t="shared" si="71"/>
        <v>0</v>
      </c>
      <c r="AD69" s="112"/>
      <c r="AE69" s="112" t="e">
        <f t="shared" si="72"/>
        <v>#DIV/0!</v>
      </c>
      <c r="AF69" s="112" t="e">
        <f t="shared" si="73"/>
        <v>#DIV/0!</v>
      </c>
      <c r="AG69" s="112" t="e">
        <f t="shared" si="74"/>
        <v>#DIV/0!</v>
      </c>
      <c r="AH69" s="112" t="e">
        <f t="shared" si="75"/>
        <v>#DIV/0!</v>
      </c>
      <c r="AI69" s="112" t="e">
        <f t="shared" si="76"/>
        <v>#DIV/0!</v>
      </c>
      <c r="AJ69" s="112" t="e">
        <f t="shared" si="77"/>
        <v>#DIV/0!</v>
      </c>
      <c r="AK69" s="112" t="e">
        <f t="shared" si="78"/>
        <v>#DIV/0!</v>
      </c>
      <c r="AL69" s="112" t="e">
        <f t="shared" si="79"/>
        <v>#DIV/0!</v>
      </c>
      <c r="AM69" s="112"/>
      <c r="AN69" s="129" t="e">
        <f>VLOOKUP($B69,'input gas_ethane'!$B$3:$Y$68,24,FALSE)*1000/'input vfa'!AC69</f>
        <v>#N/A</v>
      </c>
      <c r="AO69" s="129" t="e">
        <f>VLOOKUP($B69,'input gas_ethane'!$B$3:$Y$68,22,FALSE)*1000/'input vfa'!AC69</f>
        <v>#N/A</v>
      </c>
      <c r="AP69" s="129" t="e">
        <f t="shared" si="49"/>
        <v>#DIV/0!</v>
      </c>
      <c r="AQ69" s="129" t="e">
        <f t="shared" si="80"/>
        <v>#DIV/0!</v>
      </c>
      <c r="AR69" s="129">
        <f t="shared" si="81"/>
        <v>0</v>
      </c>
      <c r="AS69" s="129">
        <f t="shared" si="82"/>
        <v>0</v>
      </c>
      <c r="AT69" s="129" t="e">
        <f t="shared" si="83"/>
        <v>#DIV/0!</v>
      </c>
      <c r="AU69" s="127">
        <f>SUM(preparation_sheet_flasks!M69:P69)</f>
        <v>0</v>
      </c>
    </row>
    <row r="70" spans="1:47" ht="14.25" customHeight="1">
      <c r="A70" s="127">
        <f>technical_sheet_vfa!B71</f>
        <v>0</v>
      </c>
      <c r="B70" s="107">
        <f>technical_sheet_vfa!C71</f>
        <v>0</v>
      </c>
      <c r="C70" s="128"/>
      <c r="D70" s="128"/>
      <c r="E70" s="128"/>
      <c r="F70" s="128"/>
      <c r="G70" s="128"/>
      <c r="H70" s="128"/>
      <c r="I70" s="128"/>
      <c r="J70" s="128"/>
      <c r="K70" s="128">
        <v>25</v>
      </c>
      <c r="L70" s="128"/>
      <c r="M70" s="158">
        <f t="shared" si="56"/>
        <v>0</v>
      </c>
      <c r="N70" s="158">
        <f t="shared" si="57"/>
        <v>0</v>
      </c>
      <c r="O70" s="158">
        <f t="shared" si="58"/>
        <v>0</v>
      </c>
      <c r="P70" s="158">
        <f t="shared" si="59"/>
        <v>0</v>
      </c>
      <c r="Q70" s="158">
        <f t="shared" si="60"/>
        <v>0</v>
      </c>
      <c r="R70" s="158">
        <f t="shared" si="61"/>
        <v>0</v>
      </c>
      <c r="S70" s="158">
        <f t="shared" si="62"/>
        <v>0</v>
      </c>
      <c r="T70" s="158">
        <f t="shared" si="63"/>
        <v>0</v>
      </c>
      <c r="U70" s="128"/>
      <c r="V70" s="172">
        <f t="shared" si="64"/>
        <v>0</v>
      </c>
      <c r="W70" s="172">
        <f t="shared" si="65"/>
        <v>0</v>
      </c>
      <c r="X70" s="172">
        <f t="shared" si="66"/>
        <v>0</v>
      </c>
      <c r="Y70" s="172">
        <f t="shared" si="67"/>
        <v>0</v>
      </c>
      <c r="Z70" s="172">
        <f t="shared" si="68"/>
        <v>0</v>
      </c>
      <c r="AA70" s="172">
        <f t="shared" si="69"/>
        <v>0</v>
      </c>
      <c r="AB70" s="172">
        <f t="shared" si="70"/>
        <v>0</v>
      </c>
      <c r="AC70" s="172">
        <f t="shared" si="71"/>
        <v>0</v>
      </c>
      <c r="AD70" s="112"/>
      <c r="AE70" s="112" t="e">
        <f t="shared" si="72"/>
        <v>#DIV/0!</v>
      </c>
      <c r="AF70" s="112" t="e">
        <f t="shared" si="73"/>
        <v>#DIV/0!</v>
      </c>
      <c r="AG70" s="112" t="e">
        <f t="shared" si="74"/>
        <v>#DIV/0!</v>
      </c>
      <c r="AH70" s="112" t="e">
        <f t="shared" si="75"/>
        <v>#DIV/0!</v>
      </c>
      <c r="AI70" s="112" t="e">
        <f t="shared" si="76"/>
        <v>#DIV/0!</v>
      </c>
      <c r="AJ70" s="112" t="e">
        <f t="shared" si="77"/>
        <v>#DIV/0!</v>
      </c>
      <c r="AK70" s="112" t="e">
        <f t="shared" si="78"/>
        <v>#DIV/0!</v>
      </c>
      <c r="AL70" s="112" t="e">
        <f t="shared" si="79"/>
        <v>#DIV/0!</v>
      </c>
      <c r="AM70" s="112"/>
      <c r="AN70" s="129" t="e">
        <f>VLOOKUP($B70,'input gas_ethane'!$B$3:$Y$68,24,FALSE)*1000/'input vfa'!AC70</f>
        <v>#N/A</v>
      </c>
      <c r="AO70" s="129" t="e">
        <f>VLOOKUP($B70,'input gas_ethane'!$B$3:$Y$68,22,FALSE)*1000/'input vfa'!AC70</f>
        <v>#N/A</v>
      </c>
      <c r="AP70" s="129" t="e">
        <f t="shared" si="49"/>
        <v>#DIV/0!</v>
      </c>
      <c r="AQ70" s="129" t="e">
        <f t="shared" si="80"/>
        <v>#DIV/0!</v>
      </c>
      <c r="AR70" s="129">
        <f t="shared" si="81"/>
        <v>0</v>
      </c>
      <c r="AS70" s="129">
        <f t="shared" si="82"/>
        <v>0</v>
      </c>
      <c r="AT70" s="129" t="e">
        <f t="shared" si="83"/>
        <v>#DIV/0!</v>
      </c>
      <c r="AU70" s="127">
        <f>SUM(preparation_sheet_flasks!M70:P70)</f>
        <v>0</v>
      </c>
    </row>
    <row r="71" spans="1:47" ht="14.25" customHeight="1">
      <c r="A71" s="127">
        <f>technical_sheet_vfa!B72</f>
        <v>0</v>
      </c>
      <c r="B71" s="107">
        <f>technical_sheet_vfa!C72</f>
        <v>0</v>
      </c>
      <c r="C71" s="128"/>
      <c r="D71" s="128"/>
      <c r="E71" s="128"/>
      <c r="F71" s="128"/>
      <c r="G71" s="128"/>
      <c r="H71" s="128"/>
      <c r="I71" s="128"/>
      <c r="J71" s="128"/>
      <c r="K71" s="128">
        <v>25</v>
      </c>
      <c r="L71" s="128"/>
      <c r="M71" s="158">
        <f t="shared" si="56"/>
        <v>0</v>
      </c>
      <c r="N71" s="158">
        <f t="shared" si="57"/>
        <v>0</v>
      </c>
      <c r="O71" s="158">
        <f t="shared" si="58"/>
        <v>0</v>
      </c>
      <c r="P71" s="158">
        <f t="shared" si="59"/>
        <v>0</v>
      </c>
      <c r="Q71" s="158">
        <f t="shared" si="60"/>
        <v>0</v>
      </c>
      <c r="R71" s="158">
        <f t="shared" si="61"/>
        <v>0</v>
      </c>
      <c r="S71" s="158">
        <f t="shared" si="62"/>
        <v>0</v>
      </c>
      <c r="T71" s="158">
        <f t="shared" si="63"/>
        <v>0</v>
      </c>
      <c r="U71" s="128"/>
      <c r="V71" s="172">
        <f t="shared" si="64"/>
        <v>0</v>
      </c>
      <c r="W71" s="172">
        <f t="shared" si="65"/>
        <v>0</v>
      </c>
      <c r="X71" s="172">
        <f t="shared" si="66"/>
        <v>0</v>
      </c>
      <c r="Y71" s="172">
        <f t="shared" si="67"/>
        <v>0</v>
      </c>
      <c r="Z71" s="172">
        <f t="shared" si="68"/>
        <v>0</v>
      </c>
      <c r="AA71" s="172">
        <f t="shared" si="69"/>
        <v>0</v>
      </c>
      <c r="AB71" s="172">
        <f t="shared" si="70"/>
        <v>0</v>
      </c>
      <c r="AC71" s="172">
        <f t="shared" si="71"/>
        <v>0</v>
      </c>
      <c r="AD71" s="112"/>
      <c r="AE71" s="112" t="e">
        <f t="shared" si="72"/>
        <v>#DIV/0!</v>
      </c>
      <c r="AF71" s="112" t="e">
        <f t="shared" si="73"/>
        <v>#DIV/0!</v>
      </c>
      <c r="AG71" s="112" t="e">
        <f t="shared" si="74"/>
        <v>#DIV/0!</v>
      </c>
      <c r="AH71" s="112" t="e">
        <f t="shared" si="75"/>
        <v>#DIV/0!</v>
      </c>
      <c r="AI71" s="112" t="e">
        <f t="shared" si="76"/>
        <v>#DIV/0!</v>
      </c>
      <c r="AJ71" s="112" t="e">
        <f t="shared" si="77"/>
        <v>#DIV/0!</v>
      </c>
      <c r="AK71" s="112" t="e">
        <f t="shared" si="78"/>
        <v>#DIV/0!</v>
      </c>
      <c r="AL71" s="112" t="e">
        <f t="shared" si="79"/>
        <v>#DIV/0!</v>
      </c>
      <c r="AM71" s="112"/>
      <c r="AN71" s="129" t="e">
        <f>VLOOKUP($B71,'input gas_ethane'!$B$3:$Y$68,24,FALSE)*1000/'input vfa'!AC71</f>
        <v>#N/A</v>
      </c>
      <c r="AO71" s="129" t="e">
        <f>VLOOKUP($B71,'input gas_ethane'!$B$3:$Y$68,22,FALSE)*1000/'input vfa'!AC71</f>
        <v>#N/A</v>
      </c>
      <c r="AP71" s="129" t="e">
        <f t="shared" si="49"/>
        <v>#DIV/0!</v>
      </c>
      <c r="AQ71" s="129" t="e">
        <f t="shared" si="80"/>
        <v>#DIV/0!</v>
      </c>
      <c r="AR71" s="129">
        <f t="shared" si="81"/>
        <v>0</v>
      </c>
      <c r="AS71" s="129">
        <f t="shared" si="82"/>
        <v>0</v>
      </c>
      <c r="AT71" s="129" t="e">
        <f t="shared" si="83"/>
        <v>#DIV/0!</v>
      </c>
      <c r="AU71" s="127">
        <f>SUM(preparation_sheet_flasks!M71:P71)</f>
        <v>0</v>
      </c>
    </row>
    <row r="72" spans="1:47" ht="14.25" customHeight="1">
      <c r="A72" s="127">
        <f>technical_sheet_vfa!B73</f>
        <v>0</v>
      </c>
      <c r="B72" s="107">
        <f>technical_sheet_vfa!C73</f>
        <v>0</v>
      </c>
      <c r="C72" s="128"/>
      <c r="D72" s="128"/>
      <c r="E72" s="128"/>
      <c r="F72" s="128"/>
      <c r="G72" s="128"/>
      <c r="H72" s="128"/>
      <c r="I72" s="128"/>
      <c r="J72" s="128"/>
      <c r="K72" s="128">
        <v>25</v>
      </c>
      <c r="L72" s="128"/>
      <c r="M72" s="158">
        <f t="shared" si="56"/>
        <v>0</v>
      </c>
      <c r="N72" s="158">
        <f t="shared" si="57"/>
        <v>0</v>
      </c>
      <c r="O72" s="158">
        <f t="shared" si="58"/>
        <v>0</v>
      </c>
      <c r="P72" s="158">
        <f t="shared" si="59"/>
        <v>0</v>
      </c>
      <c r="Q72" s="158">
        <f t="shared" si="60"/>
        <v>0</v>
      </c>
      <c r="R72" s="158">
        <f t="shared" si="61"/>
        <v>0</v>
      </c>
      <c r="S72" s="158">
        <f t="shared" si="62"/>
        <v>0</v>
      </c>
      <c r="T72" s="158">
        <f t="shared" si="63"/>
        <v>0</v>
      </c>
      <c r="U72" s="128"/>
      <c r="V72" s="172">
        <f t="shared" si="64"/>
        <v>0</v>
      </c>
      <c r="W72" s="172">
        <f t="shared" si="65"/>
        <v>0</v>
      </c>
      <c r="X72" s="172">
        <f t="shared" si="66"/>
        <v>0</v>
      </c>
      <c r="Y72" s="172">
        <f t="shared" si="67"/>
        <v>0</v>
      </c>
      <c r="Z72" s="172">
        <f t="shared" si="68"/>
        <v>0</v>
      </c>
      <c r="AA72" s="172">
        <f t="shared" si="69"/>
        <v>0</v>
      </c>
      <c r="AB72" s="172">
        <f t="shared" si="70"/>
        <v>0</v>
      </c>
      <c r="AC72" s="172">
        <f t="shared" si="71"/>
        <v>0</v>
      </c>
      <c r="AD72" s="112"/>
      <c r="AE72" s="112" t="e">
        <f t="shared" si="72"/>
        <v>#DIV/0!</v>
      </c>
      <c r="AF72" s="112" t="e">
        <f t="shared" si="73"/>
        <v>#DIV/0!</v>
      </c>
      <c r="AG72" s="112" t="e">
        <f t="shared" si="74"/>
        <v>#DIV/0!</v>
      </c>
      <c r="AH72" s="112" t="e">
        <f t="shared" si="75"/>
        <v>#DIV/0!</v>
      </c>
      <c r="AI72" s="112" t="e">
        <f t="shared" si="76"/>
        <v>#DIV/0!</v>
      </c>
      <c r="AJ72" s="112" t="e">
        <f t="shared" si="77"/>
        <v>#DIV/0!</v>
      </c>
      <c r="AK72" s="112" t="e">
        <f t="shared" si="78"/>
        <v>#DIV/0!</v>
      </c>
      <c r="AL72" s="112" t="e">
        <f t="shared" si="79"/>
        <v>#DIV/0!</v>
      </c>
      <c r="AM72" s="112"/>
      <c r="AN72" s="129" t="e">
        <f>VLOOKUP($B72,'input gas_ethane'!$B$3:$Y$68,24,FALSE)*1000/'input vfa'!AC72</f>
        <v>#N/A</v>
      </c>
      <c r="AO72" s="129" t="e">
        <f>VLOOKUP($B72,'input gas_ethane'!$B$3:$Y$68,22,FALSE)*1000/'input vfa'!AC72</f>
        <v>#N/A</v>
      </c>
      <c r="AP72" s="129" t="e">
        <f t="shared" si="49"/>
        <v>#DIV/0!</v>
      </c>
      <c r="AQ72" s="129" t="e">
        <f t="shared" si="80"/>
        <v>#DIV/0!</v>
      </c>
      <c r="AR72" s="129">
        <f t="shared" si="81"/>
        <v>0</v>
      </c>
      <c r="AS72" s="129">
        <f t="shared" si="82"/>
        <v>0</v>
      </c>
      <c r="AT72" s="129" t="e">
        <f t="shared" si="83"/>
        <v>#DIV/0!</v>
      </c>
      <c r="AU72" s="127">
        <f>SUM(preparation_sheet_flasks!M72:P72)</f>
        <v>0</v>
      </c>
    </row>
    <row r="73" spans="1:47" ht="14.25" customHeight="1">
      <c r="A73" s="127">
        <f>technical_sheet_vfa!B74</f>
        <v>0</v>
      </c>
      <c r="B73" s="107">
        <f>technical_sheet_vfa!C74</f>
        <v>0</v>
      </c>
      <c r="C73" s="128"/>
      <c r="D73" s="128"/>
      <c r="E73" s="128"/>
      <c r="F73" s="128"/>
      <c r="G73" s="128"/>
      <c r="H73" s="128"/>
      <c r="I73" s="128"/>
      <c r="J73" s="128"/>
      <c r="K73" s="128">
        <v>25</v>
      </c>
      <c r="L73" s="128"/>
      <c r="M73" s="158">
        <f t="shared" si="56"/>
        <v>0</v>
      </c>
      <c r="N73" s="158">
        <f t="shared" si="57"/>
        <v>0</v>
      </c>
      <c r="O73" s="158">
        <f t="shared" si="58"/>
        <v>0</v>
      </c>
      <c r="P73" s="158">
        <f t="shared" si="59"/>
        <v>0</v>
      </c>
      <c r="Q73" s="158">
        <f t="shared" si="60"/>
        <v>0</v>
      </c>
      <c r="R73" s="158">
        <f t="shared" si="61"/>
        <v>0</v>
      </c>
      <c r="S73" s="158">
        <f t="shared" si="62"/>
        <v>0</v>
      </c>
      <c r="T73" s="158">
        <f t="shared" si="63"/>
        <v>0</v>
      </c>
      <c r="U73" s="128"/>
      <c r="V73" s="172">
        <f t="shared" si="64"/>
        <v>0</v>
      </c>
      <c r="W73" s="172">
        <f t="shared" si="65"/>
        <v>0</v>
      </c>
      <c r="X73" s="172">
        <f t="shared" si="66"/>
        <v>0</v>
      </c>
      <c r="Y73" s="172">
        <f t="shared" si="67"/>
        <v>0</v>
      </c>
      <c r="Z73" s="172">
        <f t="shared" si="68"/>
        <v>0</v>
      </c>
      <c r="AA73" s="172">
        <f t="shared" si="69"/>
        <v>0</v>
      </c>
      <c r="AB73" s="172">
        <f t="shared" si="70"/>
        <v>0</v>
      </c>
      <c r="AC73" s="172">
        <f t="shared" si="71"/>
        <v>0</v>
      </c>
      <c r="AD73" s="112"/>
      <c r="AE73" s="112" t="e">
        <f t="shared" si="72"/>
        <v>#DIV/0!</v>
      </c>
      <c r="AF73" s="112" t="e">
        <f t="shared" si="73"/>
        <v>#DIV/0!</v>
      </c>
      <c r="AG73" s="112" t="e">
        <f t="shared" si="74"/>
        <v>#DIV/0!</v>
      </c>
      <c r="AH73" s="112" t="e">
        <f t="shared" si="75"/>
        <v>#DIV/0!</v>
      </c>
      <c r="AI73" s="112" t="e">
        <f t="shared" si="76"/>
        <v>#DIV/0!</v>
      </c>
      <c r="AJ73" s="112" t="e">
        <f t="shared" si="77"/>
        <v>#DIV/0!</v>
      </c>
      <c r="AK73" s="112" t="e">
        <f t="shared" si="78"/>
        <v>#DIV/0!</v>
      </c>
      <c r="AL73" s="112" t="e">
        <f t="shared" si="79"/>
        <v>#DIV/0!</v>
      </c>
      <c r="AM73" s="112"/>
      <c r="AN73" s="129" t="e">
        <f>VLOOKUP($B73,'input gas_ethane'!$B$3:$Y$68,24,FALSE)*1000/'input vfa'!AC73</f>
        <v>#N/A</v>
      </c>
      <c r="AO73" s="129" t="e">
        <f>VLOOKUP($B73,'input gas_ethane'!$B$3:$Y$68,22,FALSE)*1000/'input vfa'!AC73</f>
        <v>#N/A</v>
      </c>
      <c r="AP73" s="129" t="e">
        <f t="shared" si="49"/>
        <v>#DIV/0!</v>
      </c>
      <c r="AQ73" s="129" t="e">
        <f t="shared" si="80"/>
        <v>#DIV/0!</v>
      </c>
      <c r="AR73" s="129">
        <f t="shared" si="81"/>
        <v>0</v>
      </c>
      <c r="AS73" s="129">
        <f t="shared" si="82"/>
        <v>0</v>
      </c>
      <c r="AT73" s="129" t="e">
        <f t="shared" si="83"/>
        <v>#DIV/0!</v>
      </c>
      <c r="AU73" s="127">
        <f>SUM(preparation_sheet_flasks!M73:P73)</f>
        <v>0</v>
      </c>
    </row>
    <row r="74" spans="1:47" ht="14.25" customHeight="1">
      <c r="A74" s="127">
        <f>technical_sheet_vfa!B75</f>
        <v>0</v>
      </c>
      <c r="B74" s="107">
        <f>technical_sheet_vfa!C75</f>
        <v>0</v>
      </c>
      <c r="C74" s="128"/>
      <c r="D74" s="128"/>
      <c r="E74" s="128"/>
      <c r="F74" s="128"/>
      <c r="G74" s="128"/>
      <c r="H74" s="128"/>
      <c r="I74" s="128"/>
      <c r="J74" s="128"/>
      <c r="K74" s="128">
        <v>25</v>
      </c>
      <c r="L74" s="128"/>
      <c r="M74" s="158">
        <f t="shared" si="56"/>
        <v>0</v>
      </c>
      <c r="N74" s="158">
        <f t="shared" si="57"/>
        <v>0</v>
      </c>
      <c r="O74" s="158">
        <f t="shared" si="58"/>
        <v>0</v>
      </c>
      <c r="P74" s="158">
        <f t="shared" si="59"/>
        <v>0</v>
      </c>
      <c r="Q74" s="158">
        <f t="shared" si="60"/>
        <v>0</v>
      </c>
      <c r="R74" s="158">
        <f t="shared" si="61"/>
        <v>0</v>
      </c>
      <c r="S74" s="158">
        <f t="shared" si="62"/>
        <v>0</v>
      </c>
      <c r="T74" s="158">
        <f t="shared" si="63"/>
        <v>0</v>
      </c>
      <c r="U74" s="128"/>
      <c r="V74" s="172">
        <f t="shared" si="64"/>
        <v>0</v>
      </c>
      <c r="W74" s="172">
        <f t="shared" si="65"/>
        <v>0</v>
      </c>
      <c r="X74" s="172">
        <f t="shared" si="66"/>
        <v>0</v>
      </c>
      <c r="Y74" s="172">
        <f t="shared" si="67"/>
        <v>0</v>
      </c>
      <c r="Z74" s="172">
        <f t="shared" si="68"/>
        <v>0</v>
      </c>
      <c r="AA74" s="172">
        <f t="shared" si="69"/>
        <v>0</v>
      </c>
      <c r="AB74" s="172">
        <f t="shared" si="70"/>
        <v>0</v>
      </c>
      <c r="AC74" s="172">
        <f t="shared" si="71"/>
        <v>0</v>
      </c>
      <c r="AD74" s="112"/>
      <c r="AE74" s="112" t="e">
        <f t="shared" si="72"/>
        <v>#DIV/0!</v>
      </c>
      <c r="AF74" s="112" t="e">
        <f t="shared" si="73"/>
        <v>#DIV/0!</v>
      </c>
      <c r="AG74" s="112" t="e">
        <f t="shared" si="74"/>
        <v>#DIV/0!</v>
      </c>
      <c r="AH74" s="112" t="e">
        <f t="shared" si="75"/>
        <v>#DIV/0!</v>
      </c>
      <c r="AI74" s="112" t="e">
        <f t="shared" si="76"/>
        <v>#DIV/0!</v>
      </c>
      <c r="AJ74" s="112" t="e">
        <f t="shared" si="77"/>
        <v>#DIV/0!</v>
      </c>
      <c r="AK74" s="112" t="e">
        <f t="shared" si="78"/>
        <v>#DIV/0!</v>
      </c>
      <c r="AL74" s="112" t="e">
        <f t="shared" si="79"/>
        <v>#DIV/0!</v>
      </c>
      <c r="AM74" s="112"/>
      <c r="AN74" s="129" t="e">
        <f>VLOOKUP($B74,'input gas_ethane'!$B$3:$Y$68,24,FALSE)*1000/'input vfa'!AC74</f>
        <v>#N/A</v>
      </c>
      <c r="AO74" s="129" t="e">
        <f>VLOOKUP($B74,'input gas_ethane'!$B$3:$Y$68,22,FALSE)*1000/'input vfa'!AC74</f>
        <v>#N/A</v>
      </c>
      <c r="AP74" s="129" t="e">
        <f t="shared" si="49"/>
        <v>#DIV/0!</v>
      </c>
      <c r="AQ74" s="129" t="e">
        <f t="shared" si="80"/>
        <v>#DIV/0!</v>
      </c>
      <c r="AR74" s="129">
        <f t="shared" si="81"/>
        <v>0</v>
      </c>
      <c r="AS74" s="129">
        <f t="shared" si="82"/>
        <v>0</v>
      </c>
      <c r="AT74" s="129" t="e">
        <f t="shared" si="83"/>
        <v>#DIV/0!</v>
      </c>
      <c r="AU74" s="127">
        <f>SUM(preparation_sheet_flasks!M74:P74)</f>
        <v>0</v>
      </c>
    </row>
    <row r="75" spans="1:47" ht="14.25" customHeight="1">
      <c r="A75" s="127">
        <f>technical_sheet_vfa!B76</f>
        <v>0</v>
      </c>
      <c r="B75" s="107">
        <f>technical_sheet_vfa!C76</f>
        <v>0</v>
      </c>
      <c r="C75" s="128"/>
      <c r="D75" s="128"/>
      <c r="E75" s="128"/>
      <c r="F75" s="128"/>
      <c r="G75" s="128"/>
      <c r="H75" s="128"/>
      <c r="I75" s="128"/>
      <c r="J75" s="128"/>
      <c r="K75" s="128">
        <v>25</v>
      </c>
      <c r="L75" s="128"/>
      <c r="M75" s="158">
        <f t="shared" si="56"/>
        <v>0</v>
      </c>
      <c r="N75" s="158">
        <f t="shared" si="57"/>
        <v>0</v>
      </c>
      <c r="O75" s="158">
        <f t="shared" si="58"/>
        <v>0</v>
      </c>
      <c r="P75" s="158">
        <f t="shared" si="59"/>
        <v>0</v>
      </c>
      <c r="Q75" s="158">
        <f t="shared" si="60"/>
        <v>0</v>
      </c>
      <c r="R75" s="158">
        <f t="shared" si="61"/>
        <v>0</v>
      </c>
      <c r="S75" s="158">
        <f t="shared" si="62"/>
        <v>0</v>
      </c>
      <c r="T75" s="158">
        <f t="shared" si="63"/>
        <v>0</v>
      </c>
      <c r="U75" s="128"/>
      <c r="V75" s="172">
        <f t="shared" si="64"/>
        <v>0</v>
      </c>
      <c r="W75" s="172">
        <f t="shared" si="65"/>
        <v>0</v>
      </c>
      <c r="X75" s="172">
        <f t="shared" si="66"/>
        <v>0</v>
      </c>
      <c r="Y75" s="172">
        <f t="shared" si="67"/>
        <v>0</v>
      </c>
      <c r="Z75" s="172">
        <f t="shared" si="68"/>
        <v>0</v>
      </c>
      <c r="AA75" s="172">
        <f t="shared" si="69"/>
        <v>0</v>
      </c>
      <c r="AB75" s="172">
        <f t="shared" si="70"/>
        <v>0</v>
      </c>
      <c r="AC75" s="172">
        <f t="shared" si="71"/>
        <v>0</v>
      </c>
      <c r="AD75" s="112"/>
      <c r="AE75" s="112" t="e">
        <f t="shared" si="72"/>
        <v>#DIV/0!</v>
      </c>
      <c r="AF75" s="112" t="e">
        <f t="shared" si="73"/>
        <v>#DIV/0!</v>
      </c>
      <c r="AG75" s="112" t="e">
        <f t="shared" si="74"/>
        <v>#DIV/0!</v>
      </c>
      <c r="AH75" s="112" t="e">
        <f t="shared" si="75"/>
        <v>#DIV/0!</v>
      </c>
      <c r="AI75" s="112" t="e">
        <f t="shared" si="76"/>
        <v>#DIV/0!</v>
      </c>
      <c r="AJ75" s="112" t="e">
        <f t="shared" si="77"/>
        <v>#DIV/0!</v>
      </c>
      <c r="AK75" s="112" t="e">
        <f t="shared" si="78"/>
        <v>#DIV/0!</v>
      </c>
      <c r="AL75" s="112" t="e">
        <f t="shared" si="79"/>
        <v>#DIV/0!</v>
      </c>
      <c r="AM75" s="112"/>
      <c r="AN75" s="129" t="e">
        <f>VLOOKUP($B75,'input gas_ethane'!$B$3:$Y$68,24,FALSE)*1000/'input vfa'!AC75</f>
        <v>#N/A</v>
      </c>
      <c r="AO75" s="129" t="e">
        <f>VLOOKUP($B75,'input gas_ethane'!$B$3:$Y$68,22,FALSE)*1000/'input vfa'!AC75</f>
        <v>#N/A</v>
      </c>
      <c r="AP75" s="129" t="e">
        <f t="shared" si="49"/>
        <v>#DIV/0!</v>
      </c>
      <c r="AQ75" s="129" t="e">
        <f t="shared" si="80"/>
        <v>#DIV/0!</v>
      </c>
      <c r="AR75" s="129">
        <f t="shared" si="81"/>
        <v>0</v>
      </c>
      <c r="AS75" s="129">
        <f t="shared" si="82"/>
        <v>0</v>
      </c>
      <c r="AT75" s="129" t="e">
        <f t="shared" si="83"/>
        <v>#DIV/0!</v>
      </c>
      <c r="AU75" s="127">
        <f>SUM(preparation_sheet_flasks!M75:P75)</f>
        <v>0</v>
      </c>
    </row>
    <row r="76" spans="1:47" ht="14.25" customHeight="1">
      <c r="A76" s="127">
        <f>technical_sheet_vfa!B77</f>
        <v>0</v>
      </c>
      <c r="B76" s="107">
        <f>technical_sheet_vfa!C77</f>
        <v>0</v>
      </c>
      <c r="C76" s="128"/>
      <c r="D76" s="128"/>
      <c r="E76" s="128"/>
      <c r="F76" s="128"/>
      <c r="G76" s="128"/>
      <c r="H76" s="128"/>
      <c r="I76" s="128"/>
      <c r="J76" s="128"/>
      <c r="K76" s="128">
        <v>25</v>
      </c>
      <c r="L76" s="128"/>
      <c r="M76" s="158">
        <f t="shared" si="56"/>
        <v>0</v>
      </c>
      <c r="N76" s="158">
        <f t="shared" si="57"/>
        <v>0</v>
      </c>
      <c r="O76" s="158">
        <f t="shared" si="58"/>
        <v>0</v>
      </c>
      <c r="P76" s="158">
        <f t="shared" si="59"/>
        <v>0</v>
      </c>
      <c r="Q76" s="158">
        <f t="shared" si="60"/>
        <v>0</v>
      </c>
      <c r="R76" s="158">
        <f t="shared" si="61"/>
        <v>0</v>
      </c>
      <c r="S76" s="158">
        <f t="shared" si="62"/>
        <v>0</v>
      </c>
      <c r="T76" s="158">
        <f t="shared" si="63"/>
        <v>0</v>
      </c>
      <c r="U76" s="128"/>
      <c r="V76" s="172">
        <f t="shared" si="64"/>
        <v>0</v>
      </c>
      <c r="W76" s="172">
        <f t="shared" si="65"/>
        <v>0</v>
      </c>
      <c r="X76" s="172">
        <f t="shared" si="66"/>
        <v>0</v>
      </c>
      <c r="Y76" s="172">
        <f t="shared" si="67"/>
        <v>0</v>
      </c>
      <c r="Z76" s="172">
        <f t="shared" si="68"/>
        <v>0</v>
      </c>
      <c r="AA76" s="172">
        <f t="shared" si="69"/>
        <v>0</v>
      </c>
      <c r="AB76" s="172">
        <f t="shared" si="70"/>
        <v>0</v>
      </c>
      <c r="AC76" s="172">
        <f t="shared" si="71"/>
        <v>0</v>
      </c>
      <c r="AD76" s="112"/>
      <c r="AE76" s="112" t="e">
        <f t="shared" si="72"/>
        <v>#DIV/0!</v>
      </c>
      <c r="AF76" s="112" t="e">
        <f t="shared" si="73"/>
        <v>#DIV/0!</v>
      </c>
      <c r="AG76" s="112" t="e">
        <f t="shared" si="74"/>
        <v>#DIV/0!</v>
      </c>
      <c r="AH76" s="112" t="e">
        <f t="shared" si="75"/>
        <v>#DIV/0!</v>
      </c>
      <c r="AI76" s="112" t="e">
        <f t="shared" si="76"/>
        <v>#DIV/0!</v>
      </c>
      <c r="AJ76" s="112" t="e">
        <f t="shared" si="77"/>
        <v>#DIV/0!</v>
      </c>
      <c r="AK76" s="112" t="e">
        <f t="shared" si="78"/>
        <v>#DIV/0!</v>
      </c>
      <c r="AL76" s="112" t="e">
        <f t="shared" si="79"/>
        <v>#DIV/0!</v>
      </c>
      <c r="AM76" s="112"/>
      <c r="AN76" s="129" t="e">
        <f>VLOOKUP($B76,'input gas_ethane'!$B$3:$Y$68,24,FALSE)*1000/'input vfa'!AC76</f>
        <v>#N/A</v>
      </c>
      <c r="AO76" s="129" t="e">
        <f>VLOOKUP($B76,'input gas_ethane'!$B$3:$Y$68,22,FALSE)*1000/'input vfa'!AC76</f>
        <v>#N/A</v>
      </c>
      <c r="AP76" s="129" t="e">
        <f t="shared" si="49"/>
        <v>#DIV/0!</v>
      </c>
      <c r="AQ76" s="129" t="e">
        <f t="shared" si="80"/>
        <v>#DIV/0!</v>
      </c>
      <c r="AR76" s="129">
        <f t="shared" si="81"/>
        <v>0</v>
      </c>
      <c r="AS76" s="129">
        <f t="shared" si="82"/>
        <v>0</v>
      </c>
      <c r="AT76" s="129" t="e">
        <f t="shared" si="83"/>
        <v>#DIV/0!</v>
      </c>
      <c r="AU76" s="127">
        <f>SUM(preparation_sheet_flasks!M76:P76)</f>
        <v>0</v>
      </c>
    </row>
    <row r="77" spans="1:47" ht="14.25" customHeight="1">
      <c r="A77" s="127"/>
      <c r="B77" s="107"/>
      <c r="C77" s="128"/>
      <c r="D77" s="128"/>
      <c r="E77" s="128"/>
      <c r="F77" s="128"/>
      <c r="G77" s="128"/>
      <c r="H77" s="128"/>
      <c r="I77" s="128"/>
      <c r="J77" s="128"/>
      <c r="K77" s="128"/>
      <c r="L77" s="128"/>
      <c r="M77" s="158"/>
      <c r="N77" s="158"/>
      <c r="O77" s="158"/>
      <c r="P77" s="158"/>
      <c r="Q77" s="158"/>
      <c r="R77" s="158"/>
      <c r="S77" s="158"/>
      <c r="T77" s="158"/>
      <c r="U77" s="128"/>
      <c r="V77" s="172"/>
      <c r="W77" s="172"/>
      <c r="X77" s="172"/>
      <c r="Y77" s="172"/>
      <c r="Z77" s="172"/>
      <c r="AA77" s="172"/>
      <c r="AB77" s="172"/>
      <c r="AC77" s="172"/>
      <c r="AD77" s="112"/>
      <c r="AE77" s="112"/>
      <c r="AF77" s="112"/>
      <c r="AG77" s="112"/>
      <c r="AH77" s="112"/>
      <c r="AI77" s="112"/>
      <c r="AJ77" s="112"/>
      <c r="AK77" s="112"/>
      <c r="AL77" s="112"/>
      <c r="AM77" s="112"/>
      <c r="AN77" s="129"/>
      <c r="AO77" s="129"/>
      <c r="AP77" s="129"/>
      <c r="AQ77" s="129"/>
      <c r="AR77" s="129"/>
      <c r="AS77" s="129"/>
      <c r="AT77" s="129"/>
      <c r="AU77" s="127"/>
    </row>
    <row r="78" spans="1:47" ht="14.25" customHeight="1">
      <c r="A78" s="127"/>
      <c r="B78" s="107"/>
      <c r="C78" s="128"/>
      <c r="D78" s="128"/>
      <c r="E78" s="128"/>
      <c r="F78" s="128"/>
      <c r="G78" s="128"/>
      <c r="H78" s="128"/>
      <c r="I78" s="128"/>
      <c r="J78" s="128"/>
      <c r="K78" s="128"/>
      <c r="L78" s="128"/>
      <c r="M78" s="158"/>
      <c r="N78" s="158"/>
      <c r="O78" s="158"/>
      <c r="P78" s="158"/>
      <c r="Q78" s="158"/>
      <c r="R78" s="158"/>
      <c r="S78" s="158"/>
      <c r="T78" s="158"/>
      <c r="U78" s="128"/>
      <c r="V78" s="172"/>
      <c r="W78" s="172"/>
      <c r="X78" s="172"/>
      <c r="Y78" s="172"/>
      <c r="Z78" s="172"/>
      <c r="AA78" s="172"/>
      <c r="AB78" s="172"/>
      <c r="AC78" s="172"/>
      <c r="AD78" s="112"/>
      <c r="AE78" s="112"/>
      <c r="AF78" s="112"/>
      <c r="AG78" s="112"/>
      <c r="AH78" s="112"/>
      <c r="AI78" s="112"/>
      <c r="AJ78" s="112"/>
      <c r="AK78" s="112"/>
      <c r="AL78" s="112"/>
      <c r="AM78" s="112"/>
      <c r="AN78" s="129"/>
      <c r="AO78" s="129"/>
      <c r="AP78" s="129"/>
      <c r="AQ78" s="129"/>
      <c r="AR78" s="129"/>
      <c r="AS78" s="129"/>
      <c r="AT78" s="129"/>
      <c r="AU78" s="127"/>
    </row>
    <row r="79" spans="1:47" ht="14.25" customHeight="1">
      <c r="A79" s="127"/>
      <c r="B79" s="107"/>
      <c r="C79" s="128"/>
      <c r="D79" s="128"/>
      <c r="E79" s="128"/>
      <c r="F79" s="128"/>
      <c r="G79" s="128"/>
      <c r="H79" s="128"/>
      <c r="I79" s="128"/>
      <c r="J79" s="128"/>
      <c r="K79" s="128"/>
      <c r="L79" s="128"/>
      <c r="M79" s="158"/>
      <c r="N79" s="158"/>
      <c r="O79" s="158"/>
      <c r="P79" s="158"/>
      <c r="Q79" s="158"/>
      <c r="R79" s="158"/>
      <c r="S79" s="158"/>
      <c r="T79" s="158"/>
      <c r="U79" s="128"/>
      <c r="V79" s="172"/>
      <c r="W79" s="172"/>
      <c r="X79" s="172"/>
      <c r="Y79" s="172"/>
      <c r="Z79" s="172"/>
      <c r="AA79" s="172"/>
      <c r="AB79" s="172"/>
      <c r="AC79" s="172"/>
      <c r="AD79" s="112"/>
      <c r="AE79" s="112"/>
      <c r="AF79" s="112"/>
      <c r="AG79" s="112"/>
      <c r="AH79" s="112"/>
      <c r="AI79" s="112"/>
      <c r="AJ79" s="112"/>
      <c r="AK79" s="112"/>
      <c r="AL79" s="112"/>
      <c r="AM79" s="112"/>
      <c r="AN79" s="129"/>
      <c r="AO79" s="129"/>
      <c r="AP79" s="129"/>
      <c r="AQ79" s="129"/>
      <c r="AR79" s="129"/>
      <c r="AS79" s="129"/>
      <c r="AT79" s="129"/>
      <c r="AU79" s="127"/>
    </row>
    <row r="80" spans="1:47" ht="14.25" customHeight="1">
      <c r="A80" s="127"/>
      <c r="B80" s="107"/>
      <c r="C80" s="128"/>
      <c r="D80" s="128"/>
      <c r="E80" s="128"/>
      <c r="F80" s="128"/>
      <c r="G80" s="128"/>
      <c r="H80" s="128"/>
      <c r="I80" s="128"/>
      <c r="J80" s="128"/>
      <c r="K80" s="128"/>
      <c r="L80" s="128"/>
      <c r="M80" s="158"/>
      <c r="N80" s="158"/>
      <c r="O80" s="158"/>
      <c r="P80" s="158"/>
      <c r="Q80" s="158"/>
      <c r="R80" s="158"/>
      <c r="S80" s="158"/>
      <c r="T80" s="158"/>
      <c r="U80" s="128"/>
      <c r="V80" s="172"/>
      <c r="W80" s="172"/>
      <c r="X80" s="172"/>
      <c r="Y80" s="172"/>
      <c r="Z80" s="172"/>
      <c r="AA80" s="172"/>
      <c r="AB80" s="172"/>
      <c r="AC80" s="172"/>
      <c r="AD80" s="112"/>
      <c r="AE80" s="112"/>
      <c r="AF80" s="112"/>
      <c r="AG80" s="112"/>
      <c r="AH80" s="112"/>
      <c r="AI80" s="112"/>
      <c r="AJ80" s="112"/>
      <c r="AK80" s="112"/>
      <c r="AL80" s="112"/>
      <c r="AM80" s="112"/>
      <c r="AN80" s="129"/>
      <c r="AO80" s="129"/>
      <c r="AP80" s="129"/>
      <c r="AQ80" s="129"/>
      <c r="AR80" s="129"/>
      <c r="AS80" s="129"/>
      <c r="AT80" s="129"/>
      <c r="AU80" s="127"/>
    </row>
    <row r="81" spans="1:47" ht="14.25" customHeight="1">
      <c r="A81" s="127"/>
      <c r="B81" s="107"/>
      <c r="C81" s="128"/>
      <c r="D81" s="128"/>
      <c r="E81" s="128"/>
      <c r="F81" s="128"/>
      <c r="G81" s="128"/>
      <c r="H81" s="128"/>
      <c r="I81" s="128"/>
      <c r="J81" s="128"/>
      <c r="K81" s="128"/>
      <c r="L81" s="128"/>
      <c r="M81" s="158"/>
      <c r="N81" s="158"/>
      <c r="O81" s="158"/>
      <c r="P81" s="158"/>
      <c r="Q81" s="158"/>
      <c r="R81" s="158"/>
      <c r="S81" s="158"/>
      <c r="T81" s="158"/>
      <c r="U81" s="128"/>
      <c r="V81" s="172"/>
      <c r="W81" s="172"/>
      <c r="X81" s="172"/>
      <c r="Y81" s="172"/>
      <c r="Z81" s="172"/>
      <c r="AA81" s="172"/>
      <c r="AB81" s="172"/>
      <c r="AC81" s="172"/>
      <c r="AD81" s="112"/>
      <c r="AE81" s="112"/>
      <c r="AF81" s="112"/>
      <c r="AG81" s="112"/>
      <c r="AH81" s="112"/>
      <c r="AI81" s="112"/>
      <c r="AJ81" s="112"/>
      <c r="AK81" s="112"/>
      <c r="AL81" s="112"/>
      <c r="AM81" s="112"/>
      <c r="AN81" s="129"/>
      <c r="AO81" s="129"/>
      <c r="AP81" s="129"/>
      <c r="AQ81" s="129"/>
      <c r="AR81" s="129"/>
      <c r="AS81" s="129"/>
      <c r="AT81" s="129"/>
      <c r="AU81" s="127"/>
    </row>
    <row r="82" spans="1:47" ht="14.25" customHeight="1">
      <c r="A82" s="127"/>
      <c r="B82" s="107"/>
      <c r="C82" s="128"/>
      <c r="D82" s="128"/>
      <c r="E82" s="128"/>
      <c r="F82" s="128"/>
      <c r="G82" s="128"/>
      <c r="H82" s="128"/>
      <c r="I82" s="128"/>
      <c r="J82" s="128"/>
      <c r="K82" s="128"/>
      <c r="L82" s="128"/>
      <c r="M82" s="158"/>
      <c r="N82" s="158"/>
      <c r="O82" s="158"/>
      <c r="P82" s="158"/>
      <c r="Q82" s="158"/>
      <c r="R82" s="158"/>
      <c r="S82" s="158"/>
      <c r="T82" s="158"/>
      <c r="U82" s="128"/>
      <c r="V82" s="172"/>
      <c r="W82" s="172"/>
      <c r="X82" s="172"/>
      <c r="Y82" s="172"/>
      <c r="Z82" s="172"/>
      <c r="AA82" s="172"/>
      <c r="AB82" s="172"/>
      <c r="AC82" s="172"/>
      <c r="AD82" s="112"/>
      <c r="AE82" s="112"/>
      <c r="AF82" s="112"/>
      <c r="AG82" s="112"/>
      <c r="AH82" s="112"/>
      <c r="AI82" s="112"/>
      <c r="AJ82" s="112"/>
      <c r="AK82" s="112"/>
      <c r="AL82" s="112"/>
      <c r="AM82" s="112"/>
      <c r="AN82" s="129"/>
      <c r="AO82" s="129"/>
      <c r="AP82" s="129"/>
      <c r="AQ82" s="129"/>
      <c r="AR82" s="129"/>
      <c r="AS82" s="129"/>
      <c r="AT82" s="129"/>
      <c r="AU82" s="127"/>
    </row>
    <row r="83" spans="1:47" ht="14.25" customHeight="1">
      <c r="A83" s="127"/>
      <c r="B83" s="107"/>
      <c r="C83" s="128"/>
      <c r="D83" s="128"/>
      <c r="E83" s="128"/>
      <c r="F83" s="128"/>
      <c r="G83" s="128"/>
      <c r="H83" s="128"/>
      <c r="I83" s="128"/>
      <c r="J83" s="128"/>
      <c r="K83" s="128"/>
      <c r="L83" s="128"/>
      <c r="M83" s="158"/>
      <c r="N83" s="158"/>
      <c r="O83" s="158"/>
      <c r="P83" s="158"/>
      <c r="Q83" s="158"/>
      <c r="R83" s="158"/>
      <c r="S83" s="158"/>
      <c r="T83" s="158"/>
      <c r="U83" s="128"/>
      <c r="V83" s="172"/>
      <c r="W83" s="172"/>
      <c r="X83" s="172"/>
      <c r="Y83" s="172"/>
      <c r="Z83" s="172"/>
      <c r="AA83" s="172"/>
      <c r="AB83" s="172"/>
      <c r="AC83" s="172"/>
      <c r="AD83" s="112"/>
      <c r="AE83" s="112"/>
      <c r="AF83" s="112"/>
      <c r="AG83" s="112"/>
      <c r="AH83" s="112"/>
      <c r="AI83" s="112"/>
      <c r="AJ83" s="112"/>
      <c r="AK83" s="112"/>
      <c r="AL83" s="112"/>
      <c r="AM83" s="112"/>
      <c r="AN83" s="129"/>
      <c r="AO83" s="129"/>
      <c r="AP83" s="129"/>
      <c r="AQ83" s="129"/>
      <c r="AR83" s="129"/>
      <c r="AS83" s="129"/>
      <c r="AT83" s="129"/>
      <c r="AU83" s="127"/>
    </row>
    <row r="84" spans="1:47" ht="14.25" customHeight="1">
      <c r="A84" s="127"/>
      <c r="B84" s="107"/>
      <c r="C84" s="128"/>
      <c r="D84" s="128"/>
      <c r="E84" s="128"/>
      <c r="F84" s="128"/>
      <c r="G84" s="128"/>
      <c r="H84" s="128"/>
      <c r="I84" s="128"/>
      <c r="J84" s="128"/>
      <c r="K84" s="128"/>
      <c r="L84" s="128"/>
      <c r="M84" s="158"/>
      <c r="N84" s="158"/>
      <c r="O84" s="158"/>
      <c r="P84" s="158"/>
      <c r="Q84" s="158"/>
      <c r="R84" s="158"/>
      <c r="S84" s="158"/>
      <c r="T84" s="158"/>
      <c r="U84" s="128"/>
      <c r="V84" s="172"/>
      <c r="W84" s="172"/>
      <c r="X84" s="172"/>
      <c r="Y84" s="172"/>
      <c r="Z84" s="172"/>
      <c r="AA84" s="172"/>
      <c r="AB84" s="172"/>
      <c r="AC84" s="172"/>
      <c r="AD84" s="112"/>
      <c r="AE84" s="112"/>
      <c r="AF84" s="112"/>
      <c r="AG84" s="112"/>
      <c r="AH84" s="112"/>
      <c r="AI84" s="112"/>
      <c r="AJ84" s="112"/>
      <c r="AK84" s="112"/>
      <c r="AL84" s="112"/>
      <c r="AM84" s="112"/>
      <c r="AN84" s="129"/>
      <c r="AO84" s="129"/>
      <c r="AP84" s="129"/>
      <c r="AQ84" s="129"/>
      <c r="AR84" s="129"/>
      <c r="AS84" s="129"/>
      <c r="AT84" s="129"/>
      <c r="AU84" s="127"/>
    </row>
    <row r="85" spans="1:47" ht="14.25" customHeight="1">
      <c r="A85" s="127"/>
      <c r="B85" s="107"/>
      <c r="C85" s="128"/>
      <c r="D85" s="128"/>
      <c r="E85" s="128"/>
      <c r="F85" s="128"/>
      <c r="G85" s="128"/>
      <c r="H85" s="128"/>
      <c r="I85" s="128"/>
      <c r="J85" s="128"/>
      <c r="K85" s="128"/>
      <c r="L85" s="128"/>
      <c r="M85" s="158"/>
      <c r="N85" s="158"/>
      <c r="O85" s="158"/>
      <c r="P85" s="158"/>
      <c r="Q85" s="158"/>
      <c r="R85" s="158"/>
      <c r="S85" s="158"/>
      <c r="T85" s="158"/>
      <c r="U85" s="128"/>
      <c r="V85" s="172"/>
      <c r="W85" s="172"/>
      <c r="X85" s="172"/>
      <c r="Y85" s="172"/>
      <c r="Z85" s="172"/>
      <c r="AA85" s="172"/>
      <c r="AB85" s="172"/>
      <c r="AC85" s="172"/>
      <c r="AD85" s="112"/>
      <c r="AE85" s="112"/>
      <c r="AF85" s="112"/>
      <c r="AG85" s="112"/>
      <c r="AH85" s="112"/>
      <c r="AI85" s="112"/>
      <c r="AJ85" s="112"/>
      <c r="AK85" s="112"/>
      <c r="AL85" s="112"/>
      <c r="AM85" s="112"/>
      <c r="AN85" s="129"/>
      <c r="AO85" s="129"/>
      <c r="AP85" s="129"/>
      <c r="AQ85" s="129"/>
      <c r="AR85" s="129"/>
      <c r="AS85" s="129"/>
      <c r="AT85" s="129"/>
      <c r="AU85" s="127"/>
    </row>
    <row r="86" spans="1:47" ht="14.25" customHeight="1">
      <c r="A86" s="127"/>
      <c r="B86" s="107"/>
      <c r="C86" s="128"/>
      <c r="D86" s="128"/>
      <c r="E86" s="128"/>
      <c r="F86" s="128"/>
      <c r="G86" s="128"/>
      <c r="H86" s="128"/>
      <c r="I86" s="128"/>
      <c r="J86" s="128"/>
      <c r="K86" s="128"/>
      <c r="L86" s="128"/>
      <c r="M86" s="158"/>
      <c r="N86" s="158"/>
      <c r="O86" s="158"/>
      <c r="P86" s="158"/>
      <c r="Q86" s="158"/>
      <c r="R86" s="158"/>
      <c r="S86" s="158"/>
      <c r="T86" s="158"/>
      <c r="U86" s="128"/>
      <c r="V86" s="172"/>
      <c r="W86" s="172"/>
      <c r="X86" s="172"/>
      <c r="Y86" s="172"/>
      <c r="Z86" s="172"/>
      <c r="AA86" s="172"/>
      <c r="AB86" s="172"/>
      <c r="AC86" s="172"/>
      <c r="AD86" s="112"/>
      <c r="AE86" s="112"/>
      <c r="AF86" s="112"/>
      <c r="AG86" s="112"/>
      <c r="AH86" s="112"/>
      <c r="AI86" s="112"/>
      <c r="AJ86" s="112"/>
      <c r="AK86" s="112"/>
      <c r="AL86" s="112"/>
      <c r="AM86" s="112"/>
      <c r="AN86" s="129"/>
      <c r="AO86" s="129"/>
      <c r="AP86" s="129"/>
      <c r="AQ86" s="129"/>
      <c r="AR86" s="129"/>
      <c r="AS86" s="129"/>
      <c r="AT86" s="129"/>
      <c r="AU86" s="127"/>
    </row>
    <row r="87" spans="1:47" ht="14.25" customHeight="1">
      <c r="A87" s="127"/>
      <c r="B87" s="107"/>
      <c r="C87" s="128"/>
      <c r="D87" s="128"/>
      <c r="E87" s="128"/>
      <c r="F87" s="128"/>
      <c r="G87" s="128"/>
      <c r="H87" s="128"/>
      <c r="I87" s="128"/>
      <c r="J87" s="128"/>
      <c r="K87" s="128"/>
      <c r="L87" s="128"/>
      <c r="M87" s="158"/>
      <c r="N87" s="158"/>
      <c r="O87" s="158"/>
      <c r="P87" s="158"/>
      <c r="Q87" s="158"/>
      <c r="R87" s="158"/>
      <c r="S87" s="158"/>
      <c r="T87" s="158"/>
      <c r="U87" s="128"/>
      <c r="V87" s="172"/>
      <c r="W87" s="172"/>
      <c r="X87" s="172"/>
      <c r="Y87" s="172"/>
      <c r="Z87" s="172"/>
      <c r="AA87" s="172"/>
      <c r="AB87" s="172"/>
      <c r="AC87" s="172"/>
      <c r="AD87" s="112"/>
      <c r="AE87" s="112"/>
      <c r="AF87" s="112"/>
      <c r="AG87" s="112"/>
      <c r="AH87" s="112"/>
      <c r="AI87" s="112"/>
      <c r="AJ87" s="112"/>
      <c r="AK87" s="112"/>
      <c r="AL87" s="112"/>
      <c r="AM87" s="112"/>
      <c r="AN87" s="129"/>
      <c r="AO87" s="129"/>
      <c r="AP87" s="129"/>
      <c r="AQ87" s="129"/>
      <c r="AR87" s="129"/>
      <c r="AS87" s="129"/>
      <c r="AT87" s="129"/>
      <c r="AU87" s="127"/>
    </row>
    <row r="88" spans="1:47" ht="14.25" customHeight="1" thickBot="1">
      <c r="A88" s="378"/>
      <c r="B88" s="349"/>
      <c r="C88" s="379"/>
      <c r="D88" s="379"/>
      <c r="E88" s="379"/>
      <c r="F88" s="379"/>
      <c r="G88" s="379"/>
      <c r="H88" s="379"/>
      <c r="I88" s="379"/>
      <c r="J88" s="379"/>
      <c r="K88" s="379"/>
      <c r="L88" s="379"/>
      <c r="M88" s="380"/>
      <c r="N88" s="380"/>
      <c r="O88" s="380"/>
      <c r="P88" s="380"/>
      <c r="Q88" s="380"/>
      <c r="R88" s="380"/>
      <c r="S88" s="380"/>
      <c r="T88" s="380"/>
      <c r="U88" s="379"/>
      <c r="V88" s="381"/>
      <c r="W88" s="381"/>
      <c r="X88" s="381"/>
      <c r="Y88" s="381"/>
      <c r="Z88" s="381"/>
      <c r="AA88" s="381"/>
      <c r="AB88" s="381"/>
      <c r="AC88" s="381"/>
      <c r="AD88" s="354"/>
      <c r="AE88" s="354"/>
      <c r="AF88" s="354"/>
      <c r="AG88" s="354"/>
      <c r="AH88" s="354"/>
      <c r="AI88" s="354"/>
      <c r="AJ88" s="354"/>
      <c r="AK88" s="354"/>
      <c r="AL88" s="354"/>
      <c r="AM88" s="354"/>
      <c r="AN88" s="382"/>
      <c r="AO88" s="382"/>
      <c r="AP88" s="382"/>
      <c r="AQ88" s="382"/>
      <c r="AR88" s="382"/>
      <c r="AS88" s="382"/>
      <c r="AT88" s="382"/>
      <c r="AU88" s="378"/>
    </row>
    <row r="89" spans="1:47" ht="14.25" customHeight="1">
      <c r="A89" s="373"/>
      <c r="B89" s="243"/>
      <c r="C89" s="374"/>
      <c r="D89" s="374"/>
      <c r="E89" s="374"/>
      <c r="F89" s="374"/>
      <c r="G89" s="374"/>
      <c r="H89" s="374"/>
      <c r="I89" s="374"/>
      <c r="J89" s="374"/>
      <c r="K89" s="374"/>
      <c r="L89" s="374"/>
      <c r="M89" s="375"/>
      <c r="N89" s="375"/>
      <c r="O89" s="375"/>
      <c r="P89" s="375"/>
      <c r="Q89" s="375"/>
      <c r="R89" s="375"/>
      <c r="S89" s="375"/>
      <c r="T89" s="375"/>
      <c r="U89" s="374"/>
      <c r="V89" s="376"/>
      <c r="W89" s="376"/>
      <c r="X89" s="376"/>
      <c r="Y89" s="376"/>
      <c r="Z89" s="376"/>
      <c r="AA89" s="376"/>
      <c r="AB89" s="376"/>
      <c r="AC89" s="376"/>
      <c r="AD89" s="247"/>
      <c r="AE89" s="247"/>
      <c r="AF89" s="247"/>
      <c r="AG89" s="247"/>
      <c r="AH89" s="247"/>
      <c r="AI89" s="247"/>
      <c r="AJ89" s="247"/>
      <c r="AK89" s="247"/>
      <c r="AL89" s="247"/>
      <c r="AM89" s="247"/>
      <c r="AN89" s="377"/>
      <c r="AO89" s="377"/>
      <c r="AP89" s="377"/>
      <c r="AQ89" s="377"/>
      <c r="AR89" s="377"/>
      <c r="AS89" s="377"/>
      <c r="AT89" s="377"/>
      <c r="AU89" s="373"/>
    </row>
    <row r="90" spans="1:47" ht="14.25" customHeight="1">
      <c r="A90" s="130"/>
      <c r="B90" s="113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73"/>
      <c r="N90" s="173"/>
      <c r="O90" s="173"/>
      <c r="P90" s="173"/>
      <c r="Q90" s="173"/>
      <c r="R90" s="173"/>
      <c r="S90" s="173"/>
      <c r="T90" s="173"/>
      <c r="U90" s="131"/>
      <c r="V90" s="174"/>
      <c r="W90" s="174"/>
      <c r="X90" s="174"/>
      <c r="Y90" s="174"/>
      <c r="Z90" s="174"/>
      <c r="AA90" s="174"/>
      <c r="AB90" s="174"/>
      <c r="AC90" s="174"/>
      <c r="AD90" s="117"/>
      <c r="AE90" s="117"/>
      <c r="AF90" s="117"/>
      <c r="AG90" s="117"/>
      <c r="AH90" s="117"/>
      <c r="AI90" s="117"/>
      <c r="AJ90" s="117"/>
      <c r="AK90" s="117"/>
      <c r="AL90" s="117"/>
      <c r="AM90" s="117"/>
      <c r="AN90" s="132"/>
      <c r="AO90" s="132"/>
      <c r="AP90" s="132"/>
      <c r="AQ90" s="132"/>
      <c r="AR90" s="132"/>
      <c r="AS90" s="132"/>
      <c r="AT90" s="132"/>
      <c r="AU90" s="130"/>
    </row>
    <row r="91" spans="1:47" ht="14.25" customHeight="1">
      <c r="A91" s="130"/>
      <c r="B91" s="113"/>
      <c r="C91" s="131"/>
      <c r="D91" s="131"/>
      <c r="E91" s="131"/>
      <c r="F91" s="131"/>
      <c r="G91" s="131"/>
      <c r="H91" s="131"/>
      <c r="I91" s="131"/>
      <c r="J91" s="131"/>
      <c r="K91" s="131"/>
      <c r="L91" s="131"/>
      <c r="M91" s="173"/>
      <c r="N91" s="173"/>
      <c r="O91" s="173"/>
      <c r="P91" s="173"/>
      <c r="Q91" s="173"/>
      <c r="R91" s="173"/>
      <c r="S91" s="173"/>
      <c r="T91" s="173"/>
      <c r="U91" s="131"/>
      <c r="V91" s="174"/>
      <c r="W91" s="174"/>
      <c r="X91" s="174"/>
      <c r="Y91" s="174"/>
      <c r="Z91" s="174"/>
      <c r="AA91" s="174"/>
      <c r="AB91" s="174"/>
      <c r="AC91" s="174"/>
      <c r="AD91" s="117"/>
      <c r="AE91" s="117"/>
      <c r="AF91" s="117"/>
      <c r="AG91" s="117"/>
      <c r="AH91" s="117"/>
      <c r="AI91" s="117"/>
      <c r="AJ91" s="117"/>
      <c r="AK91" s="117"/>
      <c r="AL91" s="117"/>
      <c r="AM91" s="117"/>
      <c r="AN91" s="132"/>
      <c r="AO91" s="132"/>
      <c r="AP91" s="132"/>
      <c r="AQ91" s="132"/>
      <c r="AR91" s="132"/>
      <c r="AS91" s="132"/>
      <c r="AT91" s="132"/>
      <c r="AU91" s="130"/>
    </row>
    <row r="92" spans="1:47" ht="14.25" customHeight="1">
      <c r="A92" s="130"/>
      <c r="B92" s="113"/>
      <c r="C92" s="131"/>
      <c r="D92" s="131"/>
      <c r="E92" s="131"/>
      <c r="F92" s="131"/>
      <c r="G92" s="131"/>
      <c r="H92" s="131"/>
      <c r="I92" s="131"/>
      <c r="J92" s="131"/>
      <c r="K92" s="131"/>
      <c r="L92" s="131"/>
      <c r="M92" s="173"/>
      <c r="N92" s="173"/>
      <c r="O92" s="173"/>
      <c r="P92" s="173"/>
      <c r="Q92" s="173"/>
      <c r="R92" s="173"/>
      <c r="S92" s="173"/>
      <c r="T92" s="173"/>
      <c r="U92" s="131"/>
      <c r="V92" s="174"/>
      <c r="W92" s="174"/>
      <c r="X92" s="174"/>
      <c r="Y92" s="174"/>
      <c r="Z92" s="174"/>
      <c r="AA92" s="174"/>
      <c r="AB92" s="174"/>
      <c r="AC92" s="174"/>
      <c r="AD92" s="117"/>
      <c r="AE92" s="117"/>
      <c r="AF92" s="117"/>
      <c r="AG92" s="117"/>
      <c r="AH92" s="117"/>
      <c r="AI92" s="117"/>
      <c r="AJ92" s="117"/>
      <c r="AK92" s="117"/>
      <c r="AL92" s="117"/>
      <c r="AM92" s="117"/>
      <c r="AN92" s="132"/>
      <c r="AO92" s="132"/>
      <c r="AP92" s="132"/>
      <c r="AQ92" s="132"/>
      <c r="AR92" s="132"/>
      <c r="AS92" s="132"/>
      <c r="AT92" s="132"/>
      <c r="AU92" s="130"/>
    </row>
    <row r="93" spans="1:47" ht="14.25" customHeight="1">
      <c r="A93" s="130"/>
      <c r="B93" s="113"/>
      <c r="C93" s="131"/>
      <c r="D93" s="131"/>
      <c r="E93" s="131"/>
      <c r="F93" s="131"/>
      <c r="G93" s="131"/>
      <c r="H93" s="131"/>
      <c r="I93" s="131"/>
      <c r="J93" s="131"/>
      <c r="K93" s="131"/>
      <c r="L93" s="131"/>
      <c r="M93" s="173"/>
      <c r="N93" s="173"/>
      <c r="O93" s="173"/>
      <c r="P93" s="173"/>
      <c r="Q93" s="173"/>
      <c r="R93" s="173"/>
      <c r="S93" s="173"/>
      <c r="T93" s="173"/>
      <c r="U93" s="131"/>
      <c r="V93" s="174"/>
      <c r="W93" s="174"/>
      <c r="X93" s="174"/>
      <c r="Y93" s="174"/>
      <c r="Z93" s="174"/>
      <c r="AA93" s="174"/>
      <c r="AB93" s="174"/>
      <c r="AC93" s="174"/>
      <c r="AD93" s="117"/>
      <c r="AE93" s="117"/>
      <c r="AF93" s="117"/>
      <c r="AG93" s="117"/>
      <c r="AH93" s="117"/>
      <c r="AI93" s="117"/>
      <c r="AJ93" s="117"/>
      <c r="AK93" s="117"/>
      <c r="AL93" s="117"/>
      <c r="AM93" s="117"/>
      <c r="AN93" s="132"/>
      <c r="AO93" s="132"/>
      <c r="AP93" s="132"/>
      <c r="AQ93" s="132"/>
      <c r="AR93" s="132"/>
      <c r="AS93" s="132"/>
      <c r="AT93" s="132"/>
      <c r="AU93" s="130"/>
    </row>
    <row r="94" spans="1:47" ht="14.25" customHeight="1">
      <c r="A94" s="130"/>
      <c r="B94" s="113"/>
      <c r="C94" s="131"/>
      <c r="D94" s="131"/>
      <c r="E94" s="131"/>
      <c r="F94" s="131"/>
      <c r="G94" s="131"/>
      <c r="H94" s="131"/>
      <c r="I94" s="131"/>
      <c r="J94" s="131"/>
      <c r="K94" s="131"/>
      <c r="L94" s="131"/>
      <c r="M94" s="173"/>
      <c r="N94" s="173"/>
      <c r="O94" s="173"/>
      <c r="P94" s="173"/>
      <c r="Q94" s="173"/>
      <c r="R94" s="173"/>
      <c r="S94" s="173"/>
      <c r="T94" s="173"/>
      <c r="U94" s="131"/>
      <c r="V94" s="174"/>
      <c r="W94" s="174"/>
      <c r="X94" s="174"/>
      <c r="Y94" s="174"/>
      <c r="Z94" s="174"/>
      <c r="AA94" s="174"/>
      <c r="AB94" s="174"/>
      <c r="AC94" s="174"/>
      <c r="AD94" s="117"/>
      <c r="AE94" s="117"/>
      <c r="AF94" s="117"/>
      <c r="AG94" s="117"/>
      <c r="AH94" s="117"/>
      <c r="AI94" s="117"/>
      <c r="AJ94" s="117"/>
      <c r="AK94" s="117"/>
      <c r="AL94" s="117"/>
      <c r="AM94" s="117"/>
      <c r="AN94" s="132"/>
      <c r="AO94" s="132"/>
      <c r="AP94" s="132"/>
      <c r="AQ94" s="132"/>
      <c r="AR94" s="132"/>
      <c r="AS94" s="132"/>
      <c r="AT94" s="132"/>
      <c r="AU94" s="130"/>
    </row>
    <row r="95" spans="1:47" ht="14.25" customHeight="1">
      <c r="A95" s="130"/>
      <c r="B95" s="113"/>
      <c r="C95" s="131"/>
      <c r="D95" s="131"/>
      <c r="E95" s="131"/>
      <c r="F95" s="131"/>
      <c r="G95" s="131"/>
      <c r="H95" s="131"/>
      <c r="I95" s="131"/>
      <c r="J95" s="131"/>
      <c r="K95" s="131"/>
      <c r="L95" s="131"/>
      <c r="M95" s="173"/>
      <c r="N95" s="173"/>
      <c r="O95" s="173"/>
      <c r="P95" s="173"/>
      <c r="Q95" s="173"/>
      <c r="R95" s="173"/>
      <c r="S95" s="173"/>
      <c r="T95" s="173"/>
      <c r="U95" s="131"/>
      <c r="V95" s="174"/>
      <c r="W95" s="174"/>
      <c r="X95" s="174"/>
      <c r="Y95" s="174"/>
      <c r="Z95" s="174"/>
      <c r="AA95" s="174"/>
      <c r="AB95" s="174"/>
      <c r="AC95" s="174"/>
      <c r="AD95" s="117"/>
      <c r="AE95" s="117"/>
      <c r="AF95" s="117"/>
      <c r="AG95" s="117"/>
      <c r="AH95" s="117"/>
      <c r="AI95" s="117"/>
      <c r="AJ95" s="117"/>
      <c r="AK95" s="117"/>
      <c r="AL95" s="117"/>
      <c r="AM95" s="117"/>
      <c r="AN95" s="132"/>
      <c r="AO95" s="132"/>
      <c r="AP95" s="132"/>
      <c r="AQ95" s="132"/>
      <c r="AR95" s="132"/>
      <c r="AS95" s="132"/>
      <c r="AT95" s="132"/>
      <c r="AU95" s="130"/>
    </row>
    <row r="96" spans="1:47" ht="14.25" customHeight="1">
      <c r="A96" s="130"/>
      <c r="B96" s="113"/>
      <c r="C96" s="131"/>
      <c r="D96" s="131"/>
      <c r="E96" s="131"/>
      <c r="F96" s="131"/>
      <c r="G96" s="131"/>
      <c r="H96" s="131"/>
      <c r="I96" s="131"/>
      <c r="J96" s="131"/>
      <c r="K96" s="131"/>
      <c r="L96" s="131"/>
      <c r="M96" s="173"/>
      <c r="N96" s="173"/>
      <c r="O96" s="173"/>
      <c r="P96" s="173"/>
      <c r="Q96" s="173"/>
      <c r="R96" s="173"/>
      <c r="S96" s="173"/>
      <c r="T96" s="173"/>
      <c r="U96" s="131"/>
      <c r="V96" s="174"/>
      <c r="W96" s="174"/>
      <c r="X96" s="174"/>
      <c r="Y96" s="174"/>
      <c r="Z96" s="174"/>
      <c r="AA96" s="174"/>
      <c r="AB96" s="174"/>
      <c r="AC96" s="174"/>
      <c r="AD96" s="117"/>
      <c r="AE96" s="117"/>
      <c r="AF96" s="117"/>
      <c r="AG96" s="117"/>
      <c r="AH96" s="117"/>
      <c r="AI96" s="117"/>
      <c r="AJ96" s="117"/>
      <c r="AK96" s="117"/>
      <c r="AL96" s="117"/>
      <c r="AM96" s="117"/>
      <c r="AN96" s="132"/>
      <c r="AO96" s="132"/>
      <c r="AP96" s="132"/>
      <c r="AQ96" s="132"/>
      <c r="AR96" s="132"/>
      <c r="AS96" s="132"/>
      <c r="AT96" s="132"/>
      <c r="AU96" s="130"/>
    </row>
    <row r="97" spans="1:47" ht="14.25" customHeight="1">
      <c r="A97" s="130"/>
      <c r="B97" s="113"/>
      <c r="C97" s="131"/>
      <c r="D97" s="131"/>
      <c r="E97" s="131"/>
      <c r="F97" s="131"/>
      <c r="G97" s="131"/>
      <c r="H97" s="131"/>
      <c r="I97" s="131"/>
      <c r="J97" s="131"/>
      <c r="K97" s="131"/>
      <c r="L97" s="131"/>
      <c r="M97" s="173"/>
      <c r="N97" s="173"/>
      <c r="O97" s="173"/>
      <c r="P97" s="173"/>
      <c r="Q97" s="173"/>
      <c r="R97" s="173"/>
      <c r="S97" s="173"/>
      <c r="T97" s="173"/>
      <c r="U97" s="131"/>
      <c r="V97" s="174"/>
      <c r="W97" s="174"/>
      <c r="X97" s="174"/>
      <c r="Y97" s="174"/>
      <c r="Z97" s="174"/>
      <c r="AA97" s="174"/>
      <c r="AB97" s="174"/>
      <c r="AC97" s="174"/>
      <c r="AD97" s="117"/>
      <c r="AE97" s="117"/>
      <c r="AF97" s="117"/>
      <c r="AG97" s="117"/>
      <c r="AH97" s="117"/>
      <c r="AI97" s="117"/>
      <c r="AJ97" s="117"/>
      <c r="AK97" s="117"/>
      <c r="AL97" s="117"/>
      <c r="AM97" s="117"/>
      <c r="AN97" s="132"/>
      <c r="AO97" s="132"/>
      <c r="AP97" s="132"/>
      <c r="AQ97" s="132"/>
      <c r="AR97" s="132"/>
      <c r="AS97" s="132"/>
      <c r="AT97" s="132"/>
      <c r="AU97" s="130"/>
    </row>
    <row r="98" spans="1:47" ht="14.25" customHeight="1">
      <c r="A98" s="130"/>
      <c r="B98" s="113"/>
      <c r="C98" s="131"/>
      <c r="D98" s="131"/>
      <c r="E98" s="131"/>
      <c r="F98" s="131"/>
      <c r="G98" s="131"/>
      <c r="H98" s="131"/>
      <c r="I98" s="131"/>
      <c r="J98" s="131"/>
      <c r="K98" s="131"/>
      <c r="L98" s="131"/>
      <c r="M98" s="173"/>
      <c r="N98" s="173"/>
      <c r="O98" s="173"/>
      <c r="P98" s="173"/>
      <c r="Q98" s="173"/>
      <c r="R98" s="173"/>
      <c r="S98" s="173"/>
      <c r="T98" s="173"/>
      <c r="U98" s="131"/>
      <c r="V98" s="174"/>
      <c r="W98" s="174"/>
      <c r="X98" s="174"/>
      <c r="Y98" s="174"/>
      <c r="Z98" s="174"/>
      <c r="AA98" s="174"/>
      <c r="AB98" s="174"/>
      <c r="AC98" s="174"/>
      <c r="AD98" s="117"/>
      <c r="AE98" s="117"/>
      <c r="AF98" s="117"/>
      <c r="AG98" s="117"/>
      <c r="AH98" s="117"/>
      <c r="AI98" s="117"/>
      <c r="AJ98" s="117"/>
      <c r="AK98" s="117"/>
      <c r="AL98" s="117"/>
      <c r="AM98" s="117"/>
      <c r="AN98" s="132"/>
      <c r="AO98" s="132"/>
      <c r="AP98" s="132"/>
      <c r="AQ98" s="132"/>
      <c r="AR98" s="132"/>
      <c r="AS98" s="132"/>
      <c r="AT98" s="132"/>
      <c r="AU98" s="130"/>
    </row>
    <row r="99" spans="1:47" ht="14.25" customHeight="1">
      <c r="A99" s="130"/>
      <c r="B99" s="113"/>
      <c r="C99" s="131"/>
      <c r="D99" s="131"/>
      <c r="E99" s="131"/>
      <c r="F99" s="131"/>
      <c r="G99" s="131"/>
      <c r="H99" s="131"/>
      <c r="I99" s="131"/>
      <c r="J99" s="131"/>
      <c r="K99" s="131"/>
      <c r="L99" s="131"/>
      <c r="M99" s="173"/>
      <c r="N99" s="173"/>
      <c r="O99" s="173"/>
      <c r="P99" s="173"/>
      <c r="Q99" s="173"/>
      <c r="R99" s="173"/>
      <c r="S99" s="173"/>
      <c r="T99" s="173"/>
      <c r="U99" s="131"/>
      <c r="V99" s="174"/>
      <c r="W99" s="174"/>
      <c r="X99" s="174"/>
      <c r="Y99" s="174"/>
      <c r="Z99" s="174"/>
      <c r="AA99" s="174"/>
      <c r="AB99" s="174"/>
      <c r="AC99" s="174"/>
      <c r="AD99" s="117"/>
      <c r="AE99" s="117"/>
      <c r="AF99" s="117"/>
      <c r="AG99" s="117"/>
      <c r="AH99" s="117"/>
      <c r="AI99" s="117"/>
      <c r="AJ99" s="117"/>
      <c r="AK99" s="117"/>
      <c r="AL99" s="117"/>
      <c r="AM99" s="117"/>
      <c r="AN99" s="132"/>
      <c r="AO99" s="132"/>
      <c r="AP99" s="132"/>
      <c r="AQ99" s="132"/>
      <c r="AR99" s="132"/>
      <c r="AS99" s="132"/>
      <c r="AT99" s="132"/>
      <c r="AU99" s="130"/>
    </row>
    <row r="100" spans="1:47" ht="14.25" customHeight="1">
      <c r="A100" s="130"/>
      <c r="B100" s="113"/>
      <c r="C100" s="131"/>
      <c r="D100" s="131"/>
      <c r="E100" s="131"/>
      <c r="F100" s="131"/>
      <c r="G100" s="131"/>
      <c r="H100" s="131"/>
      <c r="I100" s="131"/>
      <c r="J100" s="131"/>
      <c r="K100" s="131"/>
      <c r="L100" s="131"/>
      <c r="M100" s="173"/>
      <c r="N100" s="173"/>
      <c r="O100" s="173"/>
      <c r="P100" s="173"/>
      <c r="Q100" s="173"/>
      <c r="R100" s="173"/>
      <c r="S100" s="173"/>
      <c r="T100" s="173"/>
      <c r="U100" s="131"/>
      <c r="V100" s="174"/>
      <c r="W100" s="174"/>
      <c r="X100" s="174"/>
      <c r="Y100" s="174"/>
      <c r="Z100" s="174"/>
      <c r="AA100" s="174"/>
      <c r="AB100" s="174"/>
      <c r="AC100" s="174"/>
      <c r="AD100" s="117"/>
      <c r="AE100" s="117"/>
      <c r="AF100" s="117"/>
      <c r="AG100" s="117"/>
      <c r="AH100" s="117"/>
      <c r="AI100" s="117"/>
      <c r="AJ100" s="117"/>
      <c r="AK100" s="117"/>
      <c r="AL100" s="117"/>
      <c r="AM100" s="117"/>
      <c r="AN100" s="132"/>
      <c r="AO100" s="132"/>
      <c r="AP100" s="132"/>
      <c r="AQ100" s="132"/>
      <c r="AR100" s="132"/>
      <c r="AS100" s="132"/>
      <c r="AT100" s="132"/>
      <c r="AU100" s="130"/>
    </row>
    <row r="101" spans="1:47" ht="14.25" customHeight="1">
      <c r="A101" s="130"/>
      <c r="B101" s="113"/>
      <c r="C101" s="131"/>
      <c r="D101" s="131"/>
      <c r="E101" s="131"/>
      <c r="F101" s="131"/>
      <c r="G101" s="131"/>
      <c r="H101" s="131"/>
      <c r="I101" s="131"/>
      <c r="J101" s="131"/>
      <c r="K101" s="131"/>
      <c r="L101" s="131"/>
      <c r="M101" s="173"/>
      <c r="N101" s="173"/>
      <c r="O101" s="173"/>
      <c r="P101" s="173"/>
      <c r="Q101" s="173"/>
      <c r="R101" s="173"/>
      <c r="S101" s="173"/>
      <c r="T101" s="173"/>
      <c r="U101" s="131"/>
      <c r="V101" s="174"/>
      <c r="W101" s="174"/>
      <c r="X101" s="174"/>
      <c r="Y101" s="174"/>
      <c r="Z101" s="174"/>
      <c r="AA101" s="174"/>
      <c r="AB101" s="174"/>
      <c r="AC101" s="174"/>
      <c r="AD101" s="117"/>
      <c r="AE101" s="117"/>
      <c r="AF101" s="117"/>
      <c r="AG101" s="117"/>
      <c r="AH101" s="117"/>
      <c r="AI101" s="117"/>
      <c r="AJ101" s="117"/>
      <c r="AK101" s="117"/>
      <c r="AL101" s="117"/>
      <c r="AM101" s="117"/>
      <c r="AN101" s="132"/>
      <c r="AO101" s="132"/>
      <c r="AP101" s="132"/>
      <c r="AQ101" s="132"/>
      <c r="AR101" s="132"/>
      <c r="AS101" s="132"/>
      <c r="AT101" s="132"/>
      <c r="AU101" s="130"/>
    </row>
    <row r="102" spans="1:47" ht="14.25" customHeight="1">
      <c r="A102" s="130"/>
      <c r="B102" s="113"/>
      <c r="C102" s="131"/>
      <c r="D102" s="131"/>
      <c r="E102" s="131"/>
      <c r="F102" s="131"/>
      <c r="G102" s="131"/>
      <c r="H102" s="131"/>
      <c r="I102" s="131"/>
      <c r="J102" s="131"/>
      <c r="K102" s="131"/>
      <c r="L102" s="131"/>
      <c r="M102" s="173"/>
      <c r="N102" s="173"/>
      <c r="O102" s="173"/>
      <c r="P102" s="173"/>
      <c r="Q102" s="173"/>
      <c r="R102" s="173"/>
      <c r="S102" s="173"/>
      <c r="T102" s="173"/>
      <c r="U102" s="131"/>
      <c r="V102" s="174"/>
      <c r="W102" s="174"/>
      <c r="X102" s="174"/>
      <c r="Y102" s="174"/>
      <c r="Z102" s="174"/>
      <c r="AA102" s="174"/>
      <c r="AB102" s="174"/>
      <c r="AC102" s="174"/>
      <c r="AD102" s="117"/>
      <c r="AE102" s="117"/>
      <c r="AF102" s="117"/>
      <c r="AG102" s="117"/>
      <c r="AH102" s="117"/>
      <c r="AI102" s="117"/>
      <c r="AJ102" s="117"/>
      <c r="AK102" s="117"/>
      <c r="AL102" s="117"/>
      <c r="AM102" s="117"/>
      <c r="AN102" s="132"/>
      <c r="AO102" s="132"/>
      <c r="AP102" s="132"/>
      <c r="AQ102" s="132"/>
      <c r="AR102" s="132"/>
      <c r="AS102" s="132"/>
      <c r="AT102" s="132"/>
      <c r="AU102" s="130"/>
    </row>
    <row r="103" spans="1:47" ht="14.25" customHeight="1">
      <c r="A103" s="130"/>
      <c r="B103" s="113"/>
      <c r="C103" s="131"/>
      <c r="D103" s="131"/>
      <c r="E103" s="131"/>
      <c r="F103" s="131"/>
      <c r="G103" s="131"/>
      <c r="H103" s="131"/>
      <c r="I103" s="131"/>
      <c r="J103" s="131"/>
      <c r="K103" s="131"/>
      <c r="L103" s="131"/>
      <c r="M103" s="173"/>
      <c r="N103" s="173"/>
      <c r="O103" s="173"/>
      <c r="P103" s="173"/>
      <c r="Q103" s="173"/>
      <c r="R103" s="173"/>
      <c r="S103" s="173"/>
      <c r="T103" s="173"/>
      <c r="U103" s="131"/>
      <c r="V103" s="174"/>
      <c r="W103" s="174"/>
      <c r="X103" s="174"/>
      <c r="Y103" s="174"/>
      <c r="Z103" s="174"/>
      <c r="AA103" s="174"/>
      <c r="AB103" s="174"/>
      <c r="AC103" s="174"/>
      <c r="AD103" s="117"/>
      <c r="AE103" s="117"/>
      <c r="AF103" s="117"/>
      <c r="AG103" s="117"/>
      <c r="AH103" s="117"/>
      <c r="AI103" s="117"/>
      <c r="AJ103" s="117"/>
      <c r="AK103" s="117"/>
      <c r="AL103" s="117"/>
      <c r="AM103" s="117"/>
      <c r="AN103" s="132"/>
      <c r="AO103" s="132"/>
      <c r="AP103" s="132"/>
      <c r="AQ103" s="132"/>
      <c r="AR103" s="132"/>
      <c r="AS103" s="132"/>
      <c r="AT103" s="132"/>
      <c r="AU103" s="130"/>
    </row>
    <row r="104" spans="1:47" ht="14.25" customHeight="1">
      <c r="A104" s="130"/>
      <c r="B104" s="113"/>
      <c r="C104" s="131"/>
      <c r="D104" s="131"/>
      <c r="E104" s="131"/>
      <c r="F104" s="131"/>
      <c r="G104" s="131"/>
      <c r="H104" s="131"/>
      <c r="I104" s="131"/>
      <c r="J104" s="131"/>
      <c r="K104" s="131"/>
      <c r="L104" s="131"/>
      <c r="M104" s="173"/>
      <c r="N104" s="173"/>
      <c r="O104" s="173"/>
      <c r="P104" s="173"/>
      <c r="Q104" s="173"/>
      <c r="R104" s="173"/>
      <c r="S104" s="173"/>
      <c r="T104" s="173"/>
      <c r="U104" s="131"/>
      <c r="V104" s="174"/>
      <c r="W104" s="174"/>
      <c r="X104" s="174"/>
      <c r="Y104" s="174"/>
      <c r="Z104" s="174"/>
      <c r="AA104" s="174"/>
      <c r="AB104" s="174"/>
      <c r="AC104" s="174"/>
      <c r="AD104" s="117"/>
      <c r="AE104" s="117"/>
      <c r="AF104" s="117"/>
      <c r="AG104" s="117"/>
      <c r="AH104" s="117"/>
      <c r="AI104" s="117"/>
      <c r="AJ104" s="117"/>
      <c r="AK104" s="117"/>
      <c r="AL104" s="117"/>
      <c r="AM104" s="117"/>
      <c r="AN104" s="132"/>
      <c r="AO104" s="132"/>
      <c r="AP104" s="132"/>
      <c r="AQ104" s="132"/>
      <c r="AR104" s="132"/>
      <c r="AS104" s="132"/>
      <c r="AT104" s="132"/>
      <c r="AU104" s="130"/>
    </row>
    <row r="105" spans="1:47" ht="14.25" customHeight="1">
      <c r="A105" s="130"/>
      <c r="B105" s="113"/>
      <c r="C105" s="131"/>
      <c r="D105" s="131"/>
      <c r="E105" s="131"/>
      <c r="F105" s="131"/>
      <c r="G105" s="131"/>
      <c r="H105" s="131"/>
      <c r="I105" s="131"/>
      <c r="J105" s="131"/>
      <c r="K105" s="131"/>
      <c r="L105" s="131"/>
      <c r="M105" s="173"/>
      <c r="N105" s="173"/>
      <c r="O105" s="173"/>
      <c r="P105" s="173"/>
      <c r="Q105" s="173"/>
      <c r="R105" s="173"/>
      <c r="S105" s="173"/>
      <c r="T105" s="173"/>
      <c r="U105" s="131"/>
      <c r="V105" s="174"/>
      <c r="W105" s="174"/>
      <c r="X105" s="174"/>
      <c r="Y105" s="174"/>
      <c r="Z105" s="174"/>
      <c r="AA105" s="174"/>
      <c r="AB105" s="174"/>
      <c r="AC105" s="174"/>
      <c r="AD105" s="117"/>
      <c r="AE105" s="117"/>
      <c r="AF105" s="117"/>
      <c r="AG105" s="117"/>
      <c r="AH105" s="117"/>
      <c r="AI105" s="117"/>
      <c r="AJ105" s="117"/>
      <c r="AK105" s="117"/>
      <c r="AL105" s="117"/>
      <c r="AM105" s="117"/>
      <c r="AN105" s="132"/>
      <c r="AO105" s="132"/>
      <c r="AP105" s="132"/>
      <c r="AQ105" s="132"/>
      <c r="AR105" s="132"/>
      <c r="AS105" s="132"/>
      <c r="AT105" s="132"/>
      <c r="AU105" s="130"/>
    </row>
    <row r="106" spans="1:47" ht="14.25" customHeight="1">
      <c r="A106" s="130"/>
      <c r="B106" s="113"/>
      <c r="C106" s="131"/>
      <c r="D106" s="131"/>
      <c r="E106" s="131"/>
      <c r="F106" s="131"/>
      <c r="G106" s="131"/>
      <c r="H106" s="131"/>
      <c r="I106" s="131"/>
      <c r="J106" s="131"/>
      <c r="K106" s="131"/>
      <c r="L106" s="131"/>
      <c r="M106" s="173"/>
      <c r="N106" s="173"/>
      <c r="O106" s="173"/>
      <c r="P106" s="173"/>
      <c r="Q106" s="173"/>
      <c r="R106" s="173"/>
      <c r="S106" s="173"/>
      <c r="T106" s="173"/>
      <c r="U106" s="131"/>
      <c r="V106" s="174"/>
      <c r="W106" s="174"/>
      <c r="X106" s="174"/>
      <c r="Y106" s="174"/>
      <c r="Z106" s="174"/>
      <c r="AA106" s="174"/>
      <c r="AB106" s="174"/>
      <c r="AC106" s="174"/>
      <c r="AD106" s="117"/>
      <c r="AE106" s="117"/>
      <c r="AF106" s="117"/>
      <c r="AG106" s="117"/>
      <c r="AH106" s="117"/>
      <c r="AI106" s="117"/>
      <c r="AJ106" s="117"/>
      <c r="AK106" s="117"/>
      <c r="AL106" s="117"/>
      <c r="AM106" s="117"/>
      <c r="AN106" s="132"/>
      <c r="AO106" s="132"/>
      <c r="AP106" s="132"/>
      <c r="AQ106" s="132"/>
      <c r="AR106" s="132"/>
      <c r="AS106" s="132"/>
      <c r="AT106" s="132"/>
      <c r="AU106" s="130"/>
    </row>
    <row r="107" spans="1:47" ht="14.25" customHeight="1">
      <c r="A107" s="130"/>
      <c r="B107" s="113"/>
      <c r="C107" s="131"/>
      <c r="D107" s="131"/>
      <c r="E107" s="131"/>
      <c r="F107" s="131"/>
      <c r="G107" s="131"/>
      <c r="H107" s="131"/>
      <c r="I107" s="131"/>
      <c r="J107" s="131"/>
      <c r="K107" s="131"/>
      <c r="L107" s="131"/>
      <c r="M107" s="173"/>
      <c r="N107" s="173"/>
      <c r="O107" s="173"/>
      <c r="P107" s="173"/>
      <c r="Q107" s="173"/>
      <c r="R107" s="173"/>
      <c r="S107" s="173"/>
      <c r="T107" s="173"/>
      <c r="U107" s="131"/>
      <c r="V107" s="174"/>
      <c r="W107" s="174"/>
      <c r="X107" s="174"/>
      <c r="Y107" s="174"/>
      <c r="Z107" s="174"/>
      <c r="AA107" s="174"/>
      <c r="AB107" s="174"/>
      <c r="AC107" s="174"/>
      <c r="AD107" s="117"/>
      <c r="AE107" s="117"/>
      <c r="AF107" s="117"/>
      <c r="AG107" s="117"/>
      <c r="AH107" s="117"/>
      <c r="AI107" s="117"/>
      <c r="AJ107" s="117"/>
      <c r="AK107" s="117"/>
      <c r="AL107" s="117"/>
      <c r="AM107" s="117"/>
      <c r="AN107" s="132"/>
      <c r="AO107" s="132"/>
      <c r="AP107" s="132"/>
      <c r="AQ107" s="132"/>
      <c r="AR107" s="132"/>
      <c r="AS107" s="132"/>
      <c r="AT107" s="132"/>
      <c r="AU107" s="130"/>
    </row>
    <row r="108" spans="1:47" ht="14.25" customHeight="1">
      <c r="A108" s="130"/>
      <c r="B108" s="113"/>
      <c r="C108" s="131"/>
      <c r="D108" s="131"/>
      <c r="E108" s="131"/>
      <c r="F108" s="131"/>
      <c r="G108" s="131"/>
      <c r="H108" s="131"/>
      <c r="I108" s="131"/>
      <c r="J108" s="131"/>
      <c r="K108" s="131"/>
      <c r="L108" s="131"/>
      <c r="M108" s="173"/>
      <c r="N108" s="173"/>
      <c r="O108" s="173"/>
      <c r="P108" s="173"/>
      <c r="Q108" s="173"/>
      <c r="R108" s="173"/>
      <c r="S108" s="173"/>
      <c r="T108" s="173"/>
      <c r="U108" s="131"/>
      <c r="V108" s="174"/>
      <c r="W108" s="174"/>
      <c r="X108" s="174"/>
      <c r="Y108" s="174"/>
      <c r="Z108" s="174"/>
      <c r="AA108" s="174"/>
      <c r="AB108" s="174"/>
      <c r="AC108" s="174"/>
      <c r="AD108" s="117"/>
      <c r="AE108" s="117"/>
      <c r="AF108" s="117"/>
      <c r="AG108" s="117"/>
      <c r="AH108" s="117"/>
      <c r="AI108" s="117"/>
      <c r="AJ108" s="117"/>
      <c r="AK108" s="117"/>
      <c r="AL108" s="117"/>
      <c r="AM108" s="117"/>
      <c r="AN108" s="132"/>
      <c r="AO108" s="132"/>
      <c r="AP108" s="132"/>
      <c r="AQ108" s="132"/>
      <c r="AR108" s="132"/>
      <c r="AS108" s="132"/>
      <c r="AT108" s="132"/>
      <c r="AU108" s="130"/>
    </row>
    <row r="109" spans="1:47" ht="14.25" customHeight="1">
      <c r="A109" s="130"/>
      <c r="B109" s="113"/>
      <c r="C109" s="131"/>
      <c r="D109" s="131"/>
      <c r="E109" s="131"/>
      <c r="F109" s="131"/>
      <c r="G109" s="131"/>
      <c r="H109" s="131"/>
      <c r="I109" s="131"/>
      <c r="J109" s="131"/>
      <c r="K109" s="131"/>
      <c r="L109" s="131"/>
      <c r="M109" s="173"/>
      <c r="N109" s="173"/>
      <c r="O109" s="173"/>
      <c r="P109" s="173"/>
      <c r="Q109" s="173"/>
      <c r="R109" s="173"/>
      <c r="S109" s="173"/>
      <c r="T109" s="173"/>
      <c r="U109" s="131"/>
      <c r="V109" s="174"/>
      <c r="W109" s="174"/>
      <c r="X109" s="174"/>
      <c r="Y109" s="174"/>
      <c r="Z109" s="174"/>
      <c r="AA109" s="174"/>
      <c r="AB109" s="174"/>
      <c r="AC109" s="174"/>
      <c r="AD109" s="117"/>
      <c r="AE109" s="117"/>
      <c r="AF109" s="117"/>
      <c r="AG109" s="117"/>
      <c r="AH109" s="117"/>
      <c r="AI109" s="117"/>
      <c r="AJ109" s="117"/>
      <c r="AK109" s="117"/>
      <c r="AL109" s="117"/>
      <c r="AM109" s="117"/>
      <c r="AN109" s="132"/>
      <c r="AO109" s="132"/>
      <c r="AP109" s="132"/>
      <c r="AQ109" s="132"/>
      <c r="AR109" s="132"/>
      <c r="AS109" s="132"/>
      <c r="AT109" s="132"/>
      <c r="AU109" s="130"/>
    </row>
    <row r="110" spans="1:47" ht="14.25" customHeight="1">
      <c r="A110" s="130"/>
      <c r="B110" s="113"/>
      <c r="C110" s="131"/>
      <c r="D110" s="131"/>
      <c r="E110" s="131"/>
      <c r="F110" s="131"/>
      <c r="G110" s="131"/>
      <c r="H110" s="131"/>
      <c r="I110" s="131"/>
      <c r="J110" s="131"/>
      <c r="K110" s="131"/>
      <c r="L110" s="131"/>
      <c r="M110" s="173"/>
      <c r="N110" s="173"/>
      <c r="O110" s="173"/>
      <c r="P110" s="173"/>
      <c r="Q110" s="173"/>
      <c r="R110" s="173"/>
      <c r="S110" s="173"/>
      <c r="T110" s="173"/>
      <c r="U110" s="131"/>
      <c r="V110" s="174"/>
      <c r="W110" s="174"/>
      <c r="X110" s="174"/>
      <c r="Y110" s="174"/>
      <c r="Z110" s="174"/>
      <c r="AA110" s="174"/>
      <c r="AB110" s="174"/>
      <c r="AC110" s="174"/>
      <c r="AD110" s="117"/>
      <c r="AE110" s="117"/>
      <c r="AF110" s="117"/>
      <c r="AG110" s="117"/>
      <c r="AH110" s="117"/>
      <c r="AI110" s="117"/>
      <c r="AJ110" s="117"/>
      <c r="AK110" s="117"/>
      <c r="AL110" s="117"/>
      <c r="AM110" s="117"/>
      <c r="AN110" s="132"/>
      <c r="AO110" s="132"/>
      <c r="AP110" s="132"/>
      <c r="AQ110" s="132"/>
      <c r="AR110" s="132"/>
      <c r="AS110" s="132"/>
      <c r="AT110" s="132"/>
      <c r="AU110" s="130"/>
    </row>
    <row r="111" spans="1:47" ht="14.25" customHeight="1">
      <c r="A111" s="130"/>
      <c r="B111" s="113"/>
      <c r="C111" s="131"/>
      <c r="D111" s="131"/>
      <c r="E111" s="131"/>
      <c r="F111" s="131"/>
      <c r="G111" s="131"/>
      <c r="H111" s="131"/>
      <c r="I111" s="131"/>
      <c r="J111" s="131"/>
      <c r="K111" s="131"/>
      <c r="L111" s="131"/>
      <c r="M111" s="173"/>
      <c r="N111" s="173"/>
      <c r="O111" s="173"/>
      <c r="P111" s="173"/>
      <c r="Q111" s="173"/>
      <c r="R111" s="173"/>
      <c r="S111" s="173"/>
      <c r="T111" s="173"/>
      <c r="U111" s="131"/>
      <c r="V111" s="174"/>
      <c r="W111" s="174"/>
      <c r="X111" s="174"/>
      <c r="Y111" s="174"/>
      <c r="Z111" s="174"/>
      <c r="AA111" s="174"/>
      <c r="AB111" s="174"/>
      <c r="AC111" s="174"/>
      <c r="AD111" s="117"/>
      <c r="AE111" s="117"/>
      <c r="AF111" s="117"/>
      <c r="AG111" s="117"/>
      <c r="AH111" s="117"/>
      <c r="AI111" s="117"/>
      <c r="AJ111" s="117"/>
      <c r="AK111" s="117"/>
      <c r="AL111" s="117"/>
      <c r="AM111" s="117"/>
      <c r="AN111" s="132"/>
      <c r="AO111" s="132"/>
      <c r="AP111" s="132"/>
      <c r="AQ111" s="132"/>
      <c r="AR111" s="132"/>
      <c r="AS111" s="132"/>
      <c r="AT111" s="132"/>
      <c r="AU111" s="130"/>
    </row>
    <row r="112" spans="1:47" ht="14.25" customHeight="1">
      <c r="A112" s="130"/>
      <c r="B112" s="113"/>
      <c r="C112" s="131"/>
      <c r="D112" s="131"/>
      <c r="E112" s="131"/>
      <c r="F112" s="131"/>
      <c r="G112" s="131"/>
      <c r="H112" s="131"/>
      <c r="I112" s="131"/>
      <c r="J112" s="131"/>
      <c r="K112" s="131"/>
      <c r="L112" s="131"/>
      <c r="M112" s="173"/>
      <c r="N112" s="173"/>
      <c r="O112" s="173"/>
      <c r="P112" s="173"/>
      <c r="Q112" s="173"/>
      <c r="R112" s="173"/>
      <c r="S112" s="173"/>
      <c r="T112" s="173"/>
      <c r="U112" s="131"/>
      <c r="V112" s="174"/>
      <c r="W112" s="174"/>
      <c r="X112" s="174"/>
      <c r="Y112" s="174"/>
      <c r="Z112" s="174"/>
      <c r="AA112" s="174"/>
      <c r="AB112" s="174"/>
      <c r="AC112" s="174"/>
      <c r="AD112" s="117"/>
      <c r="AE112" s="117"/>
      <c r="AF112" s="117"/>
      <c r="AG112" s="117"/>
      <c r="AH112" s="117"/>
      <c r="AI112" s="117"/>
      <c r="AJ112" s="117"/>
      <c r="AK112" s="117"/>
      <c r="AL112" s="117"/>
      <c r="AM112" s="117"/>
      <c r="AN112" s="132"/>
      <c r="AO112" s="132"/>
      <c r="AP112" s="132"/>
      <c r="AQ112" s="132"/>
      <c r="AR112" s="132"/>
      <c r="AS112" s="132"/>
      <c r="AT112" s="132"/>
      <c r="AU112" s="130"/>
    </row>
    <row r="113" spans="1:47" ht="14.25" customHeight="1">
      <c r="A113" s="130"/>
      <c r="B113" s="113"/>
      <c r="C113" s="131"/>
      <c r="D113" s="131"/>
      <c r="E113" s="131"/>
      <c r="F113" s="131"/>
      <c r="G113" s="131"/>
      <c r="H113" s="131"/>
      <c r="I113" s="131"/>
      <c r="J113" s="131"/>
      <c r="K113" s="131"/>
      <c r="L113" s="131"/>
      <c r="M113" s="173"/>
      <c r="N113" s="173"/>
      <c r="O113" s="173"/>
      <c r="P113" s="173"/>
      <c r="Q113" s="173"/>
      <c r="R113" s="173"/>
      <c r="S113" s="173"/>
      <c r="T113" s="173"/>
      <c r="U113" s="131"/>
      <c r="V113" s="174"/>
      <c r="W113" s="174"/>
      <c r="X113" s="174"/>
      <c r="Y113" s="174"/>
      <c r="Z113" s="174"/>
      <c r="AA113" s="174"/>
      <c r="AB113" s="174"/>
      <c r="AC113" s="174"/>
      <c r="AD113" s="117"/>
      <c r="AE113" s="117"/>
      <c r="AF113" s="117"/>
      <c r="AG113" s="117"/>
      <c r="AH113" s="117"/>
      <c r="AI113" s="117"/>
      <c r="AJ113" s="117"/>
      <c r="AK113" s="117"/>
      <c r="AL113" s="117"/>
      <c r="AM113" s="117"/>
      <c r="AN113" s="132"/>
      <c r="AO113" s="132"/>
      <c r="AP113" s="132"/>
      <c r="AQ113" s="132"/>
      <c r="AR113" s="132"/>
      <c r="AS113" s="132"/>
      <c r="AT113" s="132"/>
      <c r="AU113" s="130"/>
    </row>
    <row r="114" spans="1:47" ht="14.25" customHeight="1">
      <c r="A114" s="130"/>
      <c r="B114" s="113"/>
      <c r="C114" s="131"/>
      <c r="D114" s="131"/>
      <c r="E114" s="131"/>
      <c r="F114" s="131"/>
      <c r="G114" s="131"/>
      <c r="H114" s="131"/>
      <c r="I114" s="131"/>
      <c r="J114" s="131"/>
      <c r="K114" s="131"/>
      <c r="L114" s="131"/>
      <c r="M114" s="173"/>
      <c r="N114" s="173"/>
      <c r="O114" s="173"/>
      <c r="P114" s="173"/>
      <c r="Q114" s="173"/>
      <c r="R114" s="173"/>
      <c r="S114" s="173"/>
      <c r="T114" s="173"/>
      <c r="U114" s="131"/>
      <c r="V114" s="174"/>
      <c r="W114" s="174"/>
      <c r="X114" s="174"/>
      <c r="Y114" s="174"/>
      <c r="Z114" s="174"/>
      <c r="AA114" s="174"/>
      <c r="AB114" s="174"/>
      <c r="AC114" s="174"/>
      <c r="AD114" s="117"/>
      <c r="AE114" s="117"/>
      <c r="AF114" s="117"/>
      <c r="AG114" s="117"/>
      <c r="AH114" s="117"/>
      <c r="AI114" s="117"/>
      <c r="AJ114" s="117"/>
      <c r="AK114" s="117"/>
      <c r="AL114" s="117"/>
      <c r="AM114" s="117"/>
      <c r="AN114" s="132"/>
      <c r="AO114" s="132"/>
      <c r="AP114" s="132"/>
      <c r="AQ114" s="132"/>
      <c r="AR114" s="132"/>
      <c r="AS114" s="132"/>
      <c r="AT114" s="132"/>
      <c r="AU114" s="130"/>
    </row>
    <row r="115" spans="1:47" ht="14.25" customHeight="1">
      <c r="A115" s="130"/>
      <c r="B115" s="113"/>
      <c r="C115" s="131"/>
      <c r="D115" s="131"/>
      <c r="E115" s="131"/>
      <c r="F115" s="131"/>
      <c r="G115" s="131"/>
      <c r="H115" s="131"/>
      <c r="I115" s="131"/>
      <c r="J115" s="131"/>
      <c r="K115" s="131"/>
      <c r="L115" s="131"/>
      <c r="M115" s="173"/>
      <c r="N115" s="173"/>
      <c r="O115" s="173"/>
      <c r="P115" s="173"/>
      <c r="Q115" s="173"/>
      <c r="R115" s="173"/>
      <c r="S115" s="173"/>
      <c r="T115" s="173"/>
      <c r="U115" s="131"/>
      <c r="V115" s="174"/>
      <c r="W115" s="174"/>
      <c r="X115" s="174"/>
      <c r="Y115" s="174"/>
      <c r="Z115" s="174"/>
      <c r="AA115" s="174"/>
      <c r="AB115" s="174"/>
      <c r="AC115" s="174"/>
      <c r="AD115" s="117"/>
      <c r="AE115" s="117"/>
      <c r="AF115" s="117"/>
      <c r="AG115" s="117"/>
      <c r="AH115" s="117"/>
      <c r="AI115" s="117"/>
      <c r="AJ115" s="117"/>
      <c r="AK115" s="117"/>
      <c r="AL115" s="117"/>
      <c r="AM115" s="117"/>
      <c r="AN115" s="132"/>
      <c r="AO115" s="132"/>
      <c r="AP115" s="132"/>
      <c r="AQ115" s="132"/>
      <c r="AR115" s="132"/>
      <c r="AS115" s="132"/>
      <c r="AT115" s="132"/>
      <c r="AU115" s="130"/>
    </row>
    <row r="116" spans="1:47" ht="14.25" customHeight="1">
      <c r="A116" s="130"/>
      <c r="B116" s="113"/>
      <c r="C116" s="131"/>
      <c r="D116" s="131"/>
      <c r="E116" s="131"/>
      <c r="F116" s="131"/>
      <c r="G116" s="131"/>
      <c r="H116" s="131"/>
      <c r="I116" s="131"/>
      <c r="J116" s="131"/>
      <c r="K116" s="131"/>
      <c r="L116" s="131"/>
      <c r="M116" s="173"/>
      <c r="N116" s="173"/>
      <c r="O116" s="173"/>
      <c r="P116" s="173"/>
      <c r="Q116" s="173"/>
      <c r="R116" s="173"/>
      <c r="S116" s="173"/>
      <c r="T116" s="173"/>
      <c r="U116" s="131"/>
      <c r="V116" s="174"/>
      <c r="W116" s="174"/>
      <c r="X116" s="174"/>
      <c r="Y116" s="174"/>
      <c r="Z116" s="174"/>
      <c r="AA116" s="174"/>
      <c r="AB116" s="174"/>
      <c r="AC116" s="174"/>
      <c r="AD116" s="117"/>
      <c r="AE116" s="117"/>
      <c r="AF116" s="117"/>
      <c r="AG116" s="117"/>
      <c r="AH116" s="117"/>
      <c r="AI116" s="117"/>
      <c r="AJ116" s="117"/>
      <c r="AK116" s="117"/>
      <c r="AL116" s="117"/>
      <c r="AM116" s="117"/>
      <c r="AN116" s="132"/>
      <c r="AO116" s="132"/>
      <c r="AP116" s="132"/>
      <c r="AQ116" s="132"/>
      <c r="AR116" s="132"/>
      <c r="AS116" s="132"/>
      <c r="AT116" s="132"/>
      <c r="AU116" s="130"/>
    </row>
    <row r="117" spans="1:47" ht="14.25" customHeight="1">
      <c r="A117" s="130"/>
      <c r="B117" s="113"/>
      <c r="C117" s="131"/>
      <c r="D117" s="131"/>
      <c r="E117" s="131"/>
      <c r="F117" s="131"/>
      <c r="G117" s="131"/>
      <c r="H117" s="131"/>
      <c r="I117" s="131"/>
      <c r="J117" s="131"/>
      <c r="K117" s="131"/>
      <c r="L117" s="131"/>
      <c r="M117" s="173"/>
      <c r="N117" s="173"/>
      <c r="O117" s="173"/>
      <c r="P117" s="173"/>
      <c r="Q117" s="173"/>
      <c r="R117" s="173"/>
      <c r="S117" s="173"/>
      <c r="T117" s="173"/>
      <c r="U117" s="131"/>
      <c r="V117" s="174"/>
      <c r="W117" s="174"/>
      <c r="X117" s="174"/>
      <c r="Y117" s="174"/>
      <c r="Z117" s="174"/>
      <c r="AA117" s="174"/>
      <c r="AB117" s="174"/>
      <c r="AC117" s="174"/>
      <c r="AD117" s="117"/>
      <c r="AE117" s="117"/>
      <c r="AF117" s="117"/>
      <c r="AG117" s="117"/>
      <c r="AH117" s="117"/>
      <c r="AI117" s="117"/>
      <c r="AJ117" s="117"/>
      <c r="AK117" s="117"/>
      <c r="AL117" s="117"/>
      <c r="AM117" s="117"/>
      <c r="AN117" s="132"/>
      <c r="AO117" s="132"/>
      <c r="AP117" s="132"/>
      <c r="AQ117" s="132"/>
      <c r="AR117" s="132"/>
      <c r="AS117" s="132"/>
      <c r="AT117" s="132"/>
      <c r="AU117" s="130"/>
    </row>
    <row r="118" spans="1:47" ht="14.25" customHeight="1">
      <c r="A118" s="130"/>
      <c r="B118" s="113"/>
      <c r="C118" s="131"/>
      <c r="D118" s="131"/>
      <c r="E118" s="131"/>
      <c r="F118" s="131"/>
      <c r="G118" s="131"/>
      <c r="H118" s="131"/>
      <c r="I118" s="131"/>
      <c r="J118" s="131"/>
      <c r="K118" s="131"/>
      <c r="L118" s="131"/>
      <c r="M118" s="173"/>
      <c r="N118" s="173"/>
      <c r="O118" s="173"/>
      <c r="P118" s="173"/>
      <c r="Q118" s="173"/>
      <c r="R118" s="173"/>
      <c r="S118" s="173"/>
      <c r="T118" s="173"/>
      <c r="U118" s="131"/>
      <c r="V118" s="174"/>
      <c r="W118" s="174"/>
      <c r="X118" s="174"/>
      <c r="Y118" s="174"/>
      <c r="Z118" s="174"/>
      <c r="AA118" s="174"/>
      <c r="AB118" s="174"/>
      <c r="AC118" s="174"/>
      <c r="AD118" s="117"/>
      <c r="AE118" s="117"/>
      <c r="AF118" s="117"/>
      <c r="AG118" s="117"/>
      <c r="AH118" s="117"/>
      <c r="AI118" s="117"/>
      <c r="AJ118" s="117"/>
      <c r="AK118" s="117"/>
      <c r="AL118" s="117"/>
      <c r="AM118" s="117"/>
      <c r="AN118" s="132"/>
      <c r="AO118" s="132"/>
      <c r="AP118" s="132"/>
      <c r="AQ118" s="132"/>
      <c r="AR118" s="132"/>
      <c r="AS118" s="132"/>
      <c r="AT118" s="132"/>
      <c r="AU118" s="130"/>
    </row>
    <row r="119" spans="1:47" ht="14.25" customHeight="1">
      <c r="A119" s="130"/>
      <c r="B119" s="113"/>
      <c r="C119" s="131"/>
      <c r="D119" s="131"/>
      <c r="E119" s="131"/>
      <c r="F119" s="131"/>
      <c r="G119" s="131"/>
      <c r="H119" s="131"/>
      <c r="I119" s="131"/>
      <c r="J119" s="131"/>
      <c r="K119" s="131"/>
      <c r="L119" s="131"/>
      <c r="M119" s="173"/>
      <c r="N119" s="173"/>
      <c r="O119" s="173"/>
      <c r="P119" s="173"/>
      <c r="Q119" s="173"/>
      <c r="R119" s="173"/>
      <c r="S119" s="173"/>
      <c r="T119" s="173"/>
      <c r="U119" s="131"/>
      <c r="V119" s="174"/>
      <c r="W119" s="174"/>
      <c r="X119" s="174"/>
      <c r="Y119" s="174"/>
      <c r="Z119" s="174"/>
      <c r="AA119" s="174"/>
      <c r="AB119" s="174"/>
      <c r="AC119" s="174"/>
      <c r="AD119" s="117"/>
      <c r="AE119" s="117"/>
      <c r="AF119" s="117"/>
      <c r="AG119" s="117"/>
      <c r="AH119" s="117"/>
      <c r="AI119" s="117"/>
      <c r="AJ119" s="117"/>
      <c r="AK119" s="117"/>
      <c r="AL119" s="117"/>
      <c r="AM119" s="117"/>
      <c r="AN119" s="132"/>
      <c r="AO119" s="132"/>
      <c r="AP119" s="132"/>
      <c r="AQ119" s="132"/>
      <c r="AR119" s="132"/>
      <c r="AS119" s="132"/>
      <c r="AT119" s="132"/>
      <c r="AU119" s="130"/>
    </row>
    <row r="120" spans="1:47" ht="14.25" customHeight="1">
      <c r="A120" s="130"/>
      <c r="B120" s="113"/>
      <c r="C120" s="131"/>
      <c r="D120" s="131"/>
      <c r="E120" s="131"/>
      <c r="F120" s="131"/>
      <c r="G120" s="131"/>
      <c r="H120" s="131"/>
      <c r="I120" s="131"/>
      <c r="J120" s="131"/>
      <c r="K120" s="131"/>
      <c r="L120" s="131"/>
      <c r="M120" s="173"/>
      <c r="N120" s="173"/>
      <c r="O120" s="173"/>
      <c r="P120" s="173"/>
      <c r="Q120" s="173"/>
      <c r="R120" s="173"/>
      <c r="S120" s="173"/>
      <c r="T120" s="173"/>
      <c r="U120" s="131"/>
      <c r="V120" s="174"/>
      <c r="W120" s="174"/>
      <c r="X120" s="174"/>
      <c r="Y120" s="174"/>
      <c r="Z120" s="174"/>
      <c r="AA120" s="174"/>
      <c r="AB120" s="174"/>
      <c r="AC120" s="174"/>
      <c r="AD120" s="117"/>
      <c r="AE120" s="117"/>
      <c r="AF120" s="117"/>
      <c r="AG120" s="117"/>
      <c r="AH120" s="117"/>
      <c r="AI120" s="117"/>
      <c r="AJ120" s="117"/>
      <c r="AK120" s="117"/>
      <c r="AL120" s="117"/>
      <c r="AM120" s="117"/>
      <c r="AN120" s="132"/>
      <c r="AO120" s="132"/>
      <c r="AP120" s="132"/>
      <c r="AQ120" s="132"/>
      <c r="AR120" s="132"/>
      <c r="AS120" s="132"/>
      <c r="AT120" s="132"/>
      <c r="AU120" s="130"/>
    </row>
    <row r="121" spans="1:47" ht="14.25" customHeight="1">
      <c r="A121" s="130"/>
      <c r="B121" s="113"/>
      <c r="C121" s="131"/>
      <c r="D121" s="131"/>
      <c r="E121" s="131"/>
      <c r="F121" s="131"/>
      <c r="G121" s="131"/>
      <c r="H121" s="131"/>
      <c r="I121" s="131"/>
      <c r="J121" s="131"/>
      <c r="K121" s="131"/>
      <c r="L121" s="131"/>
      <c r="M121" s="173"/>
      <c r="N121" s="173"/>
      <c r="O121" s="173"/>
      <c r="P121" s="173"/>
      <c r="Q121" s="173"/>
      <c r="R121" s="173"/>
      <c r="S121" s="173"/>
      <c r="T121" s="173"/>
      <c r="U121" s="131"/>
      <c r="V121" s="174"/>
      <c r="W121" s="174"/>
      <c r="X121" s="174"/>
      <c r="Y121" s="174"/>
      <c r="Z121" s="174"/>
      <c r="AA121" s="174"/>
      <c r="AB121" s="174"/>
      <c r="AC121" s="174"/>
      <c r="AD121" s="130"/>
      <c r="AE121" s="117"/>
      <c r="AF121" s="117"/>
      <c r="AG121" s="117"/>
      <c r="AH121" s="117"/>
      <c r="AI121" s="117"/>
      <c r="AJ121" s="117"/>
      <c r="AK121" s="117"/>
      <c r="AL121" s="117"/>
      <c r="AM121" s="130"/>
      <c r="AN121" s="132"/>
      <c r="AO121" s="132"/>
      <c r="AP121" s="132"/>
      <c r="AQ121" s="132"/>
      <c r="AR121" s="132"/>
      <c r="AS121" s="132"/>
      <c r="AT121" s="132"/>
      <c r="AU121" s="130"/>
    </row>
    <row r="122" spans="1:47" ht="14.25" customHeight="1">
      <c r="A122" s="130"/>
      <c r="B122" s="113"/>
      <c r="C122" s="131"/>
      <c r="D122" s="131"/>
      <c r="E122" s="131"/>
      <c r="F122" s="131"/>
      <c r="G122" s="131"/>
      <c r="H122" s="131"/>
      <c r="I122" s="131"/>
      <c r="J122" s="131"/>
      <c r="K122" s="131"/>
      <c r="L122" s="131"/>
      <c r="M122" s="173"/>
      <c r="N122" s="173"/>
      <c r="O122" s="173"/>
      <c r="P122" s="173"/>
      <c r="Q122" s="173"/>
      <c r="R122" s="173"/>
      <c r="S122" s="173"/>
      <c r="T122" s="173"/>
      <c r="U122" s="131"/>
      <c r="V122" s="174"/>
      <c r="W122" s="174"/>
      <c r="X122" s="174"/>
      <c r="Y122" s="174"/>
      <c r="Z122" s="174"/>
      <c r="AA122" s="174"/>
      <c r="AB122" s="174"/>
      <c r="AC122" s="174"/>
      <c r="AD122" s="130"/>
      <c r="AE122" s="117"/>
      <c r="AF122" s="117"/>
      <c r="AG122" s="117"/>
      <c r="AH122" s="117"/>
      <c r="AI122" s="117"/>
      <c r="AJ122" s="117"/>
      <c r="AK122" s="117"/>
      <c r="AL122" s="117"/>
      <c r="AM122" s="130"/>
      <c r="AN122" s="132"/>
      <c r="AO122" s="132"/>
      <c r="AP122" s="132"/>
      <c r="AQ122" s="132"/>
      <c r="AR122" s="132"/>
      <c r="AS122" s="132"/>
      <c r="AT122" s="132"/>
      <c r="AU122" s="130"/>
    </row>
    <row r="123" spans="1:47" ht="14.25" customHeight="1">
      <c r="A123" s="130"/>
      <c r="B123" s="113"/>
      <c r="C123" s="131"/>
      <c r="D123" s="131"/>
      <c r="E123" s="131"/>
      <c r="F123" s="131"/>
      <c r="G123" s="131"/>
      <c r="H123" s="131"/>
      <c r="I123" s="131"/>
      <c r="J123" s="131"/>
      <c r="K123" s="131"/>
      <c r="L123" s="131"/>
      <c r="M123" s="173"/>
      <c r="N123" s="173"/>
      <c r="O123" s="173"/>
      <c r="P123" s="173"/>
      <c r="Q123" s="173"/>
      <c r="R123" s="173"/>
      <c r="S123" s="173"/>
      <c r="T123" s="173"/>
      <c r="U123" s="131"/>
      <c r="V123" s="174"/>
      <c r="W123" s="174"/>
      <c r="X123" s="174"/>
      <c r="Y123" s="174"/>
      <c r="Z123" s="174"/>
      <c r="AA123" s="174"/>
      <c r="AB123" s="174"/>
      <c r="AC123" s="174"/>
      <c r="AD123" s="130"/>
      <c r="AE123" s="117"/>
      <c r="AF123" s="117"/>
      <c r="AG123" s="117"/>
      <c r="AH123" s="117"/>
      <c r="AI123" s="117"/>
      <c r="AJ123" s="117"/>
      <c r="AK123" s="117"/>
      <c r="AL123" s="117"/>
      <c r="AM123" s="130"/>
      <c r="AN123" s="132"/>
      <c r="AO123" s="132"/>
      <c r="AP123" s="132"/>
      <c r="AQ123" s="132"/>
      <c r="AR123" s="132"/>
      <c r="AS123" s="132"/>
      <c r="AT123" s="132"/>
      <c r="AU123" s="130"/>
    </row>
    <row r="124" spans="1:47" ht="14.25" customHeight="1">
      <c r="A124" s="130"/>
      <c r="B124" s="113"/>
      <c r="C124" s="131"/>
      <c r="D124" s="131"/>
      <c r="E124" s="131"/>
      <c r="F124" s="131"/>
      <c r="G124" s="131"/>
      <c r="H124" s="131"/>
      <c r="I124" s="131"/>
      <c r="J124" s="131"/>
      <c r="K124" s="131"/>
      <c r="L124" s="131"/>
      <c r="M124" s="173"/>
      <c r="N124" s="173"/>
      <c r="O124" s="173"/>
      <c r="P124" s="173"/>
      <c r="Q124" s="173"/>
      <c r="R124" s="173"/>
      <c r="S124" s="173"/>
      <c r="T124" s="173"/>
      <c r="U124" s="131"/>
      <c r="V124" s="174"/>
      <c r="W124" s="174"/>
      <c r="X124" s="174"/>
      <c r="Y124" s="174"/>
      <c r="Z124" s="174"/>
      <c r="AA124" s="174"/>
      <c r="AB124" s="174"/>
      <c r="AC124" s="174"/>
      <c r="AD124" s="130"/>
      <c r="AE124" s="117"/>
      <c r="AF124" s="117"/>
      <c r="AG124" s="117"/>
      <c r="AH124" s="117"/>
      <c r="AI124" s="117"/>
      <c r="AJ124" s="117"/>
      <c r="AK124" s="117"/>
      <c r="AL124" s="117"/>
      <c r="AM124" s="130"/>
      <c r="AN124" s="132"/>
      <c r="AO124" s="132"/>
      <c r="AP124" s="132"/>
      <c r="AQ124" s="132"/>
      <c r="AR124" s="132"/>
      <c r="AS124" s="132"/>
      <c r="AT124" s="132"/>
      <c r="AU124" s="130"/>
    </row>
    <row r="125" spans="1:47" ht="14.25" customHeight="1">
      <c r="A125" s="130"/>
      <c r="B125" s="113"/>
      <c r="C125" s="131"/>
      <c r="D125" s="131"/>
      <c r="E125" s="131"/>
      <c r="F125" s="131"/>
      <c r="G125" s="131"/>
      <c r="H125" s="131"/>
      <c r="I125" s="131"/>
      <c r="J125" s="131"/>
      <c r="K125" s="131"/>
      <c r="L125" s="131"/>
      <c r="M125" s="173"/>
      <c r="N125" s="173"/>
      <c r="O125" s="173"/>
      <c r="P125" s="173"/>
      <c r="Q125" s="173"/>
      <c r="R125" s="173"/>
      <c r="S125" s="173"/>
      <c r="T125" s="173"/>
      <c r="U125" s="131"/>
      <c r="V125" s="174"/>
      <c r="W125" s="174"/>
      <c r="X125" s="174"/>
      <c r="Y125" s="174"/>
      <c r="Z125" s="174"/>
      <c r="AA125" s="174"/>
      <c r="AB125" s="174"/>
      <c r="AC125" s="174"/>
      <c r="AD125" s="130"/>
      <c r="AE125" s="117"/>
      <c r="AF125" s="117"/>
      <c r="AG125" s="117"/>
      <c r="AH125" s="117"/>
      <c r="AI125" s="117"/>
      <c r="AJ125" s="117"/>
      <c r="AK125" s="117"/>
      <c r="AL125" s="117"/>
      <c r="AM125" s="130"/>
      <c r="AN125" s="132"/>
      <c r="AO125" s="132"/>
      <c r="AP125" s="132"/>
      <c r="AQ125" s="132"/>
      <c r="AR125" s="132"/>
      <c r="AS125" s="132"/>
      <c r="AT125" s="132"/>
      <c r="AU125" s="130"/>
    </row>
    <row r="126" spans="1:47" ht="14.25" customHeight="1">
      <c r="A126" s="130"/>
      <c r="B126" s="113"/>
      <c r="C126" s="131"/>
      <c r="D126" s="131"/>
      <c r="E126" s="131"/>
      <c r="F126" s="131"/>
      <c r="G126" s="131"/>
      <c r="H126" s="131"/>
      <c r="I126" s="131"/>
      <c r="J126" s="131"/>
      <c r="K126" s="131"/>
      <c r="L126" s="131"/>
      <c r="M126" s="173"/>
      <c r="N126" s="173"/>
      <c r="O126" s="173"/>
      <c r="P126" s="173"/>
      <c r="Q126" s="173"/>
      <c r="R126" s="173"/>
      <c r="S126" s="173"/>
      <c r="T126" s="173"/>
      <c r="U126" s="131"/>
      <c r="V126" s="174"/>
      <c r="W126" s="174"/>
      <c r="X126" s="174"/>
      <c r="Y126" s="174"/>
      <c r="Z126" s="174"/>
      <c r="AA126" s="174"/>
      <c r="AB126" s="174"/>
      <c r="AC126" s="174"/>
      <c r="AD126" s="130"/>
      <c r="AE126" s="117"/>
      <c r="AF126" s="117"/>
      <c r="AG126" s="117"/>
      <c r="AH126" s="117"/>
      <c r="AI126" s="117"/>
      <c r="AJ126" s="117"/>
      <c r="AK126" s="117"/>
      <c r="AL126" s="117"/>
      <c r="AM126" s="130"/>
      <c r="AN126" s="132"/>
      <c r="AO126" s="132"/>
      <c r="AP126" s="132"/>
      <c r="AQ126" s="132"/>
      <c r="AR126" s="132"/>
      <c r="AS126" s="132"/>
      <c r="AT126" s="132"/>
      <c r="AU126" s="130"/>
    </row>
    <row r="127" spans="1:47" ht="14.25" customHeight="1">
      <c r="A127" s="130"/>
      <c r="B127" s="113"/>
      <c r="C127" s="131"/>
      <c r="D127" s="131"/>
      <c r="E127" s="131"/>
      <c r="F127" s="131"/>
      <c r="G127" s="131"/>
      <c r="H127" s="131"/>
      <c r="I127" s="131"/>
      <c r="J127" s="131"/>
      <c r="K127" s="131"/>
      <c r="L127" s="131"/>
      <c r="M127" s="173"/>
      <c r="N127" s="173"/>
      <c r="O127" s="173"/>
      <c r="P127" s="173"/>
      <c r="Q127" s="173"/>
      <c r="R127" s="173"/>
      <c r="S127" s="173"/>
      <c r="T127" s="173"/>
      <c r="U127" s="131"/>
      <c r="V127" s="174"/>
      <c r="W127" s="174"/>
      <c r="X127" s="174"/>
      <c r="Y127" s="174"/>
      <c r="Z127" s="174"/>
      <c r="AA127" s="174"/>
      <c r="AB127" s="174"/>
      <c r="AC127" s="174"/>
      <c r="AD127" s="130"/>
      <c r="AE127" s="117"/>
      <c r="AF127" s="117"/>
      <c r="AG127" s="117"/>
      <c r="AH127" s="117"/>
      <c r="AI127" s="117"/>
      <c r="AJ127" s="117"/>
      <c r="AK127" s="117"/>
      <c r="AL127" s="117"/>
      <c r="AM127" s="130"/>
      <c r="AN127" s="132"/>
      <c r="AO127" s="132"/>
      <c r="AP127" s="132"/>
      <c r="AQ127" s="132"/>
      <c r="AR127" s="132"/>
      <c r="AS127" s="132"/>
      <c r="AT127" s="132"/>
      <c r="AU127" s="130"/>
    </row>
    <row r="128" spans="1:47" ht="14.25" customHeight="1">
      <c r="A128" s="130"/>
      <c r="B128" s="113"/>
      <c r="C128" s="131"/>
      <c r="D128" s="131"/>
      <c r="E128" s="131"/>
      <c r="F128" s="131"/>
      <c r="G128" s="131"/>
      <c r="H128" s="131"/>
      <c r="I128" s="131"/>
      <c r="J128" s="131"/>
      <c r="K128" s="131"/>
      <c r="L128" s="131"/>
      <c r="M128" s="173"/>
      <c r="N128" s="173"/>
      <c r="O128" s="173"/>
      <c r="P128" s="173"/>
      <c r="Q128" s="173"/>
      <c r="R128" s="173"/>
      <c r="S128" s="173"/>
      <c r="T128" s="173"/>
      <c r="U128" s="131"/>
      <c r="V128" s="174"/>
      <c r="W128" s="174"/>
      <c r="X128" s="174"/>
      <c r="Y128" s="174"/>
      <c r="Z128" s="174"/>
      <c r="AA128" s="174"/>
      <c r="AB128" s="174"/>
      <c r="AC128" s="174"/>
      <c r="AD128" s="130"/>
      <c r="AE128" s="117"/>
      <c r="AF128" s="117"/>
      <c r="AG128" s="117"/>
      <c r="AH128" s="117"/>
      <c r="AI128" s="117"/>
      <c r="AJ128" s="117"/>
      <c r="AK128" s="117"/>
      <c r="AL128" s="117"/>
      <c r="AM128" s="130"/>
      <c r="AN128" s="132"/>
      <c r="AO128" s="132"/>
      <c r="AP128" s="132"/>
      <c r="AQ128" s="132"/>
      <c r="AR128" s="132"/>
      <c r="AS128" s="132"/>
      <c r="AT128" s="132"/>
      <c r="AU128" s="130"/>
    </row>
    <row r="129" spans="1:47" ht="14.25" customHeight="1">
      <c r="A129" s="130"/>
      <c r="B129" s="113"/>
      <c r="C129" s="131"/>
      <c r="D129" s="131"/>
      <c r="E129" s="131"/>
      <c r="F129" s="131"/>
      <c r="G129" s="131"/>
      <c r="H129" s="131"/>
      <c r="I129" s="131"/>
      <c r="J129" s="131"/>
      <c r="K129" s="131"/>
      <c r="L129" s="131"/>
      <c r="M129" s="173"/>
      <c r="N129" s="173"/>
      <c r="O129" s="173"/>
      <c r="P129" s="173"/>
      <c r="Q129" s="173"/>
      <c r="R129" s="173"/>
      <c r="S129" s="173"/>
      <c r="T129" s="173"/>
      <c r="U129" s="131"/>
      <c r="V129" s="174"/>
      <c r="W129" s="174"/>
      <c r="X129" s="174"/>
      <c r="Y129" s="174"/>
      <c r="Z129" s="174"/>
      <c r="AA129" s="174"/>
      <c r="AB129" s="174"/>
      <c r="AC129" s="174"/>
      <c r="AD129" s="130"/>
      <c r="AE129" s="117"/>
      <c r="AF129" s="117"/>
      <c r="AG129" s="117"/>
      <c r="AH129" s="117"/>
      <c r="AI129" s="117"/>
      <c r="AJ129" s="117"/>
      <c r="AK129" s="117"/>
      <c r="AL129" s="117"/>
      <c r="AM129" s="130"/>
      <c r="AN129" s="132"/>
      <c r="AO129" s="132"/>
      <c r="AP129" s="132"/>
      <c r="AQ129" s="132"/>
      <c r="AR129" s="132"/>
      <c r="AS129" s="132"/>
      <c r="AT129" s="132"/>
      <c r="AU129" s="130"/>
    </row>
    <row r="130" spans="1:47" ht="14.25" customHeight="1" thickBot="1">
      <c r="A130" s="383"/>
      <c r="B130" s="255"/>
      <c r="C130" s="384"/>
      <c r="D130" s="384"/>
      <c r="E130" s="384"/>
      <c r="F130" s="384"/>
      <c r="G130" s="384"/>
      <c r="H130" s="384"/>
      <c r="I130" s="384"/>
      <c r="J130" s="384"/>
      <c r="K130" s="384"/>
      <c r="L130" s="384"/>
      <c r="M130" s="385"/>
      <c r="N130" s="385"/>
      <c r="O130" s="385"/>
      <c r="P130" s="385"/>
      <c r="Q130" s="385"/>
      <c r="R130" s="385"/>
      <c r="S130" s="385"/>
      <c r="T130" s="385"/>
      <c r="U130" s="384"/>
      <c r="V130" s="386"/>
      <c r="W130" s="386"/>
      <c r="X130" s="386"/>
      <c r="Y130" s="386"/>
      <c r="Z130" s="386"/>
      <c r="AA130" s="386"/>
      <c r="AB130" s="386"/>
      <c r="AC130" s="386"/>
      <c r="AD130" s="383"/>
      <c r="AE130" s="260"/>
      <c r="AF130" s="260"/>
      <c r="AG130" s="260"/>
      <c r="AH130" s="260"/>
      <c r="AI130" s="260"/>
      <c r="AJ130" s="260"/>
      <c r="AK130" s="260"/>
      <c r="AL130" s="260"/>
      <c r="AM130" s="383"/>
      <c r="AN130" s="387"/>
      <c r="AO130" s="387"/>
      <c r="AP130" s="387"/>
      <c r="AQ130" s="387"/>
      <c r="AR130" s="387"/>
      <c r="AS130" s="387"/>
      <c r="AT130" s="387"/>
      <c r="AU130" s="383"/>
    </row>
    <row r="131" spans="1:47" ht="14.25" customHeight="1" thickTop="1">
      <c r="A131" s="373"/>
      <c r="B131" s="243"/>
      <c r="C131" s="374"/>
      <c r="D131" s="374"/>
      <c r="E131" s="374"/>
      <c r="F131" s="374"/>
      <c r="G131" s="374"/>
      <c r="H131" s="374"/>
      <c r="I131" s="374"/>
      <c r="J131" s="374"/>
      <c r="K131" s="374"/>
      <c r="L131" s="374"/>
      <c r="M131" s="375"/>
      <c r="N131" s="375"/>
      <c r="O131" s="375"/>
      <c r="P131" s="375"/>
      <c r="Q131" s="375"/>
      <c r="R131" s="375"/>
      <c r="S131" s="375"/>
      <c r="T131" s="375"/>
      <c r="U131" s="374"/>
      <c r="V131" s="376"/>
      <c r="W131" s="376"/>
      <c r="X131" s="376"/>
      <c r="Y131" s="376"/>
      <c r="Z131" s="376"/>
      <c r="AA131" s="376"/>
      <c r="AB131" s="376"/>
      <c r="AC131" s="376"/>
      <c r="AD131" s="247"/>
      <c r="AE131" s="247"/>
      <c r="AF131" s="247"/>
      <c r="AG131" s="247"/>
      <c r="AH131" s="247"/>
      <c r="AI131" s="247"/>
      <c r="AJ131" s="247"/>
      <c r="AK131" s="247"/>
      <c r="AL131" s="247"/>
      <c r="AM131" s="247"/>
      <c r="AN131" s="377"/>
      <c r="AO131" s="377"/>
      <c r="AP131" s="377"/>
      <c r="AQ131" s="377"/>
      <c r="AR131" s="377"/>
      <c r="AS131" s="377"/>
      <c r="AT131" s="377"/>
      <c r="AU131" s="373"/>
    </row>
    <row r="132" spans="1:47" ht="14.25" customHeight="1">
      <c r="A132" s="130"/>
      <c r="B132" s="113"/>
      <c r="C132" s="131"/>
      <c r="D132" s="131"/>
      <c r="E132" s="131"/>
      <c r="F132" s="131"/>
      <c r="G132" s="131"/>
      <c r="H132" s="131"/>
      <c r="I132" s="131"/>
      <c r="J132" s="131"/>
      <c r="K132" s="131"/>
      <c r="L132" s="131"/>
      <c r="M132" s="173"/>
      <c r="N132" s="173"/>
      <c r="O132" s="173"/>
      <c r="P132" s="173"/>
      <c r="Q132" s="173"/>
      <c r="R132" s="173"/>
      <c r="S132" s="173"/>
      <c r="T132" s="173"/>
      <c r="U132" s="131"/>
      <c r="V132" s="174"/>
      <c r="W132" s="174"/>
      <c r="X132" s="174"/>
      <c r="Y132" s="174"/>
      <c r="Z132" s="174"/>
      <c r="AA132" s="174"/>
      <c r="AB132" s="174"/>
      <c r="AC132" s="174"/>
      <c r="AD132" s="117"/>
      <c r="AE132" s="117"/>
      <c r="AF132" s="117"/>
      <c r="AG132" s="117"/>
      <c r="AH132" s="117"/>
      <c r="AI132" s="117"/>
      <c r="AJ132" s="117"/>
      <c r="AK132" s="117"/>
      <c r="AL132" s="117"/>
      <c r="AM132" s="117"/>
      <c r="AN132" s="132"/>
      <c r="AO132" s="132"/>
      <c r="AP132" s="132"/>
      <c r="AQ132" s="132"/>
      <c r="AR132" s="132"/>
      <c r="AS132" s="132"/>
      <c r="AT132" s="132"/>
      <c r="AU132" s="130"/>
    </row>
    <row r="133" spans="1:47" ht="14.25" customHeight="1">
      <c r="A133" s="130"/>
      <c r="B133" s="113"/>
      <c r="C133" s="131"/>
      <c r="D133" s="131"/>
      <c r="E133" s="131"/>
      <c r="F133" s="131"/>
      <c r="G133" s="131"/>
      <c r="H133" s="131"/>
      <c r="I133" s="131"/>
      <c r="J133" s="131"/>
      <c r="K133" s="131"/>
      <c r="L133" s="131"/>
      <c r="M133" s="173"/>
      <c r="N133" s="173"/>
      <c r="O133" s="173"/>
      <c r="P133" s="173"/>
      <c r="Q133" s="173"/>
      <c r="R133" s="173"/>
      <c r="S133" s="173"/>
      <c r="T133" s="173"/>
      <c r="U133" s="131"/>
      <c r="V133" s="174"/>
      <c r="W133" s="174"/>
      <c r="X133" s="174"/>
      <c r="Y133" s="174"/>
      <c r="Z133" s="174"/>
      <c r="AA133" s="174"/>
      <c r="AB133" s="174"/>
      <c r="AC133" s="174"/>
      <c r="AD133" s="117"/>
      <c r="AE133" s="117"/>
      <c r="AF133" s="117"/>
      <c r="AG133" s="117"/>
      <c r="AH133" s="117"/>
      <c r="AI133" s="117"/>
      <c r="AJ133" s="117"/>
      <c r="AK133" s="117"/>
      <c r="AL133" s="117"/>
      <c r="AM133" s="117"/>
      <c r="AN133" s="132"/>
      <c r="AO133" s="132"/>
      <c r="AP133" s="132"/>
      <c r="AQ133" s="132"/>
      <c r="AR133" s="132"/>
      <c r="AS133" s="132"/>
      <c r="AT133" s="132"/>
      <c r="AU133" s="130"/>
    </row>
    <row r="134" spans="1:47" ht="14.25" customHeight="1">
      <c r="A134" s="130"/>
      <c r="B134" s="113"/>
      <c r="C134" s="131"/>
      <c r="D134" s="131"/>
      <c r="E134" s="131"/>
      <c r="F134" s="131"/>
      <c r="G134" s="131"/>
      <c r="H134" s="131"/>
      <c r="I134" s="131"/>
      <c r="J134" s="131"/>
      <c r="K134" s="131"/>
      <c r="L134" s="131"/>
      <c r="M134" s="173"/>
      <c r="N134" s="173"/>
      <c r="O134" s="173"/>
      <c r="P134" s="173"/>
      <c r="Q134" s="173"/>
      <c r="R134" s="173"/>
      <c r="S134" s="173"/>
      <c r="T134" s="173"/>
      <c r="U134" s="131"/>
      <c r="V134" s="174"/>
      <c r="W134" s="174"/>
      <c r="X134" s="174"/>
      <c r="Y134" s="174"/>
      <c r="Z134" s="174"/>
      <c r="AA134" s="174"/>
      <c r="AB134" s="174"/>
      <c r="AC134" s="174"/>
      <c r="AD134" s="117"/>
      <c r="AE134" s="117"/>
      <c r="AF134" s="117"/>
      <c r="AG134" s="117"/>
      <c r="AH134" s="117"/>
      <c r="AI134" s="117"/>
      <c r="AJ134" s="117"/>
      <c r="AK134" s="117"/>
      <c r="AL134" s="117"/>
      <c r="AM134" s="117"/>
      <c r="AN134" s="132"/>
      <c r="AO134" s="132"/>
      <c r="AP134" s="132"/>
      <c r="AQ134" s="132"/>
      <c r="AR134" s="132"/>
      <c r="AS134" s="132"/>
      <c r="AT134" s="132"/>
      <c r="AU134" s="130"/>
    </row>
    <row r="135" spans="1:47" ht="14.25" customHeight="1">
      <c r="A135" s="130"/>
      <c r="B135" s="113"/>
      <c r="C135" s="131"/>
      <c r="D135" s="131"/>
      <c r="E135" s="131"/>
      <c r="F135" s="131"/>
      <c r="G135" s="131"/>
      <c r="H135" s="131"/>
      <c r="I135" s="131"/>
      <c r="J135" s="131"/>
      <c r="K135" s="131"/>
      <c r="L135" s="131"/>
      <c r="M135" s="173"/>
      <c r="N135" s="173"/>
      <c r="O135" s="173"/>
      <c r="P135" s="173"/>
      <c r="Q135" s="173"/>
      <c r="R135" s="173"/>
      <c r="S135" s="173"/>
      <c r="T135" s="173"/>
      <c r="U135" s="131"/>
      <c r="V135" s="174"/>
      <c r="W135" s="174"/>
      <c r="X135" s="174"/>
      <c r="Y135" s="174"/>
      <c r="Z135" s="174"/>
      <c r="AA135" s="174"/>
      <c r="AB135" s="174"/>
      <c r="AC135" s="174"/>
      <c r="AD135" s="117"/>
      <c r="AE135" s="117"/>
      <c r="AF135" s="117"/>
      <c r="AG135" s="117"/>
      <c r="AH135" s="117"/>
      <c r="AI135" s="117"/>
      <c r="AJ135" s="117"/>
      <c r="AK135" s="117"/>
      <c r="AL135" s="117"/>
      <c r="AM135" s="117"/>
      <c r="AN135" s="132"/>
      <c r="AO135" s="132"/>
      <c r="AP135" s="132"/>
      <c r="AQ135" s="132"/>
      <c r="AR135" s="132"/>
      <c r="AS135" s="132"/>
      <c r="AT135" s="132"/>
      <c r="AU135" s="130"/>
    </row>
    <row r="136" spans="1:47" ht="14.25" customHeight="1">
      <c r="A136" s="130"/>
      <c r="B136" s="113"/>
      <c r="C136" s="131"/>
      <c r="D136" s="131"/>
      <c r="E136" s="131"/>
      <c r="F136" s="131"/>
      <c r="G136" s="131"/>
      <c r="H136" s="131"/>
      <c r="I136" s="131"/>
      <c r="J136" s="131"/>
      <c r="K136" s="131"/>
      <c r="L136" s="131"/>
      <c r="M136" s="173"/>
      <c r="N136" s="173"/>
      <c r="O136" s="173"/>
      <c r="P136" s="173"/>
      <c r="Q136" s="173"/>
      <c r="R136" s="173"/>
      <c r="S136" s="173"/>
      <c r="T136" s="173"/>
      <c r="U136" s="131"/>
      <c r="V136" s="174"/>
      <c r="W136" s="174"/>
      <c r="X136" s="174"/>
      <c r="Y136" s="174"/>
      <c r="Z136" s="174"/>
      <c r="AA136" s="174"/>
      <c r="AB136" s="174"/>
      <c r="AC136" s="174"/>
      <c r="AD136" s="117"/>
      <c r="AE136" s="117"/>
      <c r="AF136" s="117"/>
      <c r="AG136" s="117"/>
      <c r="AH136" s="117"/>
      <c r="AI136" s="117"/>
      <c r="AJ136" s="117"/>
      <c r="AK136" s="117"/>
      <c r="AL136" s="117"/>
      <c r="AM136" s="117"/>
      <c r="AN136" s="132"/>
      <c r="AO136" s="132"/>
      <c r="AP136" s="132"/>
      <c r="AQ136" s="132"/>
      <c r="AR136" s="132"/>
      <c r="AS136" s="132"/>
      <c r="AT136" s="132"/>
      <c r="AU136" s="130"/>
    </row>
    <row r="137" spans="1:47" ht="14.25" customHeight="1">
      <c r="A137" s="130"/>
      <c r="B137" s="113"/>
      <c r="C137" s="131"/>
      <c r="D137" s="131"/>
      <c r="E137" s="131"/>
      <c r="F137" s="131"/>
      <c r="G137" s="131"/>
      <c r="H137" s="131"/>
      <c r="I137" s="131"/>
      <c r="J137" s="131"/>
      <c r="K137" s="131"/>
      <c r="L137" s="131"/>
      <c r="M137" s="173"/>
      <c r="N137" s="173"/>
      <c r="O137" s="173"/>
      <c r="P137" s="173"/>
      <c r="Q137" s="173"/>
      <c r="R137" s="173"/>
      <c r="S137" s="173"/>
      <c r="T137" s="173"/>
      <c r="U137" s="131"/>
      <c r="V137" s="174"/>
      <c r="W137" s="174"/>
      <c r="X137" s="174"/>
      <c r="Y137" s="174"/>
      <c r="Z137" s="174"/>
      <c r="AA137" s="174"/>
      <c r="AB137" s="174"/>
      <c r="AC137" s="174"/>
      <c r="AD137" s="117"/>
      <c r="AE137" s="117"/>
      <c r="AF137" s="117"/>
      <c r="AG137" s="117"/>
      <c r="AH137" s="117"/>
      <c r="AI137" s="117"/>
      <c r="AJ137" s="117"/>
      <c r="AK137" s="117"/>
      <c r="AL137" s="117"/>
      <c r="AM137" s="117"/>
      <c r="AN137" s="132"/>
      <c r="AO137" s="132"/>
      <c r="AP137" s="132"/>
      <c r="AQ137" s="132"/>
      <c r="AR137" s="132"/>
      <c r="AS137" s="132"/>
      <c r="AT137" s="132"/>
      <c r="AU137" s="130"/>
    </row>
    <row r="138" spans="1:47" ht="14.25" customHeight="1">
      <c r="A138" s="130"/>
      <c r="B138" s="113"/>
      <c r="C138" s="131"/>
      <c r="D138" s="131"/>
      <c r="E138" s="131"/>
      <c r="F138" s="131"/>
      <c r="G138" s="131"/>
      <c r="H138" s="131"/>
      <c r="I138" s="131"/>
      <c r="J138" s="131"/>
      <c r="K138" s="131"/>
      <c r="L138" s="131"/>
      <c r="M138" s="173"/>
      <c r="N138" s="173"/>
      <c r="O138" s="173"/>
      <c r="P138" s="173"/>
      <c r="Q138" s="173"/>
      <c r="R138" s="173"/>
      <c r="S138" s="173"/>
      <c r="T138" s="173"/>
      <c r="U138" s="131"/>
      <c r="V138" s="174"/>
      <c r="W138" s="174"/>
      <c r="X138" s="174"/>
      <c r="Y138" s="174"/>
      <c r="Z138" s="174"/>
      <c r="AA138" s="174"/>
      <c r="AB138" s="174"/>
      <c r="AC138" s="174"/>
      <c r="AD138" s="117"/>
      <c r="AE138" s="117"/>
      <c r="AF138" s="117"/>
      <c r="AG138" s="117"/>
      <c r="AH138" s="117"/>
      <c r="AI138" s="117"/>
      <c r="AJ138" s="117"/>
      <c r="AK138" s="117"/>
      <c r="AL138" s="117"/>
      <c r="AM138" s="117"/>
      <c r="AN138" s="132"/>
      <c r="AO138" s="132"/>
      <c r="AP138" s="132"/>
      <c r="AQ138" s="132"/>
      <c r="AR138" s="132"/>
      <c r="AS138" s="132"/>
      <c r="AT138" s="132"/>
      <c r="AU138" s="130"/>
    </row>
    <row r="139" spans="1:47" ht="14.25" customHeight="1">
      <c r="A139" s="130"/>
      <c r="B139" s="113"/>
      <c r="C139" s="131"/>
      <c r="D139" s="131"/>
      <c r="E139" s="131"/>
      <c r="F139" s="131"/>
      <c r="G139" s="131"/>
      <c r="H139" s="131"/>
      <c r="I139" s="131"/>
      <c r="J139" s="131"/>
      <c r="K139" s="131"/>
      <c r="L139" s="131"/>
      <c r="M139" s="173"/>
      <c r="N139" s="173"/>
      <c r="O139" s="173"/>
      <c r="P139" s="173"/>
      <c r="Q139" s="173"/>
      <c r="R139" s="173"/>
      <c r="S139" s="173"/>
      <c r="T139" s="173"/>
      <c r="U139" s="131"/>
      <c r="V139" s="174"/>
      <c r="W139" s="174"/>
      <c r="X139" s="174"/>
      <c r="Y139" s="174"/>
      <c r="Z139" s="174"/>
      <c r="AA139" s="174"/>
      <c r="AB139" s="174"/>
      <c r="AC139" s="174"/>
      <c r="AD139" s="117"/>
      <c r="AE139" s="117"/>
      <c r="AF139" s="117"/>
      <c r="AG139" s="117"/>
      <c r="AH139" s="117"/>
      <c r="AI139" s="117"/>
      <c r="AJ139" s="117"/>
      <c r="AK139" s="117"/>
      <c r="AL139" s="117"/>
      <c r="AM139" s="117"/>
      <c r="AN139" s="132"/>
      <c r="AO139" s="132"/>
      <c r="AP139" s="132"/>
      <c r="AQ139" s="132"/>
      <c r="AR139" s="132"/>
      <c r="AS139" s="132"/>
      <c r="AT139" s="132"/>
      <c r="AU139" s="130"/>
    </row>
    <row r="140" spans="1:47" ht="14.25" customHeight="1">
      <c r="A140" s="130"/>
      <c r="B140" s="113"/>
      <c r="C140" s="131"/>
      <c r="D140" s="131"/>
      <c r="E140" s="131"/>
      <c r="F140" s="131"/>
      <c r="G140" s="131"/>
      <c r="H140" s="131"/>
      <c r="I140" s="131"/>
      <c r="J140" s="131"/>
      <c r="K140" s="131"/>
      <c r="L140" s="131"/>
      <c r="M140" s="173"/>
      <c r="N140" s="173"/>
      <c r="O140" s="173"/>
      <c r="P140" s="173"/>
      <c r="Q140" s="173"/>
      <c r="R140" s="173"/>
      <c r="S140" s="173"/>
      <c r="T140" s="173"/>
      <c r="U140" s="131"/>
      <c r="V140" s="174"/>
      <c r="W140" s="174"/>
      <c r="X140" s="174"/>
      <c r="Y140" s="174"/>
      <c r="Z140" s="174"/>
      <c r="AA140" s="174"/>
      <c r="AB140" s="174"/>
      <c r="AC140" s="174"/>
      <c r="AD140" s="117"/>
      <c r="AE140" s="117"/>
      <c r="AF140" s="117"/>
      <c r="AG140" s="117"/>
      <c r="AH140" s="117"/>
      <c r="AI140" s="117"/>
      <c r="AJ140" s="117"/>
      <c r="AK140" s="117"/>
      <c r="AL140" s="117"/>
      <c r="AM140" s="117"/>
      <c r="AN140" s="132"/>
      <c r="AO140" s="132"/>
      <c r="AP140" s="132"/>
      <c r="AQ140" s="132"/>
      <c r="AR140" s="132"/>
      <c r="AS140" s="132"/>
      <c r="AT140" s="132"/>
      <c r="AU140" s="130"/>
    </row>
    <row r="141" spans="1:47" ht="14.25" customHeight="1">
      <c r="A141" s="130"/>
      <c r="B141" s="113"/>
      <c r="C141" s="131"/>
      <c r="D141" s="131"/>
      <c r="E141" s="131"/>
      <c r="F141" s="131"/>
      <c r="G141" s="131"/>
      <c r="H141" s="131"/>
      <c r="I141" s="131"/>
      <c r="J141" s="131"/>
      <c r="K141" s="131"/>
      <c r="L141" s="131"/>
      <c r="M141" s="173"/>
      <c r="N141" s="173"/>
      <c r="O141" s="173"/>
      <c r="P141" s="173"/>
      <c r="Q141" s="173"/>
      <c r="R141" s="173"/>
      <c r="S141" s="173"/>
      <c r="T141" s="173"/>
      <c r="U141" s="131"/>
      <c r="V141" s="174"/>
      <c r="W141" s="174"/>
      <c r="X141" s="174"/>
      <c r="Y141" s="174"/>
      <c r="Z141" s="174"/>
      <c r="AA141" s="174"/>
      <c r="AB141" s="174"/>
      <c r="AC141" s="174"/>
      <c r="AD141" s="117"/>
      <c r="AE141" s="117"/>
      <c r="AF141" s="117"/>
      <c r="AG141" s="117"/>
      <c r="AH141" s="117"/>
      <c r="AI141" s="117"/>
      <c r="AJ141" s="117"/>
      <c r="AK141" s="117"/>
      <c r="AL141" s="117"/>
      <c r="AM141" s="117"/>
      <c r="AN141" s="132"/>
      <c r="AO141" s="132"/>
      <c r="AP141" s="132"/>
      <c r="AQ141" s="132"/>
      <c r="AR141" s="132"/>
      <c r="AS141" s="132"/>
      <c r="AT141" s="132"/>
      <c r="AU141" s="130"/>
    </row>
    <row r="142" spans="1:47" ht="14.25" customHeight="1">
      <c r="A142" s="130"/>
      <c r="B142" s="113"/>
      <c r="C142" s="131"/>
      <c r="D142" s="131"/>
      <c r="E142" s="131"/>
      <c r="F142" s="131"/>
      <c r="G142" s="131"/>
      <c r="H142" s="131"/>
      <c r="I142" s="131"/>
      <c r="J142" s="131"/>
      <c r="K142" s="131"/>
      <c r="L142" s="131"/>
      <c r="M142" s="173"/>
      <c r="N142" s="173"/>
      <c r="O142" s="173"/>
      <c r="P142" s="173"/>
      <c r="Q142" s="173"/>
      <c r="R142" s="173"/>
      <c r="S142" s="173"/>
      <c r="T142" s="173"/>
      <c r="U142" s="131"/>
      <c r="V142" s="174"/>
      <c r="W142" s="174"/>
      <c r="X142" s="174"/>
      <c r="Y142" s="174"/>
      <c r="Z142" s="174"/>
      <c r="AA142" s="174"/>
      <c r="AB142" s="174"/>
      <c r="AC142" s="174"/>
      <c r="AD142" s="117"/>
      <c r="AE142" s="117"/>
      <c r="AF142" s="117"/>
      <c r="AG142" s="117"/>
      <c r="AH142" s="117"/>
      <c r="AI142" s="117"/>
      <c r="AJ142" s="117"/>
      <c r="AK142" s="117"/>
      <c r="AL142" s="117"/>
      <c r="AM142" s="117"/>
      <c r="AN142" s="132"/>
      <c r="AO142" s="132"/>
      <c r="AP142" s="132"/>
      <c r="AQ142" s="132"/>
      <c r="AR142" s="132"/>
      <c r="AS142" s="132"/>
      <c r="AT142" s="132"/>
      <c r="AU142" s="130"/>
    </row>
    <row r="143" spans="1:47" ht="14.25" customHeight="1">
      <c r="A143" s="130"/>
      <c r="B143" s="113"/>
      <c r="C143" s="131"/>
      <c r="D143" s="131"/>
      <c r="E143" s="131"/>
      <c r="F143" s="131"/>
      <c r="G143" s="131"/>
      <c r="H143" s="131"/>
      <c r="I143" s="131"/>
      <c r="J143" s="131"/>
      <c r="K143" s="131"/>
      <c r="L143" s="131"/>
      <c r="M143" s="173"/>
      <c r="N143" s="173"/>
      <c r="O143" s="173"/>
      <c r="P143" s="173"/>
      <c r="Q143" s="173"/>
      <c r="R143" s="173"/>
      <c r="S143" s="173"/>
      <c r="T143" s="173"/>
      <c r="U143" s="131"/>
      <c r="V143" s="174"/>
      <c r="W143" s="174"/>
      <c r="X143" s="174"/>
      <c r="Y143" s="174"/>
      <c r="Z143" s="174"/>
      <c r="AA143" s="174"/>
      <c r="AB143" s="174"/>
      <c r="AC143" s="174"/>
      <c r="AD143" s="117"/>
      <c r="AE143" s="117"/>
      <c r="AF143" s="117"/>
      <c r="AG143" s="117"/>
      <c r="AH143" s="117"/>
      <c r="AI143" s="117"/>
      <c r="AJ143" s="117"/>
      <c r="AK143" s="117"/>
      <c r="AL143" s="117"/>
      <c r="AM143" s="117"/>
      <c r="AN143" s="132"/>
      <c r="AO143" s="132"/>
      <c r="AP143" s="132"/>
      <c r="AQ143" s="132"/>
      <c r="AR143" s="132"/>
      <c r="AS143" s="132"/>
      <c r="AT143" s="132"/>
      <c r="AU143" s="130"/>
    </row>
    <row r="144" spans="1:47" ht="14.25" customHeight="1">
      <c r="A144" s="130"/>
      <c r="B144" s="113"/>
      <c r="C144" s="131"/>
      <c r="D144" s="131"/>
      <c r="E144" s="131"/>
      <c r="F144" s="131"/>
      <c r="G144" s="131"/>
      <c r="H144" s="131"/>
      <c r="I144" s="131"/>
      <c r="J144" s="131"/>
      <c r="K144" s="131"/>
      <c r="L144" s="131"/>
      <c r="M144" s="173"/>
      <c r="N144" s="173"/>
      <c r="O144" s="173"/>
      <c r="P144" s="173"/>
      <c r="Q144" s="173"/>
      <c r="R144" s="173"/>
      <c r="S144" s="173"/>
      <c r="T144" s="173"/>
      <c r="U144" s="131"/>
      <c r="V144" s="174"/>
      <c r="W144" s="174"/>
      <c r="X144" s="174"/>
      <c r="Y144" s="174"/>
      <c r="Z144" s="174"/>
      <c r="AA144" s="174"/>
      <c r="AB144" s="174"/>
      <c r="AC144" s="174"/>
      <c r="AD144" s="117"/>
      <c r="AE144" s="117"/>
      <c r="AF144" s="117"/>
      <c r="AG144" s="117"/>
      <c r="AH144" s="117"/>
      <c r="AI144" s="117"/>
      <c r="AJ144" s="117"/>
      <c r="AK144" s="117"/>
      <c r="AL144" s="117"/>
      <c r="AM144" s="117"/>
      <c r="AN144" s="132"/>
      <c r="AO144" s="132"/>
      <c r="AP144" s="132"/>
      <c r="AQ144" s="132"/>
      <c r="AR144" s="132"/>
      <c r="AS144" s="132"/>
      <c r="AT144" s="132"/>
      <c r="AU144" s="130"/>
    </row>
    <row r="145" spans="1:47" ht="14.25" customHeight="1">
      <c r="A145" s="130"/>
      <c r="B145" s="113"/>
      <c r="C145" s="131"/>
      <c r="D145" s="131"/>
      <c r="E145" s="131"/>
      <c r="F145" s="131"/>
      <c r="G145" s="131"/>
      <c r="H145" s="131"/>
      <c r="I145" s="131"/>
      <c r="J145" s="131"/>
      <c r="K145" s="131"/>
      <c r="L145" s="131"/>
      <c r="M145" s="173"/>
      <c r="N145" s="173"/>
      <c r="O145" s="173"/>
      <c r="P145" s="173"/>
      <c r="Q145" s="173"/>
      <c r="R145" s="173"/>
      <c r="S145" s="173"/>
      <c r="T145" s="173"/>
      <c r="U145" s="131"/>
      <c r="V145" s="174"/>
      <c r="W145" s="174"/>
      <c r="X145" s="174"/>
      <c r="Y145" s="174"/>
      <c r="Z145" s="174"/>
      <c r="AA145" s="174"/>
      <c r="AB145" s="174"/>
      <c r="AC145" s="174"/>
      <c r="AD145" s="117"/>
      <c r="AE145" s="117"/>
      <c r="AF145" s="117"/>
      <c r="AG145" s="117"/>
      <c r="AH145" s="117"/>
      <c r="AI145" s="117"/>
      <c r="AJ145" s="117"/>
      <c r="AK145" s="117"/>
      <c r="AL145" s="117"/>
      <c r="AM145" s="117"/>
      <c r="AN145" s="132"/>
      <c r="AO145" s="132"/>
      <c r="AP145" s="132"/>
      <c r="AQ145" s="132"/>
      <c r="AR145" s="132"/>
      <c r="AS145" s="132"/>
      <c r="AT145" s="132"/>
      <c r="AU145" s="130"/>
    </row>
    <row r="146" spans="1:47" ht="14.25" customHeight="1">
      <c r="A146" s="130"/>
      <c r="B146" s="113"/>
      <c r="C146" s="131"/>
      <c r="D146" s="131"/>
      <c r="E146" s="131"/>
      <c r="F146" s="131"/>
      <c r="G146" s="131"/>
      <c r="H146" s="131"/>
      <c r="I146" s="131"/>
      <c r="J146" s="131"/>
      <c r="K146" s="131"/>
      <c r="L146" s="131"/>
      <c r="M146" s="173"/>
      <c r="N146" s="173"/>
      <c r="O146" s="173"/>
      <c r="P146" s="173"/>
      <c r="Q146" s="173"/>
      <c r="R146" s="173"/>
      <c r="S146" s="173"/>
      <c r="T146" s="173"/>
      <c r="U146" s="131"/>
      <c r="V146" s="174"/>
      <c r="W146" s="174"/>
      <c r="X146" s="174"/>
      <c r="Y146" s="174"/>
      <c r="Z146" s="174"/>
      <c r="AA146" s="174"/>
      <c r="AB146" s="174"/>
      <c r="AC146" s="174"/>
      <c r="AD146" s="117"/>
      <c r="AE146" s="117"/>
      <c r="AF146" s="117"/>
      <c r="AG146" s="117"/>
      <c r="AH146" s="117"/>
      <c r="AI146" s="117"/>
      <c r="AJ146" s="117"/>
      <c r="AK146" s="117"/>
      <c r="AL146" s="117"/>
      <c r="AM146" s="117"/>
      <c r="AN146" s="132"/>
      <c r="AO146" s="132"/>
      <c r="AP146" s="132"/>
      <c r="AQ146" s="132"/>
      <c r="AR146" s="132"/>
      <c r="AS146" s="132"/>
      <c r="AT146" s="132"/>
      <c r="AU146" s="130"/>
    </row>
    <row r="147" spans="1:47" ht="14.25" customHeight="1">
      <c r="A147" s="130"/>
      <c r="B147" s="113"/>
      <c r="C147" s="131"/>
      <c r="D147" s="131"/>
      <c r="E147" s="131"/>
      <c r="F147" s="131"/>
      <c r="G147" s="131"/>
      <c r="H147" s="131"/>
      <c r="I147" s="131"/>
      <c r="J147" s="131"/>
      <c r="K147" s="131"/>
      <c r="L147" s="131"/>
      <c r="M147" s="173"/>
      <c r="N147" s="173"/>
      <c r="O147" s="173"/>
      <c r="P147" s="173"/>
      <c r="Q147" s="173"/>
      <c r="R147" s="173"/>
      <c r="S147" s="173"/>
      <c r="T147" s="173"/>
      <c r="U147" s="131"/>
      <c r="V147" s="174"/>
      <c r="W147" s="174"/>
      <c r="X147" s="174"/>
      <c r="Y147" s="174"/>
      <c r="Z147" s="174"/>
      <c r="AA147" s="174"/>
      <c r="AB147" s="174"/>
      <c r="AC147" s="174"/>
      <c r="AD147" s="117"/>
      <c r="AE147" s="117"/>
      <c r="AF147" s="117"/>
      <c r="AG147" s="117"/>
      <c r="AH147" s="117"/>
      <c r="AI147" s="117"/>
      <c r="AJ147" s="117"/>
      <c r="AK147" s="117"/>
      <c r="AL147" s="117"/>
      <c r="AM147" s="117"/>
      <c r="AN147" s="132"/>
      <c r="AO147" s="132"/>
      <c r="AP147" s="132"/>
      <c r="AQ147" s="132"/>
      <c r="AR147" s="132"/>
      <c r="AS147" s="132"/>
      <c r="AT147" s="132"/>
      <c r="AU147" s="130"/>
    </row>
    <row r="148" spans="1:47" ht="14.25" customHeight="1">
      <c r="A148" s="130"/>
      <c r="B148" s="113"/>
      <c r="C148" s="131"/>
      <c r="D148" s="131"/>
      <c r="E148" s="131"/>
      <c r="F148" s="131"/>
      <c r="G148" s="131"/>
      <c r="H148" s="131"/>
      <c r="I148" s="131"/>
      <c r="J148" s="131"/>
      <c r="K148" s="131"/>
      <c r="L148" s="131"/>
      <c r="M148" s="173"/>
      <c r="N148" s="173"/>
      <c r="O148" s="173"/>
      <c r="P148" s="173"/>
      <c r="Q148" s="173"/>
      <c r="R148" s="173"/>
      <c r="S148" s="173"/>
      <c r="T148" s="173"/>
      <c r="U148" s="131"/>
      <c r="V148" s="174"/>
      <c r="W148" s="174"/>
      <c r="X148" s="174"/>
      <c r="Y148" s="174"/>
      <c r="Z148" s="174"/>
      <c r="AA148" s="174"/>
      <c r="AB148" s="174"/>
      <c r="AC148" s="174"/>
      <c r="AD148" s="117"/>
      <c r="AE148" s="117"/>
      <c r="AF148" s="117"/>
      <c r="AG148" s="117"/>
      <c r="AH148" s="117"/>
      <c r="AI148" s="117"/>
      <c r="AJ148" s="117"/>
      <c r="AK148" s="117"/>
      <c r="AL148" s="117"/>
      <c r="AM148" s="117"/>
      <c r="AN148" s="132"/>
      <c r="AO148" s="132"/>
      <c r="AP148" s="132"/>
      <c r="AQ148" s="132"/>
      <c r="AR148" s="132"/>
      <c r="AS148" s="132"/>
      <c r="AT148" s="132"/>
      <c r="AU148" s="130"/>
    </row>
    <row r="149" spans="1:47" ht="14.25" customHeight="1">
      <c r="A149" s="130"/>
      <c r="B149" s="113"/>
      <c r="C149" s="131"/>
      <c r="D149" s="131"/>
      <c r="E149" s="131"/>
      <c r="F149" s="131"/>
      <c r="G149" s="131"/>
      <c r="H149" s="131"/>
      <c r="I149" s="131"/>
      <c r="J149" s="131"/>
      <c r="K149" s="131"/>
      <c r="L149" s="131"/>
      <c r="M149" s="173"/>
      <c r="N149" s="173"/>
      <c r="O149" s="173"/>
      <c r="P149" s="173"/>
      <c r="Q149" s="173"/>
      <c r="R149" s="173"/>
      <c r="S149" s="173"/>
      <c r="T149" s="173"/>
      <c r="U149" s="131"/>
      <c r="V149" s="174"/>
      <c r="W149" s="174"/>
      <c r="X149" s="174"/>
      <c r="Y149" s="174"/>
      <c r="Z149" s="174"/>
      <c r="AA149" s="174"/>
      <c r="AB149" s="174"/>
      <c r="AC149" s="174"/>
      <c r="AD149" s="117"/>
      <c r="AE149" s="117"/>
      <c r="AF149" s="117"/>
      <c r="AG149" s="117"/>
      <c r="AH149" s="117"/>
      <c r="AI149" s="117"/>
      <c r="AJ149" s="117"/>
      <c r="AK149" s="117"/>
      <c r="AL149" s="117"/>
      <c r="AM149" s="117"/>
      <c r="AN149" s="132"/>
      <c r="AO149" s="132"/>
      <c r="AP149" s="132"/>
      <c r="AQ149" s="132"/>
      <c r="AR149" s="132"/>
      <c r="AS149" s="132"/>
      <c r="AT149" s="132"/>
      <c r="AU149" s="130"/>
    </row>
    <row r="150" spans="1:47" ht="14.25" customHeight="1">
      <c r="A150" s="130"/>
      <c r="B150" s="113"/>
      <c r="C150" s="131"/>
      <c r="D150" s="131"/>
      <c r="E150" s="131"/>
      <c r="F150" s="131"/>
      <c r="G150" s="131"/>
      <c r="H150" s="131"/>
      <c r="I150" s="131"/>
      <c r="J150" s="131"/>
      <c r="K150" s="131"/>
      <c r="L150" s="131"/>
      <c r="M150" s="173"/>
      <c r="N150" s="173"/>
      <c r="O150" s="173"/>
      <c r="P150" s="173"/>
      <c r="Q150" s="173"/>
      <c r="R150" s="173"/>
      <c r="S150" s="173"/>
      <c r="T150" s="173"/>
      <c r="U150" s="131"/>
      <c r="V150" s="174"/>
      <c r="W150" s="174"/>
      <c r="X150" s="174"/>
      <c r="Y150" s="174"/>
      <c r="Z150" s="174"/>
      <c r="AA150" s="174"/>
      <c r="AB150" s="174"/>
      <c r="AC150" s="174"/>
      <c r="AD150" s="117"/>
      <c r="AE150" s="117"/>
      <c r="AF150" s="117"/>
      <c r="AG150" s="117"/>
      <c r="AH150" s="117"/>
      <c r="AI150" s="117"/>
      <c r="AJ150" s="117"/>
      <c r="AK150" s="117"/>
      <c r="AL150" s="117"/>
      <c r="AM150" s="117"/>
      <c r="AN150" s="132"/>
      <c r="AO150" s="132"/>
      <c r="AP150" s="132"/>
      <c r="AQ150" s="132"/>
      <c r="AR150" s="132"/>
      <c r="AS150" s="132"/>
      <c r="AT150" s="132"/>
      <c r="AU150" s="130"/>
    </row>
    <row r="151" spans="1:47" ht="14.25" customHeight="1">
      <c r="A151" s="130"/>
      <c r="B151" s="113"/>
      <c r="C151" s="131"/>
      <c r="D151" s="131"/>
      <c r="E151" s="131"/>
      <c r="F151" s="131"/>
      <c r="G151" s="131"/>
      <c r="H151" s="131"/>
      <c r="I151" s="131"/>
      <c r="J151" s="131"/>
      <c r="K151" s="131"/>
      <c r="L151" s="131"/>
      <c r="M151" s="173"/>
      <c r="N151" s="173"/>
      <c r="O151" s="173"/>
      <c r="P151" s="173"/>
      <c r="Q151" s="173"/>
      <c r="R151" s="173"/>
      <c r="S151" s="173"/>
      <c r="T151" s="173"/>
      <c r="U151" s="131"/>
      <c r="V151" s="174"/>
      <c r="W151" s="174"/>
      <c r="X151" s="174"/>
      <c r="Y151" s="174"/>
      <c r="Z151" s="174"/>
      <c r="AA151" s="174"/>
      <c r="AB151" s="174"/>
      <c r="AC151" s="174"/>
      <c r="AD151" s="117"/>
      <c r="AE151" s="117"/>
      <c r="AF151" s="117"/>
      <c r="AG151" s="117"/>
      <c r="AH151" s="117"/>
      <c r="AI151" s="117"/>
      <c r="AJ151" s="117"/>
      <c r="AK151" s="117"/>
      <c r="AL151" s="117"/>
      <c r="AM151" s="117"/>
      <c r="AN151" s="132"/>
      <c r="AO151" s="132"/>
      <c r="AP151" s="132"/>
      <c r="AQ151" s="132"/>
      <c r="AR151" s="132"/>
      <c r="AS151" s="132"/>
      <c r="AT151" s="132"/>
      <c r="AU151" s="130"/>
    </row>
  </sheetData>
  <phoneticPr fontId="7" type="noConversion"/>
  <pageMargins left="0.7" right="0.7" top="0.75" bottom="0.75" header="0.3" footer="0.3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12"/>
  <dimension ref="A1:AO146"/>
  <sheetViews>
    <sheetView zoomScale="98" zoomScaleNormal="98" workbookViewId="0">
      <selection activeCell="A3" sqref="A3:AO146"/>
    </sheetView>
  </sheetViews>
  <sheetFormatPr defaultColWidth="10.6640625" defaultRowHeight="14.25" customHeight="1"/>
  <cols>
    <col min="1" max="1" width="10.6640625" style="140" customWidth="1"/>
    <col min="2" max="2" width="25.33203125" style="140" customWidth="1"/>
    <col min="3" max="4" width="15.44140625" style="140" customWidth="1"/>
    <col min="5" max="10" width="10.6640625" style="140"/>
    <col min="11" max="11" width="13" style="140" bestFit="1" customWidth="1"/>
    <col min="12" max="13" width="10.6640625" style="140"/>
    <col min="14" max="14" width="12.5546875" style="140" customWidth="1"/>
    <col min="15" max="15" width="13.5546875" style="140" bestFit="1" customWidth="1"/>
    <col min="16" max="16" width="12.44140625" style="140" bestFit="1" customWidth="1"/>
    <col min="17" max="16384" width="10.6640625" style="140"/>
  </cols>
  <sheetData>
    <row r="1" spans="1:41" s="118" customFormat="1" ht="14.25" customHeight="1">
      <c r="A1" s="118" t="s">
        <v>80</v>
      </c>
      <c r="C1" s="514" t="s">
        <v>81</v>
      </c>
      <c r="D1" s="515"/>
      <c r="E1" s="515"/>
      <c r="F1" s="516"/>
      <c r="G1" s="514" t="s">
        <v>82</v>
      </c>
      <c r="H1" s="515"/>
      <c r="I1" s="515"/>
      <c r="J1" s="516"/>
      <c r="K1" s="118" t="s">
        <v>83</v>
      </c>
      <c r="L1" s="118" t="s">
        <v>84</v>
      </c>
      <c r="M1" s="118" t="s">
        <v>83</v>
      </c>
      <c r="N1" s="118" t="s">
        <v>84</v>
      </c>
      <c r="Q1" s="118" t="s">
        <v>83</v>
      </c>
      <c r="R1" s="118" t="s">
        <v>84</v>
      </c>
      <c r="S1" s="118" t="s">
        <v>83</v>
      </c>
      <c r="T1" s="118" t="s">
        <v>84</v>
      </c>
      <c r="V1" s="118" t="s">
        <v>83</v>
      </c>
      <c r="W1" s="118" t="s">
        <v>84</v>
      </c>
      <c r="X1" s="118" t="s">
        <v>83</v>
      </c>
      <c r="Y1" s="118" t="s">
        <v>84</v>
      </c>
    </row>
    <row r="2" spans="1:41" s="139" customFormat="1" ht="30" customHeight="1">
      <c r="A2" s="133" t="s">
        <v>32</v>
      </c>
      <c r="B2" s="134" t="s">
        <v>20</v>
      </c>
      <c r="C2" s="135" t="s">
        <v>85</v>
      </c>
      <c r="D2" s="135" t="s">
        <v>86</v>
      </c>
      <c r="E2" s="135" t="s">
        <v>87</v>
      </c>
      <c r="F2" s="135" t="s">
        <v>88</v>
      </c>
      <c r="G2" s="135" t="s">
        <v>89</v>
      </c>
      <c r="H2" s="135" t="s">
        <v>90</v>
      </c>
      <c r="I2" s="135" t="s">
        <v>88</v>
      </c>
      <c r="J2" s="135" t="s">
        <v>91</v>
      </c>
      <c r="K2" s="136" t="s">
        <v>92</v>
      </c>
      <c r="L2" s="136" t="s">
        <v>92</v>
      </c>
      <c r="M2" s="136" t="s">
        <v>93</v>
      </c>
      <c r="N2" s="136" t="s">
        <v>93</v>
      </c>
      <c r="O2" s="133"/>
      <c r="P2" s="133"/>
      <c r="Q2" s="137" t="s">
        <v>94</v>
      </c>
      <c r="R2" s="137" t="s">
        <v>94</v>
      </c>
      <c r="S2" s="137" t="s">
        <v>95</v>
      </c>
      <c r="T2" s="137" t="s">
        <v>95</v>
      </c>
      <c r="U2" s="138" t="s">
        <v>96</v>
      </c>
      <c r="V2" s="133" t="s">
        <v>97</v>
      </c>
      <c r="W2" s="133" t="s">
        <v>97</v>
      </c>
      <c r="X2" s="133" t="s">
        <v>98</v>
      </c>
      <c r="Y2" s="133" t="s">
        <v>98</v>
      </c>
      <c r="AA2" s="154" t="s">
        <v>140</v>
      </c>
      <c r="AB2" s="154" t="s">
        <v>140</v>
      </c>
      <c r="AC2" s="154" t="s">
        <v>141</v>
      </c>
      <c r="AD2" s="154" t="s">
        <v>141</v>
      </c>
      <c r="AE2" s="155" t="s">
        <v>142</v>
      </c>
      <c r="AF2" s="155" t="s">
        <v>143</v>
      </c>
      <c r="AG2" s="155" t="s">
        <v>144</v>
      </c>
      <c r="AH2" s="155" t="s">
        <v>144</v>
      </c>
      <c r="AI2" s="155" t="s">
        <v>145</v>
      </c>
      <c r="AJ2" s="155" t="s">
        <v>145</v>
      </c>
      <c r="AK2" s="155" t="s">
        <v>96</v>
      </c>
      <c r="AL2" s="155" t="s">
        <v>146</v>
      </c>
      <c r="AM2" s="155" t="s">
        <v>146</v>
      </c>
      <c r="AN2" s="155" t="s">
        <v>147</v>
      </c>
      <c r="AO2" s="155" t="s">
        <v>147</v>
      </c>
    </row>
    <row r="3" spans="1:41" s="83" customFormat="1" ht="14.25" customHeight="1">
      <c r="A3" s="91"/>
      <c r="B3" s="107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0"/>
      <c r="S3" s="90"/>
      <c r="T3" s="90"/>
      <c r="U3" s="90"/>
      <c r="V3" s="90"/>
      <c r="W3" s="90"/>
      <c r="X3" s="90"/>
      <c r="Y3" s="90"/>
      <c r="AA3" s="436"/>
      <c r="AB3" s="436"/>
      <c r="AC3" s="436"/>
      <c r="AD3" s="436"/>
      <c r="AE3" s="436"/>
      <c r="AF3" s="436"/>
      <c r="AG3" s="436"/>
      <c r="AH3" s="436"/>
      <c r="AI3" s="90"/>
      <c r="AJ3" s="90"/>
      <c r="AK3" s="90"/>
      <c r="AL3" s="90"/>
      <c r="AM3" s="90"/>
      <c r="AN3" s="90"/>
      <c r="AO3" s="90"/>
    </row>
    <row r="4" spans="1:41" s="83" customFormat="1" ht="14.25" customHeight="1">
      <c r="A4" s="91"/>
      <c r="B4" s="107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AA4" s="436"/>
      <c r="AB4" s="436"/>
      <c r="AC4" s="436"/>
      <c r="AD4" s="436"/>
      <c r="AE4" s="436"/>
      <c r="AF4" s="436"/>
      <c r="AG4" s="436"/>
      <c r="AH4" s="436"/>
      <c r="AI4" s="90"/>
      <c r="AJ4" s="90"/>
      <c r="AK4" s="90"/>
      <c r="AL4" s="90"/>
      <c r="AM4" s="90"/>
      <c r="AN4" s="90"/>
      <c r="AO4" s="90"/>
    </row>
    <row r="5" spans="1:41" ht="14.25" customHeight="1">
      <c r="A5" s="91"/>
      <c r="B5" s="107"/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  <c r="Y5" s="90"/>
      <c r="AA5" s="436"/>
      <c r="AB5" s="436"/>
      <c r="AC5" s="436"/>
      <c r="AD5" s="436"/>
      <c r="AE5" s="436"/>
      <c r="AF5" s="436"/>
      <c r="AG5" s="436"/>
      <c r="AH5" s="436"/>
      <c r="AI5" s="90"/>
      <c r="AJ5" s="90"/>
      <c r="AK5" s="90"/>
      <c r="AL5" s="90"/>
      <c r="AM5" s="90"/>
      <c r="AN5" s="90"/>
      <c r="AO5" s="90"/>
    </row>
    <row r="6" spans="1:41" ht="14.25" customHeight="1">
      <c r="A6" s="91"/>
      <c r="B6" s="107"/>
      <c r="C6" s="90"/>
      <c r="D6" s="90"/>
      <c r="E6" s="90"/>
      <c r="F6" s="90"/>
      <c r="G6" s="90"/>
      <c r="H6" s="90"/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AA6" s="436"/>
      <c r="AB6" s="436"/>
      <c r="AC6" s="436"/>
      <c r="AD6" s="436"/>
      <c r="AE6" s="436"/>
      <c r="AF6" s="436"/>
      <c r="AG6" s="436"/>
      <c r="AH6" s="436"/>
      <c r="AI6" s="90"/>
      <c r="AJ6" s="90"/>
      <c r="AK6" s="90"/>
      <c r="AL6" s="90"/>
      <c r="AM6" s="90"/>
      <c r="AN6" s="90"/>
      <c r="AO6" s="90"/>
    </row>
    <row r="7" spans="1:41" ht="14.25" customHeight="1">
      <c r="A7" s="91"/>
      <c r="B7" s="107"/>
      <c r="C7" s="90"/>
      <c r="D7" s="90"/>
      <c r="E7" s="90"/>
      <c r="F7" s="90"/>
      <c r="G7" s="90"/>
      <c r="H7" s="90"/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AA7" s="436"/>
      <c r="AB7" s="436"/>
      <c r="AC7" s="436"/>
      <c r="AD7" s="436"/>
      <c r="AE7" s="436"/>
      <c r="AF7" s="436"/>
      <c r="AG7" s="436"/>
      <c r="AH7" s="436"/>
      <c r="AI7" s="90"/>
      <c r="AJ7" s="90"/>
      <c r="AK7" s="90"/>
      <c r="AL7" s="90"/>
      <c r="AM7" s="90"/>
      <c r="AN7" s="90"/>
      <c r="AO7" s="90"/>
    </row>
    <row r="8" spans="1:41" ht="14.25" customHeight="1">
      <c r="A8" s="91"/>
      <c r="B8" s="107"/>
      <c r="C8" s="90"/>
      <c r="D8" s="90"/>
      <c r="E8" s="90"/>
      <c r="F8" s="90"/>
      <c r="G8" s="90"/>
      <c r="H8" s="90"/>
      <c r="I8" s="90"/>
      <c r="J8" s="90"/>
      <c r="K8" s="90"/>
      <c r="L8" s="90"/>
      <c r="M8" s="90"/>
      <c r="N8" s="90"/>
      <c r="O8" s="90"/>
      <c r="P8" s="90"/>
      <c r="Q8" s="90"/>
      <c r="R8" s="90"/>
      <c r="S8" s="90"/>
      <c r="T8" s="90"/>
      <c r="U8" s="90"/>
      <c r="V8" s="90"/>
      <c r="W8" s="90"/>
      <c r="X8" s="90"/>
      <c r="Y8" s="90"/>
      <c r="AA8" s="436"/>
      <c r="AB8" s="436"/>
      <c r="AC8" s="436"/>
      <c r="AD8" s="436"/>
      <c r="AE8" s="436"/>
      <c r="AF8" s="436"/>
      <c r="AG8" s="436"/>
      <c r="AH8" s="436"/>
      <c r="AI8" s="90"/>
      <c r="AJ8" s="90"/>
      <c r="AK8" s="90"/>
      <c r="AL8" s="90"/>
      <c r="AM8" s="90"/>
      <c r="AN8" s="90"/>
      <c r="AO8" s="90"/>
    </row>
    <row r="9" spans="1:41" ht="14.25" customHeight="1">
      <c r="A9" s="91"/>
      <c r="B9" s="107"/>
      <c r="C9" s="90"/>
      <c r="D9" s="90"/>
      <c r="E9" s="90"/>
      <c r="F9" s="90"/>
      <c r="G9" s="90"/>
      <c r="H9" s="90"/>
      <c r="I9" s="90"/>
      <c r="J9" s="90"/>
      <c r="K9" s="90"/>
      <c r="L9" s="90"/>
      <c r="M9" s="90"/>
      <c r="N9" s="90"/>
      <c r="O9" s="90"/>
      <c r="P9" s="90"/>
      <c r="Q9" s="90"/>
      <c r="R9" s="90"/>
      <c r="S9" s="90"/>
      <c r="T9" s="90"/>
      <c r="U9" s="90"/>
      <c r="V9" s="90"/>
      <c r="W9" s="90"/>
      <c r="X9" s="90"/>
      <c r="Y9" s="90"/>
      <c r="AA9" s="436"/>
      <c r="AB9" s="436"/>
      <c r="AC9" s="436"/>
      <c r="AD9" s="436"/>
      <c r="AE9" s="436"/>
      <c r="AF9" s="436"/>
      <c r="AG9" s="436"/>
      <c r="AH9" s="436"/>
      <c r="AI9" s="90"/>
      <c r="AJ9" s="90"/>
      <c r="AK9" s="90"/>
      <c r="AL9" s="90"/>
      <c r="AM9" s="90"/>
      <c r="AN9" s="90"/>
      <c r="AO9" s="90"/>
    </row>
    <row r="10" spans="1:41" ht="14.25" customHeight="1">
      <c r="A10" s="91"/>
      <c r="B10" s="107"/>
      <c r="C10" s="90"/>
      <c r="D10" s="90"/>
      <c r="E10" s="90"/>
      <c r="F10" s="90"/>
      <c r="G10" s="90"/>
      <c r="H10" s="90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AA10" s="436"/>
      <c r="AB10" s="436"/>
      <c r="AC10" s="436"/>
      <c r="AD10" s="436"/>
      <c r="AE10" s="436"/>
      <c r="AF10" s="436"/>
      <c r="AG10" s="436"/>
      <c r="AH10" s="436"/>
      <c r="AI10" s="90"/>
      <c r="AJ10" s="90"/>
      <c r="AK10" s="90"/>
      <c r="AL10" s="90"/>
      <c r="AM10" s="90"/>
      <c r="AN10" s="90"/>
      <c r="AO10" s="90"/>
    </row>
    <row r="11" spans="1:41" ht="14.25" customHeight="1">
      <c r="A11" s="91"/>
      <c r="B11" s="107"/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AA11" s="436"/>
      <c r="AB11" s="436"/>
      <c r="AC11" s="436"/>
      <c r="AD11" s="436"/>
      <c r="AE11" s="436"/>
      <c r="AF11" s="436"/>
      <c r="AG11" s="436"/>
      <c r="AH11" s="436"/>
      <c r="AI11" s="90"/>
      <c r="AJ11" s="90"/>
      <c r="AK11" s="90"/>
      <c r="AL11" s="90"/>
      <c r="AM11" s="90"/>
      <c r="AN11" s="90"/>
      <c r="AO11" s="90"/>
    </row>
    <row r="12" spans="1:41" ht="14.25" customHeight="1">
      <c r="A12" s="91"/>
      <c r="B12" s="107"/>
      <c r="C12" s="90"/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0"/>
      <c r="Y12" s="90"/>
      <c r="AA12" s="436"/>
      <c r="AB12" s="436"/>
      <c r="AC12" s="436"/>
      <c r="AD12" s="436"/>
      <c r="AE12" s="436"/>
      <c r="AF12" s="436"/>
      <c r="AG12" s="436"/>
      <c r="AH12" s="436"/>
      <c r="AI12" s="90"/>
      <c r="AJ12" s="90"/>
      <c r="AK12" s="90"/>
      <c r="AL12" s="90"/>
      <c r="AM12" s="90"/>
      <c r="AN12" s="90"/>
      <c r="AO12" s="90"/>
    </row>
    <row r="13" spans="1:41" ht="14.25" customHeight="1">
      <c r="A13" s="91"/>
      <c r="B13" s="107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AA13" s="436"/>
      <c r="AB13" s="436"/>
      <c r="AC13" s="436"/>
      <c r="AD13" s="436"/>
      <c r="AE13" s="436"/>
      <c r="AF13" s="436"/>
      <c r="AG13" s="436"/>
      <c r="AH13" s="436"/>
      <c r="AI13" s="90"/>
      <c r="AJ13" s="90"/>
      <c r="AK13" s="90"/>
      <c r="AL13" s="90"/>
      <c r="AM13" s="90"/>
      <c r="AN13" s="90"/>
      <c r="AO13" s="90"/>
    </row>
    <row r="14" spans="1:41" ht="14.25" customHeight="1">
      <c r="A14" s="91"/>
      <c r="B14" s="107"/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0"/>
      <c r="U14" s="90"/>
      <c r="V14" s="90"/>
      <c r="W14" s="90"/>
      <c r="X14" s="90"/>
      <c r="Y14" s="90"/>
      <c r="AA14" s="436"/>
      <c r="AB14" s="436"/>
      <c r="AC14" s="436"/>
      <c r="AD14" s="436"/>
      <c r="AE14" s="436"/>
      <c r="AF14" s="436"/>
      <c r="AG14" s="436"/>
      <c r="AH14" s="436"/>
      <c r="AI14" s="90"/>
      <c r="AJ14" s="90"/>
      <c r="AK14" s="90"/>
      <c r="AL14" s="90"/>
      <c r="AM14" s="90"/>
      <c r="AN14" s="90"/>
      <c r="AO14" s="90"/>
    </row>
    <row r="15" spans="1:41" ht="14.25" customHeight="1">
      <c r="A15" s="91"/>
      <c r="B15" s="107"/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  <c r="Y15" s="90"/>
      <c r="AA15" s="436"/>
      <c r="AB15" s="436"/>
      <c r="AC15" s="436"/>
      <c r="AD15" s="436"/>
      <c r="AE15" s="436"/>
      <c r="AF15" s="436"/>
      <c r="AG15" s="436"/>
      <c r="AH15" s="436"/>
      <c r="AI15" s="90"/>
      <c r="AJ15" s="90"/>
      <c r="AK15" s="90"/>
      <c r="AL15" s="90"/>
      <c r="AM15" s="90"/>
      <c r="AN15" s="90"/>
      <c r="AO15" s="90"/>
    </row>
    <row r="16" spans="1:41" ht="14.25" customHeight="1">
      <c r="A16" s="91"/>
      <c r="B16" s="107"/>
      <c r="C16" s="90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  <c r="AA16" s="436"/>
      <c r="AB16" s="436"/>
      <c r="AC16" s="436"/>
      <c r="AD16" s="436"/>
      <c r="AE16" s="436"/>
      <c r="AF16" s="436"/>
      <c r="AG16" s="436"/>
      <c r="AH16" s="436"/>
      <c r="AI16" s="90"/>
      <c r="AJ16" s="90"/>
      <c r="AK16" s="90"/>
      <c r="AL16" s="90"/>
      <c r="AM16" s="90"/>
      <c r="AN16" s="90"/>
      <c r="AO16" s="90"/>
    </row>
    <row r="17" spans="1:41" ht="14.25" customHeight="1">
      <c r="A17" s="91"/>
      <c r="B17" s="107"/>
      <c r="C17" s="90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90"/>
      <c r="S17" s="90"/>
      <c r="T17" s="90"/>
      <c r="U17" s="90"/>
      <c r="V17" s="90"/>
      <c r="W17" s="90"/>
      <c r="X17" s="90"/>
      <c r="Y17" s="90"/>
      <c r="AA17" s="436"/>
      <c r="AB17" s="436"/>
      <c r="AC17" s="436"/>
      <c r="AD17" s="436"/>
      <c r="AE17" s="436"/>
      <c r="AF17" s="436"/>
      <c r="AG17" s="436"/>
      <c r="AH17" s="436"/>
      <c r="AI17" s="90"/>
      <c r="AJ17" s="90"/>
      <c r="AK17" s="90"/>
      <c r="AL17" s="90"/>
      <c r="AM17" s="90"/>
      <c r="AN17" s="90"/>
      <c r="AO17" s="90"/>
    </row>
    <row r="18" spans="1:41" ht="14.25" customHeight="1">
      <c r="A18" s="91"/>
      <c r="B18" s="107"/>
      <c r="C18" s="90"/>
      <c r="D18" s="90"/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  <c r="Y18" s="90"/>
      <c r="AA18" s="436"/>
      <c r="AB18" s="436"/>
      <c r="AC18" s="436"/>
      <c r="AD18" s="436"/>
      <c r="AE18" s="436"/>
      <c r="AF18" s="436"/>
      <c r="AG18" s="436"/>
      <c r="AH18" s="436"/>
      <c r="AI18" s="90"/>
      <c r="AJ18" s="90"/>
      <c r="AK18" s="90"/>
      <c r="AL18" s="90"/>
      <c r="AM18" s="90"/>
      <c r="AN18" s="90"/>
      <c r="AO18" s="90"/>
    </row>
    <row r="19" spans="1:41" ht="14.25" customHeight="1">
      <c r="A19" s="91"/>
      <c r="B19" s="107"/>
      <c r="C19" s="90"/>
      <c r="D19" s="90"/>
      <c r="E19" s="90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  <c r="AA19" s="436"/>
      <c r="AB19" s="436"/>
      <c r="AC19" s="436"/>
      <c r="AD19" s="436"/>
      <c r="AE19" s="436"/>
      <c r="AF19" s="436"/>
      <c r="AG19" s="436"/>
      <c r="AH19" s="436"/>
      <c r="AI19" s="90"/>
      <c r="AJ19" s="90"/>
      <c r="AK19" s="90"/>
      <c r="AL19" s="90"/>
      <c r="AM19" s="90"/>
      <c r="AN19" s="90"/>
      <c r="AO19" s="90"/>
    </row>
    <row r="20" spans="1:41" ht="14.25" customHeight="1">
      <c r="A20" s="91"/>
      <c r="B20" s="107"/>
      <c r="C20" s="90"/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0"/>
      <c r="AA20" s="436"/>
      <c r="AB20" s="436"/>
      <c r="AC20" s="436"/>
      <c r="AD20" s="436"/>
      <c r="AE20" s="436"/>
      <c r="AF20" s="436"/>
      <c r="AG20" s="436"/>
      <c r="AH20" s="436"/>
      <c r="AI20" s="90"/>
      <c r="AJ20" s="90"/>
      <c r="AK20" s="90"/>
      <c r="AL20" s="90"/>
      <c r="AM20" s="90"/>
      <c r="AN20" s="90"/>
      <c r="AO20" s="90"/>
    </row>
    <row r="21" spans="1:41" ht="14.25" customHeight="1">
      <c r="A21" s="91"/>
      <c r="B21" s="107"/>
      <c r="C21" s="90"/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0"/>
      <c r="X21" s="90"/>
      <c r="Y21" s="90"/>
      <c r="AA21" s="436"/>
      <c r="AB21" s="436"/>
      <c r="AC21" s="436"/>
      <c r="AD21" s="436"/>
      <c r="AE21" s="436"/>
      <c r="AF21" s="436"/>
      <c r="AG21" s="436"/>
      <c r="AH21" s="436"/>
      <c r="AI21" s="90"/>
      <c r="AJ21" s="90"/>
      <c r="AK21" s="90"/>
      <c r="AL21" s="90"/>
      <c r="AM21" s="90"/>
      <c r="AN21" s="90"/>
      <c r="AO21" s="90"/>
    </row>
    <row r="22" spans="1:41" ht="14.25" customHeight="1">
      <c r="A22" s="91"/>
      <c r="B22" s="107"/>
      <c r="C22" s="90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AA22" s="436"/>
      <c r="AB22" s="436"/>
      <c r="AC22" s="436"/>
      <c r="AD22" s="436"/>
      <c r="AE22" s="436"/>
      <c r="AF22" s="436"/>
      <c r="AG22" s="436"/>
      <c r="AH22" s="436"/>
      <c r="AI22" s="90"/>
      <c r="AJ22" s="90"/>
      <c r="AK22" s="90"/>
      <c r="AL22" s="90"/>
      <c r="AM22" s="90"/>
      <c r="AN22" s="90"/>
      <c r="AO22" s="90"/>
    </row>
    <row r="23" spans="1:41" ht="14.25" customHeight="1">
      <c r="A23" s="91"/>
      <c r="B23" s="107"/>
      <c r="C23" s="90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0"/>
      <c r="X23" s="90"/>
      <c r="Y23" s="90"/>
      <c r="AA23" s="436"/>
      <c r="AB23" s="436"/>
      <c r="AC23" s="436"/>
      <c r="AD23" s="436"/>
      <c r="AE23" s="436"/>
      <c r="AF23" s="436"/>
      <c r="AG23" s="436"/>
      <c r="AH23" s="436"/>
      <c r="AI23" s="90"/>
      <c r="AJ23" s="90"/>
      <c r="AK23" s="90"/>
      <c r="AL23" s="90"/>
      <c r="AM23" s="90"/>
      <c r="AN23" s="90"/>
      <c r="AO23" s="90"/>
    </row>
    <row r="24" spans="1:41" ht="14.25" customHeight="1">
      <c r="A24" s="91"/>
      <c r="B24" s="107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AA24" s="436"/>
      <c r="AB24" s="436"/>
      <c r="AC24" s="436"/>
      <c r="AD24" s="436"/>
      <c r="AE24" s="436"/>
      <c r="AF24" s="436"/>
      <c r="AG24" s="436"/>
      <c r="AH24" s="436"/>
      <c r="AI24" s="90"/>
      <c r="AJ24" s="90"/>
      <c r="AK24" s="90"/>
      <c r="AL24" s="90"/>
      <c r="AM24" s="90"/>
      <c r="AN24" s="90"/>
      <c r="AO24" s="90"/>
    </row>
    <row r="25" spans="1:41" ht="14.25" customHeight="1">
      <c r="A25" s="91"/>
      <c r="B25" s="107"/>
      <c r="C25" s="90"/>
      <c r="D25" s="90"/>
      <c r="E25" s="90"/>
      <c r="F25" s="90"/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90"/>
      <c r="S25" s="90"/>
      <c r="T25" s="90"/>
      <c r="U25" s="90"/>
      <c r="V25" s="90"/>
      <c r="W25" s="90"/>
      <c r="X25" s="90"/>
      <c r="Y25" s="90"/>
      <c r="AA25" s="436"/>
      <c r="AB25" s="436"/>
      <c r="AC25" s="436"/>
      <c r="AD25" s="436"/>
      <c r="AE25" s="436"/>
      <c r="AF25" s="436"/>
      <c r="AG25" s="436"/>
      <c r="AH25" s="436"/>
      <c r="AI25" s="90"/>
      <c r="AJ25" s="90"/>
      <c r="AK25" s="90"/>
      <c r="AL25" s="90"/>
      <c r="AM25" s="90"/>
      <c r="AN25" s="90"/>
      <c r="AO25" s="90"/>
    </row>
    <row r="26" spans="1:41" ht="14.25" customHeight="1">
      <c r="A26" s="91"/>
      <c r="B26" s="167"/>
      <c r="C26" s="166"/>
      <c r="D26" s="166"/>
      <c r="E26" s="166"/>
      <c r="F26" s="166"/>
      <c r="G26" s="166"/>
      <c r="H26" s="166"/>
      <c r="I26" s="166"/>
      <c r="J26" s="166"/>
      <c r="K26" s="90"/>
      <c r="L26" s="90"/>
      <c r="M26" s="90"/>
      <c r="N26" s="90"/>
      <c r="O26" s="90"/>
      <c r="P26" s="90"/>
      <c r="Q26" s="90"/>
      <c r="R26" s="90"/>
      <c r="S26" s="90"/>
      <c r="T26" s="90"/>
      <c r="U26" s="90"/>
      <c r="V26" s="90"/>
      <c r="W26" s="90"/>
      <c r="X26" s="90"/>
      <c r="Y26" s="90"/>
      <c r="AA26" s="436"/>
      <c r="AB26" s="436"/>
      <c r="AC26" s="436"/>
      <c r="AD26" s="436"/>
      <c r="AE26" s="436"/>
      <c r="AF26" s="436"/>
      <c r="AG26" s="436"/>
      <c r="AH26" s="436"/>
      <c r="AI26" s="90"/>
      <c r="AJ26" s="90"/>
      <c r="AK26" s="90"/>
      <c r="AL26" s="90"/>
      <c r="AM26" s="90"/>
      <c r="AN26" s="90"/>
      <c r="AO26" s="90"/>
    </row>
    <row r="27" spans="1:41" ht="14.25" customHeight="1">
      <c r="A27" s="91"/>
      <c r="B27" s="167"/>
      <c r="C27" s="166"/>
      <c r="D27" s="166"/>
      <c r="E27" s="166"/>
      <c r="F27" s="166"/>
      <c r="G27" s="166"/>
      <c r="H27" s="166"/>
      <c r="I27" s="166"/>
      <c r="J27" s="166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  <c r="Y27" s="90"/>
      <c r="AA27" s="436"/>
      <c r="AB27" s="436"/>
      <c r="AC27" s="436"/>
      <c r="AD27" s="436"/>
      <c r="AE27" s="436"/>
      <c r="AF27" s="436"/>
      <c r="AG27" s="436"/>
      <c r="AH27" s="436"/>
      <c r="AI27" s="90"/>
      <c r="AJ27" s="90"/>
      <c r="AK27" s="90"/>
      <c r="AL27" s="90"/>
      <c r="AM27" s="90"/>
      <c r="AN27" s="90"/>
      <c r="AO27" s="90"/>
    </row>
    <row r="28" spans="1:41" ht="14.25" customHeight="1">
      <c r="A28" s="91"/>
      <c r="B28" s="167"/>
      <c r="C28" s="166"/>
      <c r="D28" s="166"/>
      <c r="E28" s="166"/>
      <c r="F28" s="166"/>
      <c r="G28" s="166"/>
      <c r="H28" s="166"/>
      <c r="I28" s="166"/>
      <c r="J28" s="166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90"/>
      <c r="W28" s="90"/>
      <c r="X28" s="90"/>
      <c r="Y28" s="90"/>
      <c r="AA28" s="436"/>
      <c r="AB28" s="436"/>
      <c r="AC28" s="436"/>
      <c r="AD28" s="436"/>
      <c r="AE28" s="436"/>
      <c r="AF28" s="436"/>
      <c r="AG28" s="436"/>
      <c r="AH28" s="436"/>
      <c r="AI28" s="90"/>
      <c r="AJ28" s="90"/>
      <c r="AK28" s="90"/>
      <c r="AL28" s="90"/>
      <c r="AM28" s="90"/>
      <c r="AN28" s="90"/>
      <c r="AO28" s="90"/>
    </row>
    <row r="29" spans="1:41" ht="14.25" customHeight="1">
      <c r="A29" s="91"/>
      <c r="B29" s="167"/>
      <c r="C29" s="166"/>
      <c r="D29" s="166"/>
      <c r="E29" s="166"/>
      <c r="F29" s="166"/>
      <c r="G29" s="166"/>
      <c r="H29" s="166"/>
      <c r="I29" s="166"/>
      <c r="J29" s="166"/>
      <c r="K29" s="90"/>
      <c r="L29" s="90"/>
      <c r="M29" s="90"/>
      <c r="N29" s="90"/>
      <c r="O29" s="90"/>
      <c r="P29" s="90"/>
      <c r="Q29" s="90"/>
      <c r="R29" s="90"/>
      <c r="S29" s="90"/>
      <c r="T29" s="90"/>
      <c r="U29" s="90"/>
      <c r="V29" s="90"/>
      <c r="W29" s="90"/>
      <c r="X29" s="90"/>
      <c r="Y29" s="90"/>
      <c r="AA29" s="436"/>
      <c r="AB29" s="436"/>
      <c r="AC29" s="436"/>
      <c r="AD29" s="436"/>
      <c r="AE29" s="436"/>
      <c r="AF29" s="436"/>
      <c r="AG29" s="436"/>
      <c r="AH29" s="436"/>
      <c r="AI29" s="90"/>
      <c r="AJ29" s="90"/>
      <c r="AK29" s="90"/>
      <c r="AL29" s="90"/>
      <c r="AM29" s="90"/>
      <c r="AN29" s="90"/>
      <c r="AO29" s="90"/>
    </row>
    <row r="30" spans="1:41" ht="14.25" customHeight="1">
      <c r="A30" s="91"/>
      <c r="B30" s="167"/>
      <c r="C30" s="166"/>
      <c r="D30" s="166"/>
      <c r="E30" s="166"/>
      <c r="F30" s="166"/>
      <c r="G30" s="166"/>
      <c r="H30" s="166"/>
      <c r="I30" s="166"/>
      <c r="J30" s="166"/>
      <c r="K30" s="90"/>
      <c r="L30" s="90"/>
      <c r="M30" s="90"/>
      <c r="N30" s="90"/>
      <c r="O30" s="90"/>
      <c r="P30" s="90"/>
      <c r="Q30" s="90"/>
      <c r="R30" s="90"/>
      <c r="S30" s="90"/>
      <c r="T30" s="90"/>
      <c r="U30" s="90"/>
      <c r="V30" s="90"/>
      <c r="W30" s="90"/>
      <c r="X30" s="90"/>
      <c r="Y30" s="90"/>
      <c r="AA30" s="436"/>
      <c r="AB30" s="436"/>
      <c r="AC30" s="436"/>
      <c r="AD30" s="436"/>
      <c r="AE30" s="436"/>
      <c r="AF30" s="436"/>
      <c r="AG30" s="436"/>
      <c r="AH30" s="436"/>
      <c r="AI30" s="90"/>
      <c r="AJ30" s="90"/>
      <c r="AK30" s="90"/>
      <c r="AL30" s="90"/>
      <c r="AM30" s="90"/>
      <c r="AN30" s="90"/>
      <c r="AO30" s="90"/>
    </row>
    <row r="31" spans="1:41" ht="14.25" customHeight="1">
      <c r="A31" s="91"/>
      <c r="B31" s="167"/>
      <c r="C31" s="166"/>
      <c r="D31" s="166"/>
      <c r="E31" s="166"/>
      <c r="F31" s="166"/>
      <c r="G31" s="166"/>
      <c r="H31" s="166"/>
      <c r="I31" s="166"/>
      <c r="J31" s="166"/>
      <c r="K31" s="90"/>
      <c r="L31" s="90"/>
      <c r="M31" s="90"/>
      <c r="N31" s="90"/>
      <c r="O31" s="90"/>
      <c r="P31" s="90"/>
      <c r="Q31" s="90"/>
      <c r="R31" s="90"/>
      <c r="S31" s="90"/>
      <c r="T31" s="90"/>
      <c r="U31" s="90"/>
      <c r="V31" s="90"/>
      <c r="W31" s="90"/>
      <c r="X31" s="90"/>
      <c r="Y31" s="90"/>
      <c r="AA31" s="436"/>
      <c r="AB31" s="436"/>
      <c r="AC31" s="436"/>
      <c r="AD31" s="436"/>
      <c r="AE31" s="436"/>
      <c r="AF31" s="436"/>
      <c r="AG31" s="436"/>
      <c r="AH31" s="436"/>
      <c r="AI31" s="90"/>
      <c r="AJ31" s="90"/>
      <c r="AK31" s="90"/>
      <c r="AL31" s="90"/>
      <c r="AM31" s="90"/>
      <c r="AN31" s="90"/>
      <c r="AO31" s="90"/>
    </row>
    <row r="32" spans="1:41" ht="14.25" customHeight="1">
      <c r="A32" s="91"/>
      <c r="B32" s="167"/>
      <c r="C32" s="166"/>
      <c r="D32" s="166"/>
      <c r="E32" s="166"/>
      <c r="F32" s="166"/>
      <c r="G32" s="166"/>
      <c r="H32" s="166"/>
      <c r="I32" s="166"/>
      <c r="J32" s="166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90"/>
      <c r="X32" s="90"/>
      <c r="Y32" s="90"/>
      <c r="AA32" s="436"/>
      <c r="AB32" s="436"/>
      <c r="AC32" s="436"/>
      <c r="AD32" s="436"/>
      <c r="AE32" s="436"/>
      <c r="AF32" s="436"/>
      <c r="AG32" s="436"/>
      <c r="AH32" s="436"/>
      <c r="AI32" s="90"/>
      <c r="AJ32" s="90"/>
      <c r="AK32" s="90"/>
      <c r="AL32" s="90"/>
      <c r="AM32" s="90"/>
      <c r="AN32" s="90"/>
      <c r="AO32" s="90"/>
    </row>
    <row r="33" spans="1:41" ht="14.25" customHeight="1">
      <c r="A33" s="91"/>
      <c r="B33" s="167"/>
      <c r="C33" s="166"/>
      <c r="D33" s="166"/>
      <c r="E33" s="166"/>
      <c r="F33" s="166"/>
      <c r="G33" s="166"/>
      <c r="H33" s="166"/>
      <c r="I33" s="166"/>
      <c r="J33" s="166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AA33" s="436"/>
      <c r="AB33" s="436"/>
      <c r="AC33" s="436"/>
      <c r="AD33" s="436"/>
      <c r="AE33" s="436"/>
      <c r="AF33" s="436"/>
      <c r="AG33" s="436"/>
      <c r="AH33" s="436"/>
      <c r="AI33" s="90"/>
      <c r="AJ33" s="90"/>
      <c r="AK33" s="90"/>
      <c r="AL33" s="90"/>
      <c r="AM33" s="90"/>
      <c r="AN33" s="90"/>
      <c r="AO33" s="90"/>
    </row>
    <row r="34" spans="1:41" ht="14.25" customHeight="1">
      <c r="A34" s="91"/>
      <c r="B34" s="167"/>
      <c r="C34" s="166"/>
      <c r="D34" s="166"/>
      <c r="E34" s="166"/>
      <c r="F34" s="166"/>
      <c r="G34" s="166"/>
      <c r="H34" s="166"/>
      <c r="I34" s="166"/>
      <c r="J34" s="166"/>
      <c r="K34" s="90"/>
      <c r="L34" s="90"/>
      <c r="M34" s="90"/>
      <c r="N34" s="90"/>
      <c r="O34" s="90"/>
      <c r="P34" s="90"/>
      <c r="Q34" s="90"/>
      <c r="R34" s="90"/>
      <c r="S34" s="90"/>
      <c r="T34" s="90"/>
      <c r="U34" s="90"/>
      <c r="V34" s="90"/>
      <c r="W34" s="90"/>
      <c r="X34" s="90"/>
      <c r="Y34" s="90"/>
      <c r="AA34" s="436"/>
      <c r="AB34" s="436"/>
      <c r="AC34" s="436"/>
      <c r="AD34" s="436"/>
      <c r="AE34" s="436"/>
      <c r="AF34" s="436"/>
      <c r="AG34" s="436"/>
      <c r="AH34" s="436"/>
      <c r="AI34" s="90"/>
      <c r="AJ34" s="90"/>
      <c r="AK34" s="90"/>
      <c r="AL34" s="90"/>
      <c r="AM34" s="90"/>
      <c r="AN34" s="90"/>
      <c r="AO34" s="90"/>
    </row>
    <row r="35" spans="1:41" ht="14.25" customHeight="1">
      <c r="A35" s="91"/>
      <c r="B35" s="167"/>
      <c r="C35" s="166"/>
      <c r="D35" s="166"/>
      <c r="E35" s="166"/>
      <c r="F35" s="166"/>
      <c r="G35" s="166"/>
      <c r="H35" s="166"/>
      <c r="I35" s="166"/>
      <c r="J35" s="166"/>
      <c r="K35" s="90"/>
      <c r="L35" s="90"/>
      <c r="M35" s="90"/>
      <c r="N35" s="90"/>
      <c r="O35" s="90"/>
      <c r="P35" s="90"/>
      <c r="Q35" s="90"/>
      <c r="R35" s="90"/>
      <c r="S35" s="90"/>
      <c r="T35" s="90"/>
      <c r="U35" s="90"/>
      <c r="V35" s="90"/>
      <c r="W35" s="90"/>
      <c r="X35" s="90"/>
      <c r="Y35" s="90"/>
      <c r="AA35" s="436"/>
      <c r="AB35" s="436"/>
      <c r="AC35" s="436"/>
      <c r="AD35" s="436"/>
      <c r="AE35" s="436"/>
      <c r="AF35" s="436"/>
      <c r="AG35" s="436"/>
      <c r="AH35" s="436"/>
      <c r="AI35" s="90"/>
      <c r="AJ35" s="90"/>
      <c r="AK35" s="90"/>
      <c r="AL35" s="90"/>
      <c r="AM35" s="90"/>
      <c r="AN35" s="90"/>
      <c r="AO35" s="90"/>
    </row>
    <row r="36" spans="1:41" ht="14.25" customHeight="1">
      <c r="A36" s="91"/>
      <c r="B36" s="167"/>
      <c r="C36" s="166"/>
      <c r="D36" s="166"/>
      <c r="E36" s="166"/>
      <c r="F36" s="166"/>
      <c r="G36" s="166"/>
      <c r="H36" s="166"/>
      <c r="I36" s="166"/>
      <c r="J36" s="166"/>
      <c r="K36" s="90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0"/>
      <c r="W36" s="90"/>
      <c r="X36" s="90"/>
      <c r="Y36" s="90"/>
      <c r="AA36" s="436"/>
      <c r="AB36" s="436"/>
      <c r="AC36" s="436"/>
      <c r="AD36" s="436"/>
      <c r="AE36" s="436"/>
      <c r="AF36" s="436"/>
      <c r="AG36" s="436"/>
      <c r="AH36" s="436"/>
      <c r="AI36" s="90"/>
      <c r="AJ36" s="90"/>
      <c r="AK36" s="90"/>
      <c r="AL36" s="90"/>
      <c r="AM36" s="90"/>
      <c r="AN36" s="90"/>
      <c r="AO36" s="90"/>
    </row>
    <row r="37" spans="1:41" ht="14.25" customHeight="1">
      <c r="A37" s="91"/>
      <c r="B37" s="167"/>
      <c r="C37" s="166"/>
      <c r="D37" s="166"/>
      <c r="E37" s="166"/>
      <c r="F37" s="166"/>
      <c r="G37" s="166"/>
      <c r="H37" s="166"/>
      <c r="I37" s="166"/>
      <c r="J37" s="166"/>
      <c r="K37" s="90"/>
      <c r="L37" s="90"/>
      <c r="M37" s="90"/>
      <c r="N37" s="90"/>
      <c r="O37" s="90"/>
      <c r="P37" s="90"/>
      <c r="Q37" s="90"/>
      <c r="R37" s="90"/>
      <c r="S37" s="90"/>
      <c r="T37" s="90"/>
      <c r="U37" s="90"/>
      <c r="V37" s="90"/>
      <c r="W37" s="90"/>
      <c r="X37" s="90"/>
      <c r="Y37" s="90"/>
      <c r="AA37" s="436"/>
      <c r="AB37" s="436"/>
      <c r="AC37" s="436"/>
      <c r="AD37" s="436"/>
      <c r="AE37" s="436"/>
      <c r="AF37" s="436"/>
      <c r="AG37" s="436"/>
      <c r="AH37" s="436"/>
      <c r="AI37" s="90"/>
      <c r="AJ37" s="90"/>
      <c r="AK37" s="90"/>
      <c r="AL37" s="90"/>
      <c r="AM37" s="90"/>
      <c r="AN37" s="90"/>
      <c r="AO37" s="90"/>
    </row>
    <row r="38" spans="1:41" ht="14.25" customHeight="1">
      <c r="A38" s="91"/>
      <c r="B38" s="167"/>
      <c r="C38" s="166"/>
      <c r="D38" s="166"/>
      <c r="E38" s="166"/>
      <c r="F38" s="166"/>
      <c r="G38" s="166"/>
      <c r="H38" s="166"/>
      <c r="I38" s="166"/>
      <c r="J38" s="166"/>
      <c r="K38" s="90"/>
      <c r="L38" s="90"/>
      <c r="M38" s="90"/>
      <c r="N38" s="90"/>
      <c r="O38" s="90"/>
      <c r="P38" s="90"/>
      <c r="Q38" s="90"/>
      <c r="R38" s="90"/>
      <c r="S38" s="90"/>
      <c r="T38" s="90"/>
      <c r="U38" s="90"/>
      <c r="V38" s="90"/>
      <c r="W38" s="90"/>
      <c r="X38" s="90"/>
      <c r="Y38" s="90"/>
      <c r="AA38" s="436"/>
      <c r="AB38" s="436"/>
      <c r="AC38" s="436"/>
      <c r="AD38" s="436"/>
      <c r="AE38" s="436"/>
      <c r="AF38" s="436"/>
      <c r="AG38" s="436"/>
      <c r="AH38" s="436"/>
      <c r="AI38" s="90"/>
      <c r="AJ38" s="90"/>
      <c r="AK38" s="90"/>
      <c r="AL38" s="90"/>
      <c r="AM38" s="90"/>
      <c r="AN38" s="90"/>
      <c r="AO38" s="90"/>
    </row>
    <row r="39" spans="1:41" ht="14.25" customHeight="1">
      <c r="A39" s="91"/>
      <c r="B39" s="167"/>
      <c r="C39" s="166"/>
      <c r="D39" s="166"/>
      <c r="E39" s="166"/>
      <c r="F39" s="166"/>
      <c r="G39" s="166"/>
      <c r="H39" s="166"/>
      <c r="I39" s="166"/>
      <c r="J39" s="166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  <c r="AA39" s="436"/>
      <c r="AB39" s="436"/>
      <c r="AC39" s="436"/>
      <c r="AD39" s="436"/>
      <c r="AE39" s="436"/>
      <c r="AF39" s="436"/>
      <c r="AG39" s="436"/>
      <c r="AH39" s="436"/>
      <c r="AI39" s="90"/>
      <c r="AJ39" s="90"/>
      <c r="AK39" s="90"/>
      <c r="AL39" s="90"/>
      <c r="AM39" s="90"/>
      <c r="AN39" s="90"/>
      <c r="AO39" s="90"/>
    </row>
    <row r="40" spans="1:41" ht="14.25" customHeight="1">
      <c r="A40" s="91"/>
      <c r="B40" s="167"/>
      <c r="C40" s="166"/>
      <c r="D40" s="166"/>
      <c r="E40" s="166"/>
      <c r="F40" s="166"/>
      <c r="G40" s="166"/>
      <c r="H40" s="166"/>
      <c r="I40" s="166"/>
      <c r="J40" s="166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  <c r="AA40" s="436"/>
      <c r="AB40" s="436"/>
      <c r="AC40" s="436"/>
      <c r="AD40" s="436"/>
      <c r="AE40" s="436"/>
      <c r="AF40" s="436"/>
      <c r="AG40" s="436"/>
      <c r="AH40" s="436"/>
      <c r="AI40" s="90"/>
      <c r="AJ40" s="90"/>
      <c r="AK40" s="90"/>
      <c r="AL40" s="90"/>
      <c r="AM40" s="90"/>
      <c r="AN40" s="90"/>
      <c r="AO40" s="90"/>
    </row>
    <row r="41" spans="1:41" ht="14.25" customHeight="1">
      <c r="A41" s="91"/>
      <c r="B41" s="167"/>
      <c r="C41" s="166"/>
      <c r="D41" s="166"/>
      <c r="E41" s="166"/>
      <c r="F41" s="166"/>
      <c r="G41" s="166"/>
      <c r="H41" s="166"/>
      <c r="I41" s="166"/>
      <c r="J41" s="166"/>
      <c r="K41" s="90"/>
      <c r="L41" s="90"/>
      <c r="M41" s="90"/>
      <c r="N41" s="90"/>
      <c r="O41" s="90"/>
      <c r="P41" s="90"/>
      <c r="Q41" s="90"/>
      <c r="R41" s="90"/>
      <c r="S41" s="90"/>
      <c r="T41" s="90"/>
      <c r="U41" s="90"/>
      <c r="V41" s="90"/>
      <c r="W41" s="90"/>
      <c r="X41" s="90"/>
      <c r="Y41" s="90"/>
      <c r="AA41" s="436"/>
      <c r="AB41" s="436"/>
      <c r="AC41" s="436"/>
      <c r="AD41" s="436"/>
      <c r="AE41" s="436"/>
      <c r="AF41" s="436"/>
      <c r="AG41" s="436"/>
      <c r="AH41" s="436"/>
      <c r="AI41" s="90"/>
      <c r="AJ41" s="90"/>
      <c r="AK41" s="90"/>
      <c r="AL41" s="90"/>
      <c r="AM41" s="90"/>
      <c r="AN41" s="90"/>
      <c r="AO41" s="90"/>
    </row>
    <row r="42" spans="1:41" ht="14.25" customHeight="1">
      <c r="A42" s="91"/>
      <c r="B42" s="167"/>
      <c r="C42" s="166"/>
      <c r="D42" s="166"/>
      <c r="E42" s="166"/>
      <c r="F42" s="166"/>
      <c r="G42" s="166"/>
      <c r="H42" s="166"/>
      <c r="I42" s="166"/>
      <c r="J42" s="166"/>
      <c r="K42" s="90"/>
      <c r="L42" s="90"/>
      <c r="M42" s="90"/>
      <c r="N42" s="90"/>
      <c r="O42" s="90"/>
      <c r="P42" s="90"/>
      <c r="Q42" s="90"/>
      <c r="R42" s="90"/>
      <c r="S42" s="90"/>
      <c r="T42" s="90"/>
      <c r="U42" s="90"/>
      <c r="V42" s="90"/>
      <c r="W42" s="90"/>
      <c r="X42" s="90"/>
      <c r="Y42" s="90"/>
      <c r="AA42" s="436"/>
      <c r="AB42" s="436"/>
      <c r="AC42" s="436"/>
      <c r="AD42" s="436"/>
      <c r="AE42" s="436"/>
      <c r="AF42" s="436"/>
      <c r="AG42" s="436"/>
      <c r="AH42" s="436"/>
      <c r="AI42" s="90"/>
      <c r="AJ42" s="90"/>
      <c r="AK42" s="90"/>
      <c r="AL42" s="90"/>
      <c r="AM42" s="90"/>
      <c r="AN42" s="90"/>
      <c r="AO42" s="90"/>
    </row>
    <row r="43" spans="1:41" ht="14.25" customHeight="1">
      <c r="A43" s="91"/>
      <c r="B43" s="167"/>
      <c r="C43" s="166"/>
      <c r="D43" s="166"/>
      <c r="E43" s="166"/>
      <c r="F43" s="166"/>
      <c r="G43" s="166"/>
      <c r="H43" s="166"/>
      <c r="I43" s="166"/>
      <c r="J43" s="166"/>
      <c r="K43" s="90"/>
      <c r="L43" s="90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AA43" s="436"/>
      <c r="AB43" s="436"/>
      <c r="AC43" s="436"/>
      <c r="AD43" s="436"/>
      <c r="AE43" s="436"/>
      <c r="AF43" s="436"/>
      <c r="AG43" s="436"/>
      <c r="AH43" s="436"/>
      <c r="AI43" s="90"/>
      <c r="AJ43" s="90"/>
      <c r="AK43" s="90"/>
      <c r="AL43" s="90"/>
      <c r="AM43" s="90"/>
      <c r="AN43" s="90"/>
      <c r="AO43" s="90"/>
    </row>
    <row r="44" spans="1:41" ht="14.25" customHeight="1">
      <c r="A44" s="91"/>
      <c r="B44" s="167"/>
      <c r="C44" s="166"/>
      <c r="D44" s="166"/>
      <c r="E44" s="166"/>
      <c r="F44" s="166"/>
      <c r="G44" s="166"/>
      <c r="H44" s="166"/>
      <c r="I44" s="166"/>
      <c r="J44" s="166"/>
      <c r="K44" s="90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0"/>
      <c r="W44" s="90"/>
      <c r="X44" s="90"/>
      <c r="Y44" s="90"/>
      <c r="AA44" s="436"/>
      <c r="AB44" s="436"/>
      <c r="AC44" s="436"/>
      <c r="AD44" s="436"/>
      <c r="AE44" s="436"/>
      <c r="AF44" s="436"/>
      <c r="AG44" s="436"/>
      <c r="AH44" s="436"/>
      <c r="AI44" s="90"/>
      <c r="AJ44" s="90"/>
      <c r="AK44" s="90"/>
      <c r="AL44" s="90"/>
      <c r="AM44" s="90"/>
      <c r="AN44" s="90"/>
      <c r="AO44" s="90"/>
    </row>
    <row r="45" spans="1:41" ht="14.25" customHeight="1">
      <c r="A45" s="91"/>
      <c r="B45" s="167"/>
      <c r="C45" s="166"/>
      <c r="D45" s="166"/>
      <c r="E45" s="166"/>
      <c r="F45" s="166"/>
      <c r="G45" s="166"/>
      <c r="H45" s="166"/>
      <c r="I45" s="166"/>
      <c r="J45" s="166"/>
      <c r="K45" s="90"/>
      <c r="L45" s="90"/>
      <c r="M45" s="90"/>
      <c r="N45" s="90"/>
      <c r="O45" s="90"/>
      <c r="P45" s="90"/>
      <c r="Q45" s="90"/>
      <c r="R45" s="90"/>
      <c r="S45" s="90"/>
      <c r="T45" s="90"/>
      <c r="U45" s="90"/>
      <c r="V45" s="90"/>
      <c r="W45" s="90"/>
      <c r="X45" s="90"/>
      <c r="Y45" s="90"/>
      <c r="AA45" s="436"/>
      <c r="AB45" s="436"/>
      <c r="AC45" s="436"/>
      <c r="AD45" s="436"/>
      <c r="AE45" s="436"/>
      <c r="AF45" s="436"/>
      <c r="AG45" s="436"/>
      <c r="AH45" s="436"/>
      <c r="AI45" s="90"/>
      <c r="AJ45" s="90"/>
      <c r="AK45" s="90"/>
      <c r="AL45" s="90"/>
      <c r="AM45" s="90"/>
      <c r="AN45" s="90"/>
      <c r="AO45" s="90"/>
    </row>
    <row r="46" spans="1:41" ht="14.25" customHeight="1">
      <c r="A46" s="91"/>
      <c r="B46" s="167"/>
      <c r="C46" s="166"/>
      <c r="D46" s="166"/>
      <c r="E46" s="166"/>
      <c r="F46" s="166"/>
      <c r="G46" s="166"/>
      <c r="H46" s="166"/>
      <c r="I46" s="166"/>
      <c r="J46" s="166"/>
      <c r="K46" s="90"/>
      <c r="L46" s="90"/>
      <c r="M46" s="90"/>
      <c r="N46" s="90"/>
      <c r="O46" s="90"/>
      <c r="P46" s="90"/>
      <c r="Q46" s="90"/>
      <c r="R46" s="90"/>
      <c r="S46" s="90"/>
      <c r="T46" s="90"/>
      <c r="U46" s="90"/>
      <c r="V46" s="90"/>
      <c r="W46" s="90"/>
      <c r="X46" s="90"/>
      <c r="Y46" s="90"/>
      <c r="AA46" s="436"/>
      <c r="AB46" s="436"/>
      <c r="AC46" s="436"/>
      <c r="AD46" s="436"/>
      <c r="AE46" s="436"/>
      <c r="AF46" s="436"/>
      <c r="AG46" s="436"/>
      <c r="AH46" s="436"/>
      <c r="AI46" s="90"/>
      <c r="AJ46" s="90"/>
      <c r="AK46" s="90"/>
      <c r="AL46" s="90"/>
      <c r="AM46" s="90"/>
      <c r="AN46" s="90"/>
      <c r="AO46" s="90"/>
    </row>
    <row r="47" spans="1:41" ht="14.25" customHeight="1">
      <c r="A47" s="91"/>
      <c r="B47" s="167"/>
      <c r="C47" s="166"/>
      <c r="D47" s="166"/>
      <c r="E47" s="166"/>
      <c r="F47" s="166"/>
      <c r="G47" s="166"/>
      <c r="H47" s="166"/>
      <c r="I47" s="166"/>
      <c r="J47" s="166"/>
      <c r="K47" s="90"/>
      <c r="L47" s="90"/>
      <c r="M47" s="90"/>
      <c r="N47" s="90"/>
      <c r="O47" s="90"/>
      <c r="P47" s="90"/>
      <c r="Q47" s="90"/>
      <c r="R47" s="90"/>
      <c r="S47" s="90"/>
      <c r="T47" s="90"/>
      <c r="U47" s="90"/>
      <c r="V47" s="90"/>
      <c r="W47" s="90"/>
      <c r="X47" s="90"/>
      <c r="Y47" s="90"/>
      <c r="AA47" s="436"/>
      <c r="AB47" s="436"/>
      <c r="AC47" s="436"/>
      <c r="AD47" s="436"/>
      <c r="AE47" s="436"/>
      <c r="AF47" s="436"/>
      <c r="AG47" s="436"/>
      <c r="AH47" s="436"/>
      <c r="AI47" s="90"/>
      <c r="AJ47" s="90"/>
      <c r="AK47" s="90"/>
      <c r="AL47" s="90"/>
      <c r="AM47" s="90"/>
      <c r="AN47" s="90"/>
      <c r="AO47" s="90"/>
    </row>
    <row r="48" spans="1:41" ht="14.25" customHeight="1">
      <c r="A48" s="91"/>
      <c r="B48" s="167"/>
      <c r="C48" s="166"/>
      <c r="D48" s="166"/>
      <c r="E48" s="166"/>
      <c r="F48" s="166"/>
      <c r="G48" s="166"/>
      <c r="H48" s="166"/>
      <c r="I48" s="166"/>
      <c r="J48" s="166"/>
      <c r="K48" s="90"/>
      <c r="L48" s="90"/>
      <c r="M48" s="90"/>
      <c r="N48" s="90"/>
      <c r="O48" s="90"/>
      <c r="P48" s="90"/>
      <c r="Q48" s="90"/>
      <c r="R48" s="90"/>
      <c r="S48" s="90"/>
      <c r="T48" s="90"/>
      <c r="U48" s="90"/>
      <c r="V48" s="90"/>
      <c r="W48" s="90"/>
      <c r="X48" s="90"/>
      <c r="Y48" s="90"/>
      <c r="AA48" s="436"/>
      <c r="AB48" s="436"/>
      <c r="AC48" s="436"/>
      <c r="AD48" s="436"/>
      <c r="AE48" s="436"/>
      <c r="AF48" s="436"/>
      <c r="AG48" s="436"/>
      <c r="AH48" s="436"/>
      <c r="AI48" s="90"/>
      <c r="AJ48" s="90"/>
      <c r="AK48" s="90"/>
      <c r="AL48" s="90"/>
      <c r="AM48" s="90"/>
      <c r="AN48" s="90"/>
      <c r="AO48" s="90"/>
    </row>
    <row r="49" spans="1:41" ht="14.25" customHeight="1">
      <c r="A49" s="91"/>
      <c r="B49" s="167"/>
      <c r="C49" s="166"/>
      <c r="D49" s="166"/>
      <c r="E49" s="166"/>
      <c r="F49" s="166"/>
      <c r="G49" s="166"/>
      <c r="H49" s="166"/>
      <c r="I49" s="166"/>
      <c r="J49" s="166"/>
      <c r="K49" s="90"/>
      <c r="L49" s="90"/>
      <c r="M49" s="90"/>
      <c r="N49" s="90"/>
      <c r="O49" s="90"/>
      <c r="P49" s="90"/>
      <c r="Q49" s="90"/>
      <c r="R49" s="90"/>
      <c r="S49" s="90"/>
      <c r="T49" s="90"/>
      <c r="U49" s="90"/>
      <c r="V49" s="90"/>
      <c r="W49" s="90"/>
      <c r="X49" s="90"/>
      <c r="Y49" s="90"/>
      <c r="AA49" s="436"/>
      <c r="AB49" s="436"/>
      <c r="AC49" s="436"/>
      <c r="AD49" s="436"/>
      <c r="AE49" s="436"/>
      <c r="AF49" s="436"/>
      <c r="AG49" s="436"/>
      <c r="AH49" s="436"/>
      <c r="AI49" s="90"/>
      <c r="AJ49" s="90"/>
      <c r="AK49" s="90"/>
      <c r="AL49" s="90"/>
      <c r="AM49" s="90"/>
      <c r="AN49" s="90"/>
      <c r="AO49" s="90"/>
    </row>
    <row r="50" spans="1:41" ht="14.25" customHeight="1">
      <c r="A50" s="91"/>
      <c r="B50" s="167"/>
      <c r="C50" s="166"/>
      <c r="D50" s="166"/>
      <c r="E50" s="166"/>
      <c r="F50" s="166"/>
      <c r="G50" s="166"/>
      <c r="H50" s="166"/>
      <c r="I50" s="166"/>
      <c r="J50" s="166"/>
      <c r="K50" s="90"/>
      <c r="L50" s="90"/>
      <c r="M50" s="90"/>
      <c r="N50" s="90"/>
      <c r="O50" s="90"/>
      <c r="P50" s="90"/>
      <c r="Q50" s="90"/>
      <c r="R50" s="90"/>
      <c r="S50" s="90"/>
      <c r="T50" s="90"/>
      <c r="U50" s="90"/>
      <c r="V50" s="90"/>
      <c r="W50" s="90"/>
      <c r="X50" s="90"/>
      <c r="Y50" s="90"/>
      <c r="AA50" s="436"/>
      <c r="AB50" s="436"/>
      <c r="AC50" s="436"/>
      <c r="AD50" s="436"/>
      <c r="AE50" s="436"/>
      <c r="AF50" s="436"/>
      <c r="AG50" s="436"/>
      <c r="AH50" s="436"/>
      <c r="AI50" s="90"/>
      <c r="AJ50" s="90"/>
      <c r="AK50" s="90"/>
      <c r="AL50" s="90"/>
      <c r="AM50" s="90"/>
      <c r="AN50" s="90"/>
      <c r="AO50" s="90"/>
    </row>
    <row r="51" spans="1:41" ht="14.25" customHeight="1">
      <c r="A51" s="91"/>
      <c r="B51" s="167"/>
      <c r="C51" s="166"/>
      <c r="D51" s="166"/>
      <c r="E51" s="166"/>
      <c r="F51" s="166"/>
      <c r="G51" s="166"/>
      <c r="H51" s="166"/>
      <c r="I51" s="166"/>
      <c r="J51" s="166"/>
      <c r="K51" s="90"/>
      <c r="L51" s="90"/>
      <c r="M51" s="90"/>
      <c r="N51" s="90"/>
      <c r="O51" s="90"/>
      <c r="P51" s="90"/>
      <c r="Q51" s="90"/>
      <c r="R51" s="90"/>
      <c r="S51" s="90"/>
      <c r="T51" s="90"/>
      <c r="U51" s="90"/>
      <c r="V51" s="90"/>
      <c r="W51" s="90"/>
      <c r="X51" s="90"/>
      <c r="Y51" s="90"/>
      <c r="AA51" s="436"/>
      <c r="AB51" s="436"/>
      <c r="AC51" s="436"/>
      <c r="AD51" s="436"/>
      <c r="AE51" s="436"/>
      <c r="AF51" s="436"/>
      <c r="AG51" s="436"/>
      <c r="AH51" s="436"/>
      <c r="AI51" s="90"/>
      <c r="AJ51" s="90"/>
      <c r="AK51" s="90"/>
      <c r="AL51" s="90"/>
      <c r="AM51" s="90"/>
      <c r="AN51" s="90"/>
      <c r="AO51" s="90"/>
    </row>
    <row r="52" spans="1:41" ht="14.25" customHeight="1">
      <c r="A52" s="91"/>
      <c r="B52" s="167"/>
      <c r="C52" s="166"/>
      <c r="D52" s="166"/>
      <c r="E52" s="166"/>
      <c r="F52" s="166"/>
      <c r="G52" s="166"/>
      <c r="H52" s="166"/>
      <c r="I52" s="166"/>
      <c r="J52" s="166"/>
      <c r="K52" s="90"/>
      <c r="L52" s="90"/>
      <c r="M52" s="90"/>
      <c r="N52" s="90"/>
      <c r="O52" s="90"/>
      <c r="P52" s="90"/>
      <c r="Q52" s="90"/>
      <c r="R52" s="90"/>
      <c r="S52" s="90"/>
      <c r="T52" s="90"/>
      <c r="U52" s="90"/>
      <c r="V52" s="90"/>
      <c r="W52" s="90"/>
      <c r="X52" s="90"/>
      <c r="Y52" s="90"/>
      <c r="AA52" s="436"/>
      <c r="AB52" s="436"/>
      <c r="AC52" s="436"/>
      <c r="AD52" s="436"/>
      <c r="AE52" s="436"/>
      <c r="AF52" s="436"/>
      <c r="AG52" s="436"/>
      <c r="AH52" s="436"/>
      <c r="AI52" s="90"/>
      <c r="AJ52" s="90"/>
      <c r="AK52" s="90"/>
      <c r="AL52" s="90"/>
      <c r="AM52" s="90"/>
      <c r="AN52" s="90"/>
      <c r="AO52" s="90"/>
    </row>
    <row r="53" spans="1:41" ht="14.25" customHeight="1">
      <c r="A53" s="91"/>
      <c r="B53" s="167"/>
      <c r="C53" s="166"/>
      <c r="D53" s="166"/>
      <c r="E53" s="166"/>
      <c r="F53" s="166"/>
      <c r="G53" s="166"/>
      <c r="H53" s="166"/>
      <c r="I53" s="166"/>
      <c r="J53" s="166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AA53" s="436"/>
      <c r="AB53" s="436"/>
      <c r="AC53" s="436"/>
      <c r="AD53" s="436"/>
      <c r="AE53" s="436"/>
      <c r="AF53" s="436"/>
      <c r="AG53" s="436"/>
      <c r="AH53" s="436"/>
      <c r="AI53" s="90"/>
      <c r="AJ53" s="90"/>
      <c r="AK53" s="90"/>
      <c r="AL53" s="90"/>
      <c r="AM53" s="90"/>
      <c r="AN53" s="90"/>
      <c r="AO53" s="90"/>
    </row>
    <row r="54" spans="1:41" ht="14.25" customHeight="1">
      <c r="A54" s="91"/>
      <c r="B54" s="167"/>
      <c r="C54" s="166"/>
      <c r="D54" s="166"/>
      <c r="E54" s="166"/>
      <c r="F54" s="166"/>
      <c r="G54" s="166"/>
      <c r="H54" s="166"/>
      <c r="I54" s="166"/>
      <c r="J54" s="166"/>
      <c r="K54" s="90"/>
      <c r="L54" s="90"/>
      <c r="M54" s="90"/>
      <c r="N54" s="90"/>
      <c r="O54" s="90"/>
      <c r="P54" s="90"/>
      <c r="Q54" s="90"/>
      <c r="R54" s="90"/>
      <c r="S54" s="90"/>
      <c r="T54" s="90"/>
      <c r="U54" s="90"/>
      <c r="V54" s="90"/>
      <c r="W54" s="90"/>
      <c r="X54" s="90"/>
      <c r="Y54" s="90"/>
      <c r="AA54" s="436"/>
      <c r="AB54" s="436"/>
      <c r="AC54" s="436"/>
      <c r="AD54" s="436"/>
      <c r="AE54" s="436"/>
      <c r="AF54" s="436"/>
      <c r="AG54" s="436"/>
      <c r="AH54" s="436"/>
      <c r="AI54" s="90"/>
      <c r="AJ54" s="90"/>
      <c r="AK54" s="90"/>
      <c r="AL54" s="90"/>
      <c r="AM54" s="90"/>
      <c r="AN54" s="90"/>
      <c r="AO54" s="90"/>
    </row>
    <row r="55" spans="1:41" ht="14.25" customHeight="1">
      <c r="A55" s="91"/>
      <c r="B55" s="167"/>
      <c r="C55" s="166"/>
      <c r="D55" s="166"/>
      <c r="E55" s="166"/>
      <c r="F55" s="166"/>
      <c r="G55" s="166"/>
      <c r="H55" s="166"/>
      <c r="I55" s="166"/>
      <c r="J55" s="166"/>
      <c r="K55" s="90"/>
      <c r="L55" s="90"/>
      <c r="M55" s="90"/>
      <c r="N55" s="90"/>
      <c r="O55" s="90"/>
      <c r="P55" s="90"/>
      <c r="Q55" s="90"/>
      <c r="R55" s="90"/>
      <c r="S55" s="90"/>
      <c r="T55" s="90"/>
      <c r="U55" s="90"/>
      <c r="V55" s="90"/>
      <c r="W55" s="90"/>
      <c r="X55" s="90"/>
      <c r="Y55" s="90"/>
      <c r="AA55" s="436"/>
      <c r="AB55" s="436"/>
      <c r="AC55" s="436"/>
      <c r="AD55" s="436"/>
      <c r="AE55" s="436"/>
      <c r="AF55" s="436"/>
      <c r="AG55" s="436"/>
      <c r="AH55" s="436"/>
      <c r="AI55" s="90"/>
      <c r="AJ55" s="90"/>
      <c r="AK55" s="90"/>
      <c r="AL55" s="90"/>
      <c r="AM55" s="90"/>
      <c r="AN55" s="90"/>
      <c r="AO55" s="90"/>
    </row>
    <row r="56" spans="1:41" ht="14.25" customHeight="1">
      <c r="A56" s="91"/>
      <c r="B56" s="167"/>
      <c r="C56" s="166"/>
      <c r="D56" s="166"/>
      <c r="E56" s="166"/>
      <c r="F56" s="166"/>
      <c r="G56" s="166"/>
      <c r="H56" s="166"/>
      <c r="I56" s="166"/>
      <c r="J56" s="166"/>
      <c r="K56" s="90"/>
      <c r="L56" s="90"/>
      <c r="M56" s="90"/>
      <c r="N56" s="90"/>
      <c r="O56" s="90"/>
      <c r="P56" s="90"/>
      <c r="Q56" s="90"/>
      <c r="R56" s="90"/>
      <c r="S56" s="90"/>
      <c r="T56" s="90"/>
      <c r="U56" s="90"/>
      <c r="V56" s="90"/>
      <c r="W56" s="90"/>
      <c r="X56" s="90"/>
      <c r="Y56" s="90"/>
      <c r="AA56" s="436"/>
      <c r="AB56" s="436"/>
      <c r="AC56" s="436"/>
      <c r="AD56" s="436"/>
      <c r="AE56" s="436"/>
      <c r="AF56" s="436"/>
      <c r="AG56" s="436"/>
      <c r="AH56" s="436"/>
      <c r="AI56" s="90"/>
      <c r="AJ56" s="90"/>
      <c r="AK56" s="90"/>
      <c r="AL56" s="90"/>
      <c r="AM56" s="90"/>
      <c r="AN56" s="90"/>
      <c r="AO56" s="90"/>
    </row>
    <row r="57" spans="1:41" ht="14.25" customHeight="1">
      <c r="A57" s="91"/>
      <c r="B57" s="167"/>
      <c r="C57" s="166"/>
      <c r="D57" s="166"/>
      <c r="E57" s="166"/>
      <c r="F57" s="166"/>
      <c r="G57" s="166"/>
      <c r="H57" s="166"/>
      <c r="I57" s="166"/>
      <c r="J57" s="166"/>
      <c r="K57" s="90"/>
      <c r="L57" s="90"/>
      <c r="M57" s="90"/>
      <c r="N57" s="90"/>
      <c r="O57" s="90"/>
      <c r="P57" s="90"/>
      <c r="Q57" s="90"/>
      <c r="R57" s="90"/>
      <c r="S57" s="90"/>
      <c r="T57" s="90"/>
      <c r="U57" s="90"/>
      <c r="V57" s="90"/>
      <c r="W57" s="90"/>
      <c r="X57" s="90"/>
      <c r="Y57" s="90"/>
      <c r="AA57" s="436"/>
      <c r="AB57" s="436"/>
      <c r="AC57" s="436"/>
      <c r="AD57" s="436"/>
      <c r="AE57" s="436"/>
      <c r="AF57" s="436"/>
      <c r="AG57" s="436"/>
      <c r="AH57" s="436"/>
      <c r="AI57" s="90"/>
      <c r="AJ57" s="90"/>
      <c r="AK57" s="90"/>
      <c r="AL57" s="90"/>
      <c r="AM57" s="90"/>
      <c r="AN57" s="90"/>
      <c r="AO57" s="90"/>
    </row>
    <row r="58" spans="1:41" ht="14.25" customHeight="1">
      <c r="A58" s="91"/>
      <c r="B58" s="167"/>
      <c r="C58" s="166"/>
      <c r="D58" s="166"/>
      <c r="E58" s="166"/>
      <c r="F58" s="166"/>
      <c r="G58" s="166"/>
      <c r="H58" s="166"/>
      <c r="I58" s="166"/>
      <c r="J58" s="166"/>
      <c r="K58" s="90"/>
      <c r="L58" s="90"/>
      <c r="M58" s="90"/>
      <c r="N58" s="90"/>
      <c r="O58" s="90"/>
      <c r="P58" s="90"/>
      <c r="Q58" s="90"/>
      <c r="R58" s="90"/>
      <c r="S58" s="90"/>
      <c r="T58" s="90"/>
      <c r="U58" s="90"/>
      <c r="V58" s="90"/>
      <c r="W58" s="90"/>
      <c r="X58" s="90"/>
      <c r="Y58" s="90"/>
      <c r="AA58" s="436"/>
      <c r="AB58" s="436"/>
      <c r="AC58" s="436"/>
      <c r="AD58" s="436"/>
      <c r="AE58" s="436"/>
      <c r="AF58" s="436"/>
      <c r="AG58" s="436"/>
      <c r="AH58" s="436"/>
      <c r="AI58" s="90"/>
      <c r="AJ58" s="90"/>
      <c r="AK58" s="90"/>
      <c r="AL58" s="90"/>
      <c r="AM58" s="90"/>
      <c r="AN58" s="90"/>
      <c r="AO58" s="90"/>
    </row>
    <row r="59" spans="1:41" ht="14.25" customHeight="1" thickBot="1">
      <c r="A59" s="234"/>
      <c r="B59" s="248"/>
      <c r="C59" s="254"/>
      <c r="D59" s="254"/>
      <c r="E59" s="254"/>
      <c r="F59" s="254"/>
      <c r="G59" s="254"/>
      <c r="H59" s="254"/>
      <c r="I59" s="254"/>
      <c r="J59" s="254"/>
      <c r="K59" s="254"/>
      <c r="L59" s="254"/>
      <c r="M59" s="254"/>
      <c r="N59" s="254"/>
      <c r="O59" s="254"/>
      <c r="P59" s="254"/>
      <c r="Q59" s="254"/>
      <c r="R59" s="254"/>
      <c r="S59" s="254"/>
      <c r="T59" s="254"/>
      <c r="U59" s="254"/>
      <c r="V59" s="254"/>
      <c r="W59" s="254"/>
      <c r="X59" s="254"/>
      <c r="Y59" s="254"/>
      <c r="Z59" s="393"/>
      <c r="AA59" s="437"/>
      <c r="AB59" s="437"/>
      <c r="AC59" s="437"/>
      <c r="AD59" s="437"/>
      <c r="AE59" s="437"/>
      <c r="AF59" s="437"/>
      <c r="AG59" s="437"/>
      <c r="AH59" s="437"/>
      <c r="AI59" s="254"/>
      <c r="AJ59" s="254"/>
      <c r="AK59" s="254"/>
      <c r="AL59" s="254"/>
      <c r="AM59" s="254"/>
      <c r="AN59" s="254"/>
      <c r="AO59" s="254"/>
    </row>
    <row r="60" spans="1:41" ht="14.25" customHeight="1" thickTop="1">
      <c r="A60" s="225"/>
      <c r="B60" s="391"/>
      <c r="C60" s="392"/>
      <c r="D60" s="392"/>
      <c r="E60" s="392"/>
      <c r="F60" s="392"/>
      <c r="G60" s="392"/>
      <c r="H60" s="392"/>
      <c r="I60" s="392"/>
      <c r="J60" s="392"/>
      <c r="K60" s="362"/>
      <c r="L60" s="362"/>
      <c r="M60" s="362"/>
      <c r="N60" s="362"/>
      <c r="O60" s="362"/>
      <c r="P60" s="362"/>
      <c r="Q60" s="362"/>
      <c r="R60" s="362"/>
      <c r="S60" s="362"/>
      <c r="T60" s="362"/>
      <c r="U60" s="362"/>
      <c r="V60" s="362"/>
      <c r="W60" s="362"/>
      <c r="X60" s="362"/>
      <c r="Y60" s="362"/>
      <c r="AA60" s="438"/>
      <c r="AB60" s="438"/>
      <c r="AC60" s="438"/>
      <c r="AD60" s="438"/>
      <c r="AE60" s="438"/>
      <c r="AF60" s="438"/>
      <c r="AG60" s="438"/>
      <c r="AH60" s="438"/>
      <c r="AI60" s="362"/>
      <c r="AJ60" s="362"/>
      <c r="AK60" s="362"/>
      <c r="AL60" s="362"/>
      <c r="AM60" s="362"/>
      <c r="AN60" s="362"/>
      <c r="AO60" s="362"/>
    </row>
    <row r="61" spans="1:41" ht="14.25" customHeight="1">
      <c r="A61" s="91"/>
      <c r="B61" s="167"/>
      <c r="C61" s="166"/>
      <c r="D61" s="166"/>
      <c r="E61" s="166"/>
      <c r="F61" s="166"/>
      <c r="G61" s="166"/>
      <c r="H61" s="166"/>
      <c r="I61" s="166"/>
      <c r="J61" s="166"/>
      <c r="K61" s="90"/>
      <c r="L61" s="90"/>
      <c r="M61" s="90"/>
      <c r="N61" s="90"/>
      <c r="O61" s="90"/>
      <c r="P61" s="90"/>
      <c r="Q61" s="90"/>
      <c r="R61" s="90"/>
      <c r="S61" s="90"/>
      <c r="T61" s="90"/>
      <c r="U61" s="90"/>
      <c r="V61" s="90"/>
      <c r="W61" s="90"/>
      <c r="X61" s="90"/>
      <c r="Y61" s="90"/>
      <c r="AA61" s="436"/>
      <c r="AB61" s="436"/>
      <c r="AC61" s="436"/>
      <c r="AD61" s="436"/>
      <c r="AE61" s="436"/>
      <c r="AF61" s="436"/>
      <c r="AG61" s="436"/>
      <c r="AH61" s="436"/>
      <c r="AI61" s="90"/>
      <c r="AJ61" s="90"/>
      <c r="AK61" s="90"/>
      <c r="AL61" s="90"/>
      <c r="AM61" s="90"/>
      <c r="AN61" s="90"/>
      <c r="AO61" s="90"/>
    </row>
    <row r="62" spans="1:41" ht="14.25" customHeight="1">
      <c r="A62" s="91"/>
      <c r="B62" s="167"/>
      <c r="C62" s="166"/>
      <c r="D62" s="166"/>
      <c r="E62" s="166"/>
      <c r="F62" s="166"/>
      <c r="G62" s="166"/>
      <c r="H62" s="166"/>
      <c r="I62" s="166"/>
      <c r="J62" s="166"/>
      <c r="K62" s="90"/>
      <c r="L62" s="90"/>
      <c r="M62" s="90"/>
      <c r="N62" s="90"/>
      <c r="O62" s="90"/>
      <c r="P62" s="90"/>
      <c r="Q62" s="90"/>
      <c r="R62" s="90"/>
      <c r="S62" s="90"/>
      <c r="T62" s="90"/>
      <c r="U62" s="90"/>
      <c r="V62" s="90"/>
      <c r="W62" s="90"/>
      <c r="X62" s="90"/>
      <c r="Y62" s="90"/>
      <c r="AA62" s="436"/>
      <c r="AB62" s="436"/>
      <c r="AC62" s="436"/>
      <c r="AD62" s="436"/>
      <c r="AE62" s="436"/>
      <c r="AF62" s="436"/>
      <c r="AG62" s="436"/>
      <c r="AH62" s="436"/>
      <c r="AI62" s="90"/>
      <c r="AJ62" s="90"/>
      <c r="AK62" s="90"/>
      <c r="AL62" s="90"/>
      <c r="AM62" s="90"/>
      <c r="AN62" s="90"/>
      <c r="AO62" s="90"/>
    </row>
    <row r="63" spans="1:41" ht="14.25" customHeight="1">
      <c r="A63" s="91"/>
      <c r="B63" s="167"/>
      <c r="C63" s="166"/>
      <c r="D63" s="166"/>
      <c r="E63" s="166"/>
      <c r="F63" s="166"/>
      <c r="G63" s="166"/>
      <c r="H63" s="166"/>
      <c r="I63" s="166"/>
      <c r="J63" s="166"/>
      <c r="K63" s="90"/>
      <c r="L63" s="90"/>
      <c r="M63" s="90"/>
      <c r="N63" s="90"/>
      <c r="O63" s="90"/>
      <c r="P63" s="90"/>
      <c r="Q63" s="90"/>
      <c r="R63" s="90"/>
      <c r="S63" s="90"/>
      <c r="T63" s="90"/>
      <c r="U63" s="90"/>
      <c r="V63" s="90"/>
      <c r="W63" s="90"/>
      <c r="X63" s="90"/>
      <c r="Y63" s="90"/>
      <c r="AA63" s="436"/>
      <c r="AB63" s="436"/>
      <c r="AC63" s="436"/>
      <c r="AD63" s="436"/>
      <c r="AE63" s="436"/>
      <c r="AF63" s="436"/>
      <c r="AG63" s="436"/>
      <c r="AH63" s="436"/>
      <c r="AI63" s="90"/>
      <c r="AJ63" s="90"/>
      <c r="AK63" s="90"/>
      <c r="AL63" s="90"/>
      <c r="AM63" s="90"/>
      <c r="AN63" s="90"/>
      <c r="AO63" s="90"/>
    </row>
    <row r="64" spans="1:41" ht="14.25" customHeight="1">
      <c r="A64" s="91"/>
      <c r="B64" s="167"/>
      <c r="C64" s="166"/>
      <c r="D64" s="166"/>
      <c r="E64" s="166"/>
      <c r="F64" s="166"/>
      <c r="G64" s="166"/>
      <c r="H64" s="166"/>
      <c r="I64" s="166"/>
      <c r="J64" s="166"/>
      <c r="K64" s="90"/>
      <c r="L64" s="90"/>
      <c r="M64" s="90"/>
      <c r="N64" s="90"/>
      <c r="O64" s="90"/>
      <c r="P64" s="90"/>
      <c r="Q64" s="90"/>
      <c r="R64" s="90"/>
      <c r="S64" s="90"/>
      <c r="T64" s="90"/>
      <c r="U64" s="90"/>
      <c r="V64" s="90"/>
      <c r="W64" s="90"/>
      <c r="X64" s="90"/>
      <c r="Y64" s="90"/>
      <c r="AA64" s="436"/>
      <c r="AB64" s="436"/>
      <c r="AC64" s="436"/>
      <c r="AD64" s="436"/>
      <c r="AE64" s="436"/>
      <c r="AF64" s="436"/>
      <c r="AG64" s="436"/>
      <c r="AH64" s="436"/>
      <c r="AI64" s="90"/>
      <c r="AJ64" s="90"/>
      <c r="AK64" s="90"/>
      <c r="AL64" s="90"/>
      <c r="AM64" s="90"/>
      <c r="AN64" s="90"/>
      <c r="AO64" s="90"/>
    </row>
    <row r="65" spans="1:41" ht="14.25" customHeight="1">
      <c r="A65" s="91"/>
      <c r="B65" s="167"/>
      <c r="C65" s="166"/>
      <c r="D65" s="166"/>
      <c r="E65" s="166"/>
      <c r="F65" s="166"/>
      <c r="G65" s="166"/>
      <c r="H65" s="166"/>
      <c r="I65" s="166"/>
      <c r="J65" s="166"/>
      <c r="K65" s="90"/>
      <c r="L65" s="90"/>
      <c r="M65" s="90"/>
      <c r="N65" s="90"/>
      <c r="O65" s="90"/>
      <c r="P65" s="90"/>
      <c r="Q65" s="90"/>
      <c r="R65" s="90"/>
      <c r="S65" s="90"/>
      <c r="T65" s="90"/>
      <c r="U65" s="90"/>
      <c r="V65" s="90"/>
      <c r="W65" s="90"/>
      <c r="X65" s="90"/>
      <c r="Y65" s="90"/>
      <c r="AA65" s="436"/>
      <c r="AB65" s="436"/>
      <c r="AC65" s="436"/>
      <c r="AD65" s="436"/>
      <c r="AE65" s="436"/>
      <c r="AF65" s="436"/>
      <c r="AG65" s="436"/>
      <c r="AH65" s="436"/>
      <c r="AI65" s="90"/>
      <c r="AJ65" s="90"/>
      <c r="AK65" s="90"/>
      <c r="AL65" s="90"/>
      <c r="AM65" s="90"/>
      <c r="AN65" s="90"/>
      <c r="AO65" s="90"/>
    </row>
    <row r="66" spans="1:41" ht="14.25" customHeight="1">
      <c r="A66" s="91"/>
      <c r="B66" s="167"/>
      <c r="C66" s="166"/>
      <c r="D66" s="166"/>
      <c r="E66" s="166"/>
      <c r="F66" s="166"/>
      <c r="G66" s="166"/>
      <c r="H66" s="166"/>
      <c r="I66" s="166"/>
      <c r="J66" s="166"/>
      <c r="K66" s="90"/>
      <c r="L66" s="90"/>
      <c r="M66" s="90"/>
      <c r="N66" s="90"/>
      <c r="O66" s="90"/>
      <c r="P66" s="90"/>
      <c r="Q66" s="90"/>
      <c r="R66" s="90"/>
      <c r="S66" s="90"/>
      <c r="T66" s="90"/>
      <c r="U66" s="90"/>
      <c r="V66" s="90"/>
      <c r="W66" s="90"/>
      <c r="X66" s="90"/>
      <c r="Y66" s="90"/>
      <c r="AA66" s="436"/>
      <c r="AB66" s="436"/>
      <c r="AC66" s="436"/>
      <c r="AD66" s="436"/>
      <c r="AE66" s="436"/>
      <c r="AF66" s="436"/>
      <c r="AG66" s="436"/>
      <c r="AH66" s="436"/>
      <c r="AI66" s="90"/>
      <c r="AJ66" s="90"/>
      <c r="AK66" s="90"/>
      <c r="AL66" s="90"/>
      <c r="AM66" s="90"/>
      <c r="AN66" s="90"/>
      <c r="AO66" s="90"/>
    </row>
    <row r="67" spans="1:41" ht="14.25" customHeight="1">
      <c r="A67" s="91"/>
      <c r="B67" s="167"/>
      <c r="C67" s="166"/>
      <c r="D67" s="166"/>
      <c r="E67" s="166"/>
      <c r="F67" s="166"/>
      <c r="G67" s="166"/>
      <c r="H67" s="166"/>
      <c r="I67" s="166"/>
      <c r="J67" s="166"/>
      <c r="K67" s="90"/>
      <c r="L67" s="90"/>
      <c r="M67" s="90"/>
      <c r="N67" s="90"/>
      <c r="O67" s="90"/>
      <c r="P67" s="90"/>
      <c r="Q67" s="90"/>
      <c r="R67" s="90"/>
      <c r="S67" s="90"/>
      <c r="T67" s="90"/>
      <c r="U67" s="90"/>
      <c r="V67" s="90"/>
      <c r="W67" s="90"/>
      <c r="X67" s="90"/>
      <c r="Y67" s="90"/>
      <c r="AA67" s="436"/>
      <c r="AB67" s="436"/>
      <c r="AC67" s="436"/>
      <c r="AD67" s="436"/>
      <c r="AE67" s="436"/>
      <c r="AF67" s="436"/>
      <c r="AG67" s="436"/>
      <c r="AH67" s="436"/>
      <c r="AI67" s="90"/>
      <c r="AJ67" s="90"/>
      <c r="AK67" s="90"/>
      <c r="AL67" s="90"/>
      <c r="AM67" s="90"/>
      <c r="AN67" s="90"/>
      <c r="AO67" s="90"/>
    </row>
    <row r="68" spans="1:41" ht="14.25" customHeight="1">
      <c r="A68" s="91"/>
      <c r="B68" s="167"/>
      <c r="C68" s="166"/>
      <c r="D68" s="166"/>
      <c r="E68" s="166"/>
      <c r="F68" s="166"/>
      <c r="G68" s="166"/>
      <c r="H68" s="166"/>
      <c r="I68" s="166"/>
      <c r="J68" s="166"/>
      <c r="K68" s="90"/>
      <c r="L68" s="90"/>
      <c r="M68" s="90"/>
      <c r="N68" s="90"/>
      <c r="O68" s="90"/>
      <c r="P68" s="90"/>
      <c r="Q68" s="90"/>
      <c r="R68" s="90"/>
      <c r="S68" s="90"/>
      <c r="T68" s="90"/>
      <c r="U68" s="90"/>
      <c r="V68" s="90"/>
      <c r="W68" s="90"/>
      <c r="X68" s="90"/>
      <c r="Y68" s="90"/>
      <c r="AA68" s="436"/>
      <c r="AB68" s="436"/>
      <c r="AC68" s="436"/>
      <c r="AD68" s="436"/>
      <c r="AE68" s="436"/>
      <c r="AF68" s="436"/>
      <c r="AG68" s="436"/>
      <c r="AH68" s="436"/>
      <c r="AI68" s="90"/>
      <c r="AJ68" s="90"/>
      <c r="AK68" s="90"/>
      <c r="AL68" s="90"/>
      <c r="AM68" s="90"/>
      <c r="AN68" s="90"/>
      <c r="AO68" s="90"/>
    </row>
    <row r="69" spans="1:41" ht="14.25" customHeight="1">
      <c r="A69" s="91"/>
      <c r="B69" s="167"/>
      <c r="C69" s="166"/>
      <c r="D69" s="166"/>
      <c r="E69" s="166"/>
      <c r="F69" s="166"/>
      <c r="G69" s="166"/>
      <c r="H69" s="166"/>
      <c r="I69" s="166"/>
      <c r="J69" s="166"/>
      <c r="K69" s="90"/>
      <c r="L69" s="90"/>
      <c r="M69" s="90"/>
      <c r="N69" s="90"/>
      <c r="O69" s="90"/>
      <c r="P69" s="90"/>
      <c r="Q69" s="90"/>
      <c r="R69" s="90"/>
      <c r="S69" s="90"/>
      <c r="T69" s="90"/>
      <c r="U69" s="90"/>
      <c r="V69" s="90"/>
      <c r="W69" s="90"/>
      <c r="X69" s="90"/>
      <c r="Y69" s="90"/>
      <c r="AA69" s="436"/>
      <c r="AB69" s="436"/>
      <c r="AC69" s="436"/>
      <c r="AD69" s="436"/>
      <c r="AE69" s="436"/>
      <c r="AF69" s="436"/>
      <c r="AG69" s="436"/>
      <c r="AH69" s="436"/>
      <c r="AI69" s="90"/>
      <c r="AJ69" s="90"/>
      <c r="AK69" s="90"/>
      <c r="AL69" s="90"/>
      <c r="AM69" s="90"/>
      <c r="AN69" s="90"/>
      <c r="AO69" s="90"/>
    </row>
    <row r="70" spans="1:41" ht="14.25" customHeight="1">
      <c r="A70" s="91"/>
      <c r="B70" s="167"/>
      <c r="C70" s="166"/>
      <c r="D70" s="166"/>
      <c r="E70" s="166"/>
      <c r="F70" s="166"/>
      <c r="G70" s="166"/>
      <c r="H70" s="166"/>
      <c r="I70" s="166"/>
      <c r="J70" s="166"/>
      <c r="K70" s="90"/>
      <c r="L70" s="90"/>
      <c r="M70" s="90"/>
      <c r="N70" s="90"/>
      <c r="O70" s="90"/>
      <c r="P70" s="90"/>
      <c r="Q70" s="90"/>
      <c r="R70" s="90"/>
      <c r="S70" s="90"/>
      <c r="T70" s="90"/>
      <c r="U70" s="90"/>
      <c r="V70" s="90"/>
      <c r="W70" s="90"/>
      <c r="X70" s="90"/>
      <c r="Y70" s="90"/>
      <c r="AA70" s="436"/>
      <c r="AB70" s="436"/>
      <c r="AC70" s="436"/>
      <c r="AD70" s="436"/>
      <c r="AE70" s="436"/>
      <c r="AF70" s="436"/>
      <c r="AG70" s="436"/>
      <c r="AH70" s="436"/>
      <c r="AI70" s="90"/>
      <c r="AJ70" s="90"/>
      <c r="AK70" s="90"/>
      <c r="AL70" s="90"/>
      <c r="AM70" s="90"/>
      <c r="AN70" s="90"/>
      <c r="AO70" s="90"/>
    </row>
    <row r="71" spans="1:41" ht="14.25" customHeight="1">
      <c r="A71" s="91"/>
      <c r="B71" s="167"/>
      <c r="C71" s="166"/>
      <c r="D71" s="166"/>
      <c r="E71" s="166"/>
      <c r="F71" s="166"/>
      <c r="G71" s="166"/>
      <c r="H71" s="166"/>
      <c r="I71" s="166"/>
      <c r="J71" s="166"/>
      <c r="K71" s="90"/>
      <c r="L71" s="90"/>
      <c r="M71" s="90"/>
      <c r="N71" s="90"/>
      <c r="O71" s="90"/>
      <c r="P71" s="90"/>
      <c r="Q71" s="90"/>
      <c r="R71" s="90"/>
      <c r="S71" s="90"/>
      <c r="T71" s="90"/>
      <c r="U71" s="90"/>
      <c r="V71" s="90"/>
      <c r="W71" s="90"/>
      <c r="X71" s="90"/>
      <c r="Y71" s="90"/>
      <c r="AA71" s="436"/>
      <c r="AB71" s="436"/>
      <c r="AC71" s="436"/>
      <c r="AD71" s="436"/>
      <c r="AE71" s="436"/>
      <c r="AF71" s="436"/>
      <c r="AG71" s="436"/>
      <c r="AH71" s="436"/>
      <c r="AI71" s="90"/>
      <c r="AJ71" s="90"/>
      <c r="AK71" s="90"/>
      <c r="AL71" s="90"/>
      <c r="AM71" s="90"/>
      <c r="AN71" s="90"/>
      <c r="AO71" s="90"/>
    </row>
    <row r="72" spans="1:41" ht="14.25" customHeight="1">
      <c r="A72" s="91"/>
      <c r="B72" s="167"/>
      <c r="C72" s="166"/>
      <c r="D72" s="166"/>
      <c r="E72" s="166"/>
      <c r="F72" s="166"/>
      <c r="G72" s="166"/>
      <c r="H72" s="166"/>
      <c r="I72" s="166"/>
      <c r="J72" s="166"/>
      <c r="K72" s="90"/>
      <c r="L72" s="90"/>
      <c r="M72" s="90"/>
      <c r="N72" s="90"/>
      <c r="O72" s="90"/>
      <c r="P72" s="90"/>
      <c r="Q72" s="90"/>
      <c r="R72" s="90"/>
      <c r="S72" s="90"/>
      <c r="T72" s="90"/>
      <c r="U72" s="90"/>
      <c r="V72" s="90"/>
      <c r="W72" s="90"/>
      <c r="X72" s="90"/>
      <c r="Y72" s="90"/>
      <c r="AA72" s="436"/>
      <c r="AB72" s="436"/>
      <c r="AC72" s="436"/>
      <c r="AD72" s="436"/>
      <c r="AE72" s="436"/>
      <c r="AF72" s="436"/>
      <c r="AG72" s="436"/>
      <c r="AH72" s="436"/>
      <c r="AI72" s="90"/>
      <c r="AJ72" s="90"/>
      <c r="AK72" s="90"/>
      <c r="AL72" s="90"/>
      <c r="AM72" s="90"/>
      <c r="AN72" s="90"/>
      <c r="AO72" s="90"/>
    </row>
    <row r="73" spans="1:41" ht="14.25" customHeight="1">
      <c r="A73" s="91"/>
      <c r="B73" s="167"/>
      <c r="C73" s="166"/>
      <c r="D73" s="166"/>
      <c r="E73" s="166"/>
      <c r="F73" s="166"/>
      <c r="G73" s="166"/>
      <c r="H73" s="166"/>
      <c r="I73" s="166"/>
      <c r="J73" s="166"/>
      <c r="K73" s="90"/>
      <c r="L73" s="90"/>
      <c r="M73" s="90"/>
      <c r="N73" s="90"/>
      <c r="O73" s="90"/>
      <c r="P73" s="90"/>
      <c r="Q73" s="90"/>
      <c r="R73" s="90"/>
      <c r="S73" s="90"/>
      <c r="T73" s="90"/>
      <c r="U73" s="90"/>
      <c r="V73" s="90"/>
      <c r="W73" s="90"/>
      <c r="X73" s="90"/>
      <c r="Y73" s="90"/>
      <c r="AA73" s="436"/>
      <c r="AB73" s="436"/>
      <c r="AC73" s="436"/>
      <c r="AD73" s="436"/>
      <c r="AE73" s="436"/>
      <c r="AF73" s="436"/>
      <c r="AG73" s="436"/>
      <c r="AH73" s="436"/>
      <c r="AI73" s="90"/>
      <c r="AJ73" s="90"/>
      <c r="AK73" s="90"/>
      <c r="AL73" s="90"/>
      <c r="AM73" s="90"/>
      <c r="AN73" s="90"/>
      <c r="AO73" s="90"/>
    </row>
    <row r="74" spans="1:41" ht="14.25" customHeight="1">
      <c r="A74" s="91"/>
      <c r="B74" s="167"/>
      <c r="C74" s="166"/>
      <c r="D74" s="166"/>
      <c r="E74" s="166"/>
      <c r="F74" s="166"/>
      <c r="G74" s="166"/>
      <c r="H74" s="166"/>
      <c r="I74" s="166"/>
      <c r="J74" s="166"/>
      <c r="K74" s="90"/>
      <c r="L74" s="90"/>
      <c r="M74" s="90"/>
      <c r="N74" s="90"/>
      <c r="O74" s="90"/>
      <c r="P74" s="90"/>
      <c r="Q74" s="90"/>
      <c r="R74" s="90"/>
      <c r="S74" s="90"/>
      <c r="T74" s="90"/>
      <c r="U74" s="90"/>
      <c r="V74" s="90"/>
      <c r="W74" s="90"/>
      <c r="X74" s="90"/>
      <c r="Y74" s="90"/>
      <c r="AA74" s="436"/>
      <c r="AB74" s="436"/>
      <c r="AC74" s="436"/>
      <c r="AD74" s="436"/>
      <c r="AE74" s="436"/>
      <c r="AF74" s="436"/>
      <c r="AG74" s="436"/>
      <c r="AH74" s="436"/>
      <c r="AI74" s="90"/>
      <c r="AJ74" s="90"/>
      <c r="AK74" s="90"/>
      <c r="AL74" s="90"/>
      <c r="AM74" s="90"/>
      <c r="AN74" s="90"/>
      <c r="AO74" s="90"/>
    </row>
    <row r="75" spans="1:41" ht="14.25" customHeight="1">
      <c r="A75" s="91"/>
      <c r="B75" s="167"/>
      <c r="C75" s="166"/>
      <c r="D75" s="166"/>
      <c r="E75" s="166"/>
      <c r="F75" s="166"/>
      <c r="G75" s="166"/>
      <c r="H75" s="166"/>
      <c r="I75" s="166"/>
      <c r="J75" s="166"/>
      <c r="K75" s="90"/>
      <c r="L75" s="90"/>
      <c r="M75" s="90"/>
      <c r="N75" s="90"/>
      <c r="O75" s="90"/>
      <c r="P75" s="90"/>
      <c r="Q75" s="90"/>
      <c r="R75" s="90"/>
      <c r="S75" s="90"/>
      <c r="T75" s="90"/>
      <c r="U75" s="90"/>
      <c r="V75" s="90"/>
      <c r="W75" s="90"/>
      <c r="X75" s="90"/>
      <c r="Y75" s="90"/>
      <c r="AA75" s="436"/>
      <c r="AB75" s="436"/>
      <c r="AC75" s="436"/>
      <c r="AD75" s="436"/>
      <c r="AE75" s="436"/>
      <c r="AF75" s="436"/>
      <c r="AG75" s="436"/>
      <c r="AH75" s="436"/>
      <c r="AI75" s="90"/>
      <c r="AJ75" s="90"/>
      <c r="AK75" s="90"/>
      <c r="AL75" s="90"/>
      <c r="AM75" s="90"/>
      <c r="AN75" s="90"/>
      <c r="AO75" s="90"/>
    </row>
    <row r="76" spans="1:41" ht="14.25" customHeight="1">
      <c r="A76" s="91"/>
      <c r="B76" s="167"/>
      <c r="C76" s="166"/>
      <c r="D76" s="166"/>
      <c r="E76" s="166"/>
      <c r="F76" s="166"/>
      <c r="G76" s="166"/>
      <c r="H76" s="166"/>
      <c r="I76" s="166"/>
      <c r="J76" s="166"/>
      <c r="K76" s="90"/>
      <c r="L76" s="90"/>
      <c r="M76" s="90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0"/>
      <c r="Y76" s="90"/>
      <c r="AA76" s="436"/>
      <c r="AB76" s="436"/>
      <c r="AC76" s="436"/>
      <c r="AD76" s="436"/>
      <c r="AE76" s="436"/>
      <c r="AF76" s="436"/>
      <c r="AG76" s="436"/>
      <c r="AH76" s="436"/>
      <c r="AI76" s="90"/>
      <c r="AJ76" s="90"/>
      <c r="AK76" s="90"/>
      <c r="AL76" s="90"/>
      <c r="AM76" s="90"/>
      <c r="AN76" s="90"/>
      <c r="AO76" s="90"/>
    </row>
    <row r="77" spans="1:41" ht="14.25" customHeight="1">
      <c r="A77" s="91"/>
      <c r="B77" s="167"/>
      <c r="C77" s="166"/>
      <c r="D77" s="166"/>
      <c r="E77" s="166"/>
      <c r="F77" s="166"/>
      <c r="G77" s="166"/>
      <c r="H77" s="166"/>
      <c r="I77" s="166"/>
      <c r="J77" s="166"/>
      <c r="K77" s="90"/>
      <c r="L77" s="90"/>
      <c r="M77" s="90"/>
      <c r="N77" s="90"/>
      <c r="O77" s="90"/>
      <c r="P77" s="90"/>
      <c r="Q77" s="90"/>
      <c r="R77" s="90"/>
      <c r="S77" s="90"/>
      <c r="T77" s="90"/>
      <c r="U77" s="90"/>
      <c r="V77" s="90"/>
      <c r="W77" s="90"/>
      <c r="X77" s="90"/>
      <c r="Y77" s="90"/>
      <c r="AA77" s="436"/>
      <c r="AB77" s="436"/>
      <c r="AC77" s="436"/>
      <c r="AD77" s="436"/>
      <c r="AE77" s="436"/>
      <c r="AF77" s="436"/>
      <c r="AG77" s="436"/>
      <c r="AH77" s="436"/>
      <c r="AI77" s="90"/>
      <c r="AJ77" s="90"/>
      <c r="AK77" s="90"/>
      <c r="AL77" s="90"/>
      <c r="AM77" s="90"/>
      <c r="AN77" s="90"/>
      <c r="AO77" s="90"/>
    </row>
    <row r="78" spans="1:41" ht="14.25" customHeight="1">
      <c r="A78" s="91"/>
      <c r="B78" s="167"/>
      <c r="C78" s="166"/>
      <c r="D78" s="166"/>
      <c r="E78" s="166"/>
      <c r="F78" s="166"/>
      <c r="G78" s="166"/>
      <c r="H78" s="166"/>
      <c r="I78" s="166"/>
      <c r="J78" s="166"/>
      <c r="K78" s="90"/>
      <c r="L78" s="90"/>
      <c r="M78" s="90"/>
      <c r="N78" s="90"/>
      <c r="O78" s="90"/>
      <c r="P78" s="90"/>
      <c r="Q78" s="90"/>
      <c r="R78" s="90"/>
      <c r="S78" s="90"/>
      <c r="T78" s="90"/>
      <c r="U78" s="90"/>
      <c r="V78" s="90"/>
      <c r="W78" s="90"/>
      <c r="X78" s="90"/>
      <c r="Y78" s="90"/>
      <c r="AA78" s="436"/>
      <c r="AB78" s="436"/>
      <c r="AC78" s="436"/>
      <c r="AD78" s="436"/>
      <c r="AE78" s="436"/>
      <c r="AF78" s="436"/>
      <c r="AG78" s="436"/>
      <c r="AH78" s="436"/>
      <c r="AI78" s="90"/>
      <c r="AJ78" s="90"/>
      <c r="AK78" s="90"/>
      <c r="AL78" s="90"/>
      <c r="AM78" s="90"/>
      <c r="AN78" s="90"/>
      <c r="AO78" s="90"/>
    </row>
    <row r="79" spans="1:41" ht="14.25" customHeight="1">
      <c r="A79" s="91"/>
      <c r="B79" s="167"/>
      <c r="C79" s="166"/>
      <c r="D79" s="166"/>
      <c r="E79" s="166"/>
      <c r="F79" s="166"/>
      <c r="G79" s="166"/>
      <c r="H79" s="166"/>
      <c r="I79" s="166"/>
      <c r="J79" s="166"/>
      <c r="K79" s="90"/>
      <c r="L79" s="90"/>
      <c r="M79" s="90"/>
      <c r="N79" s="90"/>
      <c r="O79" s="90"/>
      <c r="P79" s="90"/>
      <c r="Q79" s="90"/>
      <c r="R79" s="90"/>
      <c r="S79" s="90"/>
      <c r="T79" s="90"/>
      <c r="U79" s="90"/>
      <c r="V79" s="90"/>
      <c r="W79" s="90"/>
      <c r="X79" s="90"/>
      <c r="Y79" s="90"/>
      <c r="AA79" s="436"/>
      <c r="AB79" s="436"/>
      <c r="AC79" s="436"/>
      <c r="AD79" s="436"/>
      <c r="AE79" s="436"/>
      <c r="AF79" s="436"/>
      <c r="AG79" s="436"/>
      <c r="AH79" s="436"/>
      <c r="AI79" s="90"/>
      <c r="AJ79" s="90"/>
      <c r="AK79" s="90"/>
      <c r="AL79" s="90"/>
      <c r="AM79" s="90"/>
      <c r="AN79" s="90"/>
      <c r="AO79" s="90"/>
    </row>
    <row r="80" spans="1:41" ht="14.25" customHeight="1">
      <c r="A80" s="91"/>
      <c r="B80" s="167"/>
      <c r="C80" s="166"/>
      <c r="D80" s="166"/>
      <c r="E80" s="166"/>
      <c r="F80" s="166"/>
      <c r="G80" s="166"/>
      <c r="H80" s="166"/>
      <c r="I80" s="166"/>
      <c r="J80" s="166"/>
      <c r="K80" s="90"/>
      <c r="L80" s="90"/>
      <c r="M80" s="90"/>
      <c r="N80" s="90"/>
      <c r="O80" s="90"/>
      <c r="P80" s="90"/>
      <c r="Q80" s="90"/>
      <c r="R80" s="90"/>
      <c r="S80" s="90"/>
      <c r="T80" s="90"/>
      <c r="U80" s="90"/>
      <c r="V80" s="90"/>
      <c r="W80" s="90"/>
      <c r="X80" s="90"/>
      <c r="Y80" s="90"/>
      <c r="AA80" s="436"/>
      <c r="AB80" s="436"/>
      <c r="AC80" s="436"/>
      <c r="AD80" s="436"/>
      <c r="AE80" s="436"/>
      <c r="AF80" s="436"/>
      <c r="AG80" s="436"/>
      <c r="AH80" s="436"/>
      <c r="AI80" s="90"/>
      <c r="AJ80" s="90"/>
      <c r="AK80" s="90"/>
      <c r="AL80" s="90"/>
      <c r="AM80" s="90"/>
      <c r="AN80" s="90"/>
      <c r="AO80" s="90"/>
    </row>
    <row r="81" spans="1:41" ht="14.25" customHeight="1">
      <c r="A81" s="91"/>
      <c r="B81" s="167"/>
      <c r="C81" s="166"/>
      <c r="D81" s="166"/>
      <c r="E81" s="166"/>
      <c r="F81" s="166"/>
      <c r="G81" s="166"/>
      <c r="H81" s="166"/>
      <c r="I81" s="166"/>
      <c r="J81" s="166"/>
      <c r="K81" s="90"/>
      <c r="L81" s="90"/>
      <c r="M81" s="90"/>
      <c r="N81" s="90"/>
      <c r="O81" s="90"/>
      <c r="P81" s="90"/>
      <c r="Q81" s="90"/>
      <c r="R81" s="90"/>
      <c r="S81" s="90"/>
      <c r="T81" s="90"/>
      <c r="U81" s="90"/>
      <c r="V81" s="90"/>
      <c r="W81" s="90"/>
      <c r="X81" s="90"/>
      <c r="Y81" s="90"/>
      <c r="AA81" s="436"/>
      <c r="AB81" s="436"/>
      <c r="AC81" s="436"/>
      <c r="AD81" s="436"/>
      <c r="AE81" s="436"/>
      <c r="AF81" s="436"/>
      <c r="AG81" s="436"/>
      <c r="AH81" s="436"/>
      <c r="AI81" s="90"/>
      <c r="AJ81" s="90"/>
      <c r="AK81" s="90"/>
      <c r="AL81" s="90"/>
      <c r="AM81" s="90"/>
      <c r="AN81" s="90"/>
      <c r="AO81" s="90"/>
    </row>
    <row r="82" spans="1:41" ht="14.25" customHeight="1">
      <c r="A82" s="91"/>
      <c r="B82" s="167"/>
      <c r="C82" s="166"/>
      <c r="D82" s="166"/>
      <c r="E82" s="166"/>
      <c r="F82" s="166"/>
      <c r="G82" s="166"/>
      <c r="H82" s="166"/>
      <c r="I82" s="166"/>
      <c r="J82" s="166"/>
      <c r="K82" s="90"/>
      <c r="L82" s="90"/>
      <c r="M82" s="90"/>
      <c r="N82" s="90"/>
      <c r="O82" s="90"/>
      <c r="P82" s="90"/>
      <c r="Q82" s="90"/>
      <c r="R82" s="90"/>
      <c r="S82" s="90"/>
      <c r="T82" s="90"/>
      <c r="U82" s="90"/>
      <c r="V82" s="90"/>
      <c r="W82" s="90"/>
      <c r="X82" s="90"/>
      <c r="Y82" s="90"/>
      <c r="AA82" s="436"/>
      <c r="AB82" s="436"/>
      <c r="AC82" s="436"/>
      <c r="AD82" s="436"/>
      <c r="AE82" s="436"/>
      <c r="AF82" s="436"/>
      <c r="AG82" s="436"/>
      <c r="AH82" s="436"/>
      <c r="AI82" s="90"/>
      <c r="AJ82" s="90"/>
      <c r="AK82" s="90"/>
      <c r="AL82" s="90"/>
      <c r="AM82" s="90"/>
      <c r="AN82" s="90"/>
      <c r="AO82" s="90"/>
    </row>
    <row r="83" spans="1:41" ht="14.25" customHeight="1">
      <c r="A83" s="91"/>
      <c r="B83" s="167"/>
      <c r="C83" s="166"/>
      <c r="D83" s="166"/>
      <c r="E83" s="166"/>
      <c r="F83" s="166"/>
      <c r="G83" s="166"/>
      <c r="H83" s="166"/>
      <c r="I83" s="166"/>
      <c r="J83" s="166"/>
      <c r="K83" s="90"/>
      <c r="L83" s="90"/>
      <c r="M83" s="90"/>
      <c r="N83" s="90"/>
      <c r="O83" s="90"/>
      <c r="P83" s="90"/>
      <c r="Q83" s="90"/>
      <c r="R83" s="90"/>
      <c r="S83" s="90"/>
      <c r="T83" s="90"/>
      <c r="U83" s="90"/>
      <c r="V83" s="90"/>
      <c r="W83" s="90"/>
      <c r="X83" s="90"/>
      <c r="Y83" s="90"/>
      <c r="AA83" s="436"/>
      <c r="AB83" s="436"/>
      <c r="AC83" s="436"/>
      <c r="AD83" s="436"/>
      <c r="AE83" s="436"/>
      <c r="AF83" s="436"/>
      <c r="AG83" s="436"/>
      <c r="AH83" s="436"/>
      <c r="AI83" s="90"/>
      <c r="AJ83" s="90"/>
      <c r="AK83" s="90"/>
      <c r="AL83" s="90"/>
      <c r="AM83" s="90"/>
      <c r="AN83" s="90"/>
      <c r="AO83" s="90"/>
    </row>
    <row r="84" spans="1:41" ht="14.25" customHeight="1">
      <c r="A84" s="91"/>
      <c r="B84" s="167"/>
      <c r="C84" s="166"/>
      <c r="D84" s="166"/>
      <c r="E84" s="166"/>
      <c r="F84" s="166"/>
      <c r="G84" s="166"/>
      <c r="H84" s="166"/>
      <c r="I84" s="166"/>
      <c r="J84" s="166"/>
      <c r="K84" s="90"/>
      <c r="L84" s="90"/>
      <c r="M84" s="90"/>
      <c r="N84" s="90"/>
      <c r="O84" s="90"/>
      <c r="P84" s="90"/>
      <c r="Q84" s="90"/>
      <c r="R84" s="90"/>
      <c r="S84" s="90"/>
      <c r="T84" s="90"/>
      <c r="U84" s="90"/>
      <c r="V84" s="90"/>
      <c r="W84" s="90"/>
      <c r="X84" s="90"/>
      <c r="Y84" s="90"/>
      <c r="AA84" s="436"/>
      <c r="AB84" s="436"/>
      <c r="AC84" s="436"/>
      <c r="AD84" s="436"/>
      <c r="AE84" s="436"/>
      <c r="AF84" s="436"/>
      <c r="AG84" s="436"/>
      <c r="AH84" s="436"/>
      <c r="AI84" s="90"/>
      <c r="AJ84" s="90"/>
      <c r="AK84" s="90"/>
      <c r="AL84" s="90"/>
      <c r="AM84" s="90"/>
      <c r="AN84" s="90"/>
      <c r="AO84" s="90"/>
    </row>
    <row r="85" spans="1:41" ht="14.25" customHeight="1">
      <c r="A85" s="91"/>
      <c r="B85" s="167"/>
      <c r="C85" s="166"/>
      <c r="D85" s="166"/>
      <c r="E85" s="166"/>
      <c r="F85" s="166"/>
      <c r="G85" s="166"/>
      <c r="H85" s="166"/>
      <c r="I85" s="166"/>
      <c r="J85" s="166"/>
      <c r="K85" s="90"/>
      <c r="L85" s="90"/>
      <c r="M85" s="90"/>
      <c r="N85" s="90"/>
      <c r="O85" s="90"/>
      <c r="P85" s="90"/>
      <c r="Q85" s="90"/>
      <c r="R85" s="90"/>
      <c r="S85" s="90"/>
      <c r="T85" s="90"/>
      <c r="U85" s="90"/>
      <c r="V85" s="90"/>
      <c r="W85" s="90"/>
      <c r="X85" s="90"/>
      <c r="Y85" s="90"/>
      <c r="AA85" s="436"/>
      <c r="AB85" s="436"/>
      <c r="AC85" s="436"/>
      <c r="AD85" s="436"/>
      <c r="AE85" s="436"/>
      <c r="AF85" s="436"/>
      <c r="AG85" s="436"/>
      <c r="AH85" s="436"/>
      <c r="AI85" s="90"/>
      <c r="AJ85" s="90"/>
      <c r="AK85" s="90"/>
      <c r="AL85" s="90"/>
      <c r="AM85" s="90"/>
      <c r="AN85" s="90"/>
      <c r="AO85" s="90"/>
    </row>
    <row r="86" spans="1:41" ht="14.25" customHeight="1" thickBot="1">
      <c r="A86" s="205"/>
      <c r="B86" s="349"/>
      <c r="C86" s="355"/>
      <c r="D86" s="355"/>
      <c r="E86" s="355"/>
      <c r="F86" s="355"/>
      <c r="G86" s="355"/>
      <c r="H86" s="355"/>
      <c r="I86" s="355"/>
      <c r="J86" s="355"/>
      <c r="K86" s="355"/>
      <c r="L86" s="355"/>
      <c r="M86" s="355"/>
      <c r="N86" s="355"/>
      <c r="O86" s="355"/>
      <c r="P86" s="355"/>
      <c r="Q86" s="355"/>
      <c r="R86" s="355"/>
      <c r="S86" s="355"/>
      <c r="T86" s="355"/>
      <c r="U86" s="355"/>
      <c r="V86" s="355"/>
      <c r="W86" s="355"/>
      <c r="X86" s="355"/>
      <c r="Y86" s="355"/>
      <c r="Z86" s="397"/>
      <c r="AA86" s="439"/>
      <c r="AB86" s="439"/>
      <c r="AC86" s="439"/>
      <c r="AD86" s="439"/>
      <c r="AE86" s="439"/>
      <c r="AF86" s="439"/>
      <c r="AG86" s="439"/>
      <c r="AH86" s="439"/>
      <c r="AI86" s="355"/>
      <c r="AJ86" s="355"/>
      <c r="AK86" s="355"/>
      <c r="AL86" s="355"/>
      <c r="AM86" s="355"/>
      <c r="AN86" s="355"/>
      <c r="AO86" s="355"/>
    </row>
    <row r="87" spans="1:41" ht="14.25" customHeight="1">
      <c r="A87" s="238"/>
      <c r="B87" s="394"/>
      <c r="C87" s="395"/>
      <c r="D87" s="395"/>
      <c r="E87" s="395"/>
      <c r="F87" s="395"/>
      <c r="G87" s="395"/>
      <c r="H87" s="395"/>
      <c r="I87" s="395"/>
      <c r="J87" s="395"/>
      <c r="K87" s="214"/>
      <c r="L87" s="214"/>
      <c r="M87" s="214"/>
      <c r="N87" s="214"/>
      <c r="O87" s="214"/>
      <c r="P87" s="214"/>
      <c r="Q87" s="214"/>
      <c r="R87" s="214"/>
      <c r="S87" s="214"/>
      <c r="T87" s="214"/>
      <c r="U87" s="214"/>
      <c r="V87" s="214"/>
      <c r="W87" s="214"/>
      <c r="X87" s="214"/>
      <c r="Y87" s="214"/>
      <c r="Z87"/>
      <c r="AA87" s="396"/>
      <c r="AB87" s="396"/>
      <c r="AC87" s="396"/>
      <c r="AD87" s="396"/>
      <c r="AE87" s="396"/>
      <c r="AF87" s="396"/>
      <c r="AG87" s="396"/>
      <c r="AH87" s="396"/>
      <c r="AI87" s="214"/>
      <c r="AJ87" s="214"/>
      <c r="AK87" s="214"/>
      <c r="AL87" s="214"/>
      <c r="AM87" s="214"/>
      <c r="AN87" s="214"/>
      <c r="AO87" s="214"/>
    </row>
    <row r="88" spans="1:41" ht="14.25" customHeight="1">
      <c r="A88" s="100"/>
      <c r="B88" s="388"/>
      <c r="C88" s="389"/>
      <c r="D88" s="389"/>
      <c r="E88" s="389"/>
      <c r="F88" s="389"/>
      <c r="G88" s="389"/>
      <c r="H88" s="389"/>
      <c r="I88" s="389"/>
      <c r="J88" s="389"/>
      <c r="K88" s="99"/>
      <c r="L88" s="99"/>
      <c r="M88" s="99"/>
      <c r="N88" s="99"/>
      <c r="O88" s="99"/>
      <c r="P88" s="99"/>
      <c r="Q88" s="214"/>
      <c r="R88" s="214"/>
      <c r="S88" s="214"/>
      <c r="T88" s="214"/>
      <c r="U88" s="99"/>
      <c r="V88" s="99"/>
      <c r="W88" s="99"/>
      <c r="X88" s="99"/>
      <c r="Y88" s="99"/>
      <c r="Z88"/>
      <c r="AA88" s="390"/>
      <c r="AB88" s="390"/>
      <c r="AC88" s="390"/>
      <c r="AD88" s="390"/>
      <c r="AE88" s="390"/>
      <c r="AF88" s="390"/>
      <c r="AG88" s="390"/>
      <c r="AH88" s="390"/>
      <c r="AI88" s="99"/>
      <c r="AJ88" s="99"/>
      <c r="AK88" s="99"/>
      <c r="AL88" s="99"/>
      <c r="AM88" s="99"/>
      <c r="AN88" s="99"/>
      <c r="AO88" s="99"/>
    </row>
    <row r="89" spans="1:41" ht="14.25" customHeight="1">
      <c r="A89" s="100"/>
      <c r="B89" s="388"/>
      <c r="C89" s="389"/>
      <c r="D89" s="389"/>
      <c r="E89" s="389"/>
      <c r="F89" s="389"/>
      <c r="G89" s="389"/>
      <c r="H89" s="389"/>
      <c r="I89" s="389"/>
      <c r="J89" s="389"/>
      <c r="K89" s="99"/>
      <c r="L89" s="99"/>
      <c r="M89" s="99"/>
      <c r="N89" s="99"/>
      <c r="O89" s="99"/>
      <c r="P89" s="99"/>
      <c r="Q89" s="214"/>
      <c r="R89" s="214"/>
      <c r="S89" s="214"/>
      <c r="T89" s="214"/>
      <c r="U89" s="99"/>
      <c r="V89" s="99"/>
      <c r="W89" s="99"/>
      <c r="X89" s="99"/>
      <c r="Y89" s="99"/>
      <c r="Z89"/>
      <c r="AA89" s="390"/>
      <c r="AB89" s="390"/>
      <c r="AC89" s="390"/>
      <c r="AD89" s="390"/>
      <c r="AE89" s="390"/>
      <c r="AF89" s="390"/>
      <c r="AG89" s="390"/>
      <c r="AH89" s="390"/>
      <c r="AI89" s="99"/>
      <c r="AJ89" s="99"/>
      <c r="AK89" s="99"/>
      <c r="AL89" s="99"/>
      <c r="AM89" s="99"/>
      <c r="AN89" s="99"/>
      <c r="AO89" s="99"/>
    </row>
    <row r="90" spans="1:41" ht="14.25" customHeight="1">
      <c r="A90" s="100"/>
      <c r="B90" s="388"/>
      <c r="C90" s="389"/>
      <c r="D90" s="389"/>
      <c r="E90" s="389"/>
      <c r="F90" s="389"/>
      <c r="G90" s="389"/>
      <c r="H90" s="389"/>
      <c r="I90" s="389"/>
      <c r="J90" s="389"/>
      <c r="K90" s="99"/>
      <c r="L90" s="99"/>
      <c r="M90" s="99"/>
      <c r="N90" s="99"/>
      <c r="O90" s="99"/>
      <c r="P90" s="99"/>
      <c r="Q90" s="214"/>
      <c r="R90" s="214"/>
      <c r="S90" s="214"/>
      <c r="T90" s="214"/>
      <c r="U90" s="99"/>
      <c r="V90" s="99"/>
      <c r="W90" s="99"/>
      <c r="X90" s="99"/>
      <c r="Y90" s="99"/>
      <c r="Z90"/>
      <c r="AA90" s="390"/>
      <c r="AB90" s="390"/>
      <c r="AC90" s="390"/>
      <c r="AD90" s="390"/>
      <c r="AE90" s="390"/>
      <c r="AF90" s="390"/>
      <c r="AG90" s="390"/>
      <c r="AH90" s="390"/>
      <c r="AI90" s="99"/>
      <c r="AJ90" s="99"/>
      <c r="AK90" s="99"/>
      <c r="AL90" s="99"/>
      <c r="AM90" s="99"/>
      <c r="AN90" s="99"/>
      <c r="AO90" s="99"/>
    </row>
    <row r="91" spans="1:41" ht="14.25" customHeight="1">
      <c r="A91" s="100"/>
      <c r="B91" s="388"/>
      <c r="C91" s="389"/>
      <c r="D91" s="389"/>
      <c r="E91" s="389"/>
      <c r="F91" s="389"/>
      <c r="G91" s="389"/>
      <c r="H91" s="389"/>
      <c r="I91" s="389"/>
      <c r="J91" s="389"/>
      <c r="K91" s="99"/>
      <c r="L91" s="99"/>
      <c r="M91" s="99"/>
      <c r="N91" s="99"/>
      <c r="O91" s="99"/>
      <c r="P91" s="99"/>
      <c r="Q91" s="214"/>
      <c r="R91" s="214"/>
      <c r="S91" s="214"/>
      <c r="T91" s="214"/>
      <c r="U91" s="99"/>
      <c r="V91" s="99"/>
      <c r="W91" s="99"/>
      <c r="X91" s="99"/>
      <c r="Y91" s="99"/>
      <c r="Z91"/>
      <c r="AA91" s="390"/>
      <c r="AB91" s="390"/>
      <c r="AC91" s="390"/>
      <c r="AD91" s="390"/>
      <c r="AE91" s="390"/>
      <c r="AF91" s="390"/>
      <c r="AG91" s="390"/>
      <c r="AH91" s="390"/>
      <c r="AI91" s="99"/>
      <c r="AJ91" s="99"/>
      <c r="AK91" s="99"/>
      <c r="AL91" s="99"/>
      <c r="AM91" s="99"/>
      <c r="AN91" s="99"/>
      <c r="AO91" s="99"/>
    </row>
    <row r="92" spans="1:41" ht="14.25" customHeight="1">
      <c r="A92" s="100"/>
      <c r="B92" s="388"/>
      <c r="C92" s="389"/>
      <c r="D92" s="389"/>
      <c r="E92" s="389"/>
      <c r="F92" s="389"/>
      <c r="G92" s="389"/>
      <c r="H92" s="389"/>
      <c r="I92" s="389"/>
      <c r="J92" s="389"/>
      <c r="K92" s="99"/>
      <c r="L92" s="99"/>
      <c r="M92" s="99"/>
      <c r="N92" s="99"/>
      <c r="O92" s="99"/>
      <c r="P92" s="99"/>
      <c r="Q92" s="214"/>
      <c r="R92" s="214"/>
      <c r="S92" s="214"/>
      <c r="T92" s="214"/>
      <c r="U92" s="99"/>
      <c r="V92" s="99"/>
      <c r="W92" s="99"/>
      <c r="X92" s="99"/>
      <c r="Y92" s="99"/>
      <c r="Z92"/>
      <c r="AA92" s="390"/>
      <c r="AB92" s="390"/>
      <c r="AC92" s="390"/>
      <c r="AD92" s="390"/>
      <c r="AE92" s="390"/>
      <c r="AF92" s="390"/>
      <c r="AG92" s="390"/>
      <c r="AH92" s="390"/>
      <c r="AI92" s="99"/>
      <c r="AJ92" s="99"/>
      <c r="AK92" s="99"/>
      <c r="AL92" s="99"/>
      <c r="AM92" s="99"/>
      <c r="AN92" s="99"/>
      <c r="AO92" s="99"/>
    </row>
    <row r="93" spans="1:41" ht="14.25" customHeight="1">
      <c r="A93" s="100"/>
      <c r="B93" s="388"/>
      <c r="C93" s="389"/>
      <c r="D93" s="389"/>
      <c r="E93" s="389"/>
      <c r="F93" s="389"/>
      <c r="G93" s="389"/>
      <c r="H93" s="389"/>
      <c r="I93" s="389"/>
      <c r="J93" s="389"/>
      <c r="K93" s="99"/>
      <c r="L93" s="99"/>
      <c r="M93" s="99"/>
      <c r="N93" s="99"/>
      <c r="O93" s="99"/>
      <c r="P93" s="99"/>
      <c r="Q93" s="214"/>
      <c r="R93" s="214"/>
      <c r="S93" s="214"/>
      <c r="T93" s="214"/>
      <c r="U93" s="99"/>
      <c r="V93" s="99"/>
      <c r="W93" s="99"/>
      <c r="X93" s="99"/>
      <c r="Y93" s="99"/>
      <c r="Z93"/>
      <c r="AA93" s="390"/>
      <c r="AB93" s="390"/>
      <c r="AC93" s="390"/>
      <c r="AD93" s="390"/>
      <c r="AE93" s="390"/>
      <c r="AF93" s="390"/>
      <c r="AG93" s="390"/>
      <c r="AH93" s="390"/>
      <c r="AI93" s="99"/>
      <c r="AJ93" s="99"/>
      <c r="AK93" s="99"/>
      <c r="AL93" s="99"/>
      <c r="AM93" s="99"/>
      <c r="AN93" s="99"/>
      <c r="AO93" s="99"/>
    </row>
    <row r="94" spans="1:41" ht="14.25" customHeight="1">
      <c r="A94" s="100"/>
      <c r="B94" s="388"/>
      <c r="C94" s="389"/>
      <c r="D94" s="389"/>
      <c r="E94" s="389"/>
      <c r="F94" s="389"/>
      <c r="G94" s="389"/>
      <c r="H94" s="389"/>
      <c r="I94" s="389"/>
      <c r="J94" s="389"/>
      <c r="K94" s="99"/>
      <c r="L94" s="99"/>
      <c r="M94" s="99"/>
      <c r="N94" s="99"/>
      <c r="O94" s="99"/>
      <c r="P94" s="99"/>
      <c r="Q94" s="214"/>
      <c r="R94" s="214"/>
      <c r="S94" s="214"/>
      <c r="T94" s="214"/>
      <c r="U94" s="99"/>
      <c r="V94" s="99"/>
      <c r="W94" s="99"/>
      <c r="X94" s="99"/>
      <c r="Y94" s="99"/>
      <c r="Z94"/>
      <c r="AA94" s="390"/>
      <c r="AB94" s="390"/>
      <c r="AC94" s="390"/>
      <c r="AD94" s="390"/>
      <c r="AE94" s="390"/>
      <c r="AF94" s="390"/>
      <c r="AG94" s="390"/>
      <c r="AH94" s="390"/>
      <c r="AI94" s="99"/>
      <c r="AJ94" s="99"/>
      <c r="AK94" s="99"/>
      <c r="AL94" s="99"/>
      <c r="AM94" s="99"/>
      <c r="AN94" s="99"/>
      <c r="AO94" s="99"/>
    </row>
    <row r="95" spans="1:41" ht="14.25" customHeight="1">
      <c r="A95" s="100"/>
      <c r="B95" s="388"/>
      <c r="C95" s="389"/>
      <c r="D95" s="389"/>
      <c r="E95" s="389"/>
      <c r="F95" s="389"/>
      <c r="G95" s="389"/>
      <c r="H95" s="389"/>
      <c r="I95" s="389"/>
      <c r="J95" s="389"/>
      <c r="K95" s="99"/>
      <c r="L95" s="99"/>
      <c r="M95" s="99"/>
      <c r="N95" s="99"/>
      <c r="O95" s="99"/>
      <c r="P95" s="99"/>
      <c r="Q95" s="214"/>
      <c r="R95" s="214"/>
      <c r="S95" s="214"/>
      <c r="T95" s="214"/>
      <c r="U95" s="99"/>
      <c r="V95" s="99"/>
      <c r="W95" s="99"/>
      <c r="X95" s="99"/>
      <c r="Y95" s="99"/>
      <c r="Z95"/>
      <c r="AA95" s="390"/>
      <c r="AB95" s="390"/>
      <c r="AC95" s="390"/>
      <c r="AD95" s="390"/>
      <c r="AE95" s="390"/>
      <c r="AF95" s="390"/>
      <c r="AG95" s="390"/>
      <c r="AH95" s="390"/>
      <c r="AI95" s="99"/>
      <c r="AJ95" s="99"/>
      <c r="AK95" s="99"/>
      <c r="AL95" s="99"/>
      <c r="AM95" s="99"/>
      <c r="AN95" s="99"/>
      <c r="AO95" s="99"/>
    </row>
    <row r="96" spans="1:41" ht="14.25" customHeight="1">
      <c r="A96" s="100"/>
      <c r="B96" s="388"/>
      <c r="C96" s="389"/>
      <c r="D96" s="389"/>
      <c r="E96" s="389"/>
      <c r="F96" s="389"/>
      <c r="G96" s="389"/>
      <c r="H96" s="389"/>
      <c r="I96" s="389"/>
      <c r="J96" s="389"/>
      <c r="K96" s="99"/>
      <c r="L96" s="99"/>
      <c r="M96" s="99"/>
      <c r="N96" s="99"/>
      <c r="O96" s="99"/>
      <c r="P96" s="99"/>
      <c r="Q96" s="214"/>
      <c r="R96" s="214"/>
      <c r="S96" s="214"/>
      <c r="T96" s="214"/>
      <c r="U96" s="99"/>
      <c r="V96" s="99"/>
      <c r="W96" s="99"/>
      <c r="X96" s="99"/>
      <c r="Y96" s="99"/>
      <c r="Z96"/>
      <c r="AA96" s="390"/>
      <c r="AB96" s="390"/>
      <c r="AC96" s="390"/>
      <c r="AD96" s="390"/>
      <c r="AE96" s="390"/>
      <c r="AF96" s="390"/>
      <c r="AG96" s="390"/>
      <c r="AH96" s="390"/>
      <c r="AI96" s="99"/>
      <c r="AJ96" s="99"/>
      <c r="AK96" s="99"/>
      <c r="AL96" s="99"/>
      <c r="AM96" s="99"/>
      <c r="AN96" s="99"/>
      <c r="AO96" s="99"/>
    </row>
    <row r="97" spans="1:41" ht="14.25" customHeight="1">
      <c r="A97" s="100"/>
      <c r="B97" s="388"/>
      <c r="C97" s="389"/>
      <c r="D97" s="389"/>
      <c r="E97" s="389"/>
      <c r="F97" s="389"/>
      <c r="G97" s="389"/>
      <c r="H97" s="389"/>
      <c r="I97" s="389"/>
      <c r="J97" s="389"/>
      <c r="K97" s="99"/>
      <c r="L97" s="99"/>
      <c r="M97" s="99"/>
      <c r="N97" s="99"/>
      <c r="O97" s="99"/>
      <c r="P97" s="99"/>
      <c r="Q97" s="214"/>
      <c r="R97" s="214"/>
      <c r="S97" s="214"/>
      <c r="T97" s="214"/>
      <c r="U97" s="99"/>
      <c r="V97" s="99"/>
      <c r="W97" s="99"/>
      <c r="X97" s="99"/>
      <c r="Y97" s="99"/>
      <c r="Z97"/>
      <c r="AA97" s="390"/>
      <c r="AB97" s="390"/>
      <c r="AC97" s="390"/>
      <c r="AD97" s="390"/>
      <c r="AE97" s="390"/>
      <c r="AF97" s="390"/>
      <c r="AG97" s="390"/>
      <c r="AH97" s="390"/>
      <c r="AI97" s="99"/>
      <c r="AJ97" s="99"/>
      <c r="AK97" s="99"/>
      <c r="AL97" s="99"/>
      <c r="AM97" s="99"/>
      <c r="AN97" s="99"/>
      <c r="AO97" s="99"/>
    </row>
    <row r="98" spans="1:41" ht="14.25" customHeight="1">
      <c r="A98" s="100"/>
      <c r="B98" s="388"/>
      <c r="C98" s="389"/>
      <c r="D98" s="389"/>
      <c r="E98" s="389"/>
      <c r="F98" s="389"/>
      <c r="G98" s="389"/>
      <c r="H98" s="389"/>
      <c r="I98" s="389"/>
      <c r="J98" s="389"/>
      <c r="K98" s="99"/>
      <c r="L98" s="99"/>
      <c r="M98" s="99"/>
      <c r="N98" s="99"/>
      <c r="O98" s="99"/>
      <c r="P98" s="99"/>
      <c r="Q98" s="214"/>
      <c r="R98" s="214"/>
      <c r="S98" s="214"/>
      <c r="T98" s="214"/>
      <c r="U98" s="99"/>
      <c r="V98" s="99"/>
      <c r="W98" s="99"/>
      <c r="X98" s="99"/>
      <c r="Y98" s="99"/>
      <c r="Z98"/>
      <c r="AA98" s="390"/>
      <c r="AB98" s="390"/>
      <c r="AC98" s="390"/>
      <c r="AD98" s="390"/>
      <c r="AE98" s="390"/>
      <c r="AF98" s="390"/>
      <c r="AG98" s="390"/>
      <c r="AH98" s="390"/>
      <c r="AI98" s="99"/>
      <c r="AJ98" s="99"/>
      <c r="AK98" s="99"/>
      <c r="AL98" s="99"/>
      <c r="AM98" s="99"/>
      <c r="AN98" s="99"/>
      <c r="AO98" s="99"/>
    </row>
    <row r="99" spans="1:41" ht="14.25" customHeight="1">
      <c r="A99" s="100"/>
      <c r="B99" s="388"/>
      <c r="C99" s="389"/>
      <c r="D99" s="389"/>
      <c r="E99" s="389"/>
      <c r="F99" s="389"/>
      <c r="G99" s="389"/>
      <c r="H99" s="389"/>
      <c r="I99" s="389"/>
      <c r="J99" s="389"/>
      <c r="K99" s="99"/>
      <c r="L99" s="99"/>
      <c r="M99" s="99"/>
      <c r="N99" s="99"/>
      <c r="O99" s="99"/>
      <c r="P99" s="99"/>
      <c r="Q99" s="214"/>
      <c r="R99" s="214"/>
      <c r="S99" s="214"/>
      <c r="T99" s="214"/>
      <c r="U99" s="99"/>
      <c r="V99" s="99"/>
      <c r="W99" s="99"/>
      <c r="X99" s="99"/>
      <c r="Y99" s="99"/>
      <c r="Z99"/>
      <c r="AA99" s="390"/>
      <c r="AB99" s="390"/>
      <c r="AC99" s="390"/>
      <c r="AD99" s="390"/>
      <c r="AE99" s="390"/>
      <c r="AF99" s="390"/>
      <c r="AG99" s="390"/>
      <c r="AH99" s="390"/>
      <c r="AI99" s="99"/>
      <c r="AJ99" s="99"/>
      <c r="AK99" s="99"/>
      <c r="AL99" s="99"/>
      <c r="AM99" s="99"/>
      <c r="AN99" s="99"/>
      <c r="AO99" s="99"/>
    </row>
    <row r="100" spans="1:41" ht="14.25" customHeight="1">
      <c r="A100" s="100"/>
      <c r="B100" s="388"/>
      <c r="C100" s="389"/>
      <c r="D100" s="389"/>
      <c r="E100" s="389"/>
      <c r="F100" s="389"/>
      <c r="G100" s="389"/>
      <c r="H100" s="389"/>
      <c r="I100" s="389"/>
      <c r="J100" s="389"/>
      <c r="K100" s="99"/>
      <c r="L100" s="99"/>
      <c r="M100" s="99"/>
      <c r="N100" s="99"/>
      <c r="O100" s="99"/>
      <c r="P100" s="99"/>
      <c r="Q100" s="214"/>
      <c r="R100" s="214"/>
      <c r="S100" s="214"/>
      <c r="T100" s="214"/>
      <c r="U100" s="99"/>
      <c r="V100" s="99"/>
      <c r="W100" s="99"/>
      <c r="X100" s="99"/>
      <c r="Y100" s="99"/>
      <c r="Z100"/>
      <c r="AA100" s="390"/>
      <c r="AB100" s="390"/>
      <c r="AC100" s="390"/>
      <c r="AD100" s="390"/>
      <c r="AE100" s="390"/>
      <c r="AF100" s="390"/>
      <c r="AG100" s="390"/>
      <c r="AH100" s="390"/>
      <c r="AI100" s="99"/>
      <c r="AJ100" s="99"/>
      <c r="AK100" s="99"/>
      <c r="AL100" s="99"/>
      <c r="AM100" s="99"/>
      <c r="AN100" s="99"/>
      <c r="AO100" s="99"/>
    </row>
    <row r="101" spans="1:41" ht="14.25" customHeight="1">
      <c r="A101" s="100"/>
      <c r="B101" s="388"/>
      <c r="C101" s="389"/>
      <c r="D101" s="389"/>
      <c r="E101" s="389"/>
      <c r="F101" s="389"/>
      <c r="G101" s="389"/>
      <c r="H101" s="389"/>
      <c r="I101" s="389"/>
      <c r="J101" s="389"/>
      <c r="K101" s="99"/>
      <c r="L101" s="99"/>
      <c r="M101" s="99"/>
      <c r="N101" s="99"/>
      <c r="O101" s="99"/>
      <c r="P101" s="99"/>
      <c r="Q101" s="214"/>
      <c r="R101" s="214"/>
      <c r="S101" s="214"/>
      <c r="T101" s="214"/>
      <c r="U101" s="99"/>
      <c r="V101" s="99"/>
      <c r="W101" s="99"/>
      <c r="X101" s="99"/>
      <c r="Y101" s="99"/>
      <c r="Z101"/>
      <c r="AA101" s="390"/>
      <c r="AB101" s="390"/>
      <c r="AC101" s="390"/>
      <c r="AD101" s="390"/>
      <c r="AE101" s="390"/>
      <c r="AF101" s="390"/>
      <c r="AG101" s="390"/>
      <c r="AH101" s="390"/>
      <c r="AI101" s="99"/>
      <c r="AJ101" s="99"/>
      <c r="AK101" s="99"/>
      <c r="AL101" s="99"/>
      <c r="AM101" s="99"/>
      <c r="AN101" s="99"/>
      <c r="AO101" s="99"/>
    </row>
    <row r="102" spans="1:41" ht="14.25" customHeight="1">
      <c r="A102" s="100"/>
      <c r="B102" s="388"/>
      <c r="C102" s="389"/>
      <c r="D102" s="389"/>
      <c r="E102" s="389"/>
      <c r="F102" s="389"/>
      <c r="G102" s="389"/>
      <c r="H102" s="389"/>
      <c r="I102" s="389"/>
      <c r="J102" s="389"/>
      <c r="K102" s="99"/>
      <c r="L102" s="99"/>
      <c r="M102" s="99"/>
      <c r="N102" s="99"/>
      <c r="O102" s="99"/>
      <c r="P102" s="99"/>
      <c r="Q102" s="214"/>
      <c r="R102" s="214"/>
      <c r="S102" s="214"/>
      <c r="T102" s="214"/>
      <c r="U102" s="99"/>
      <c r="V102" s="99"/>
      <c r="W102" s="99"/>
      <c r="X102" s="99"/>
      <c r="Y102" s="99"/>
      <c r="Z102"/>
      <c r="AA102" s="390"/>
      <c r="AB102" s="390"/>
      <c r="AC102" s="390"/>
      <c r="AD102" s="390"/>
      <c r="AE102" s="390"/>
      <c r="AF102" s="390"/>
      <c r="AG102" s="390"/>
      <c r="AH102" s="390"/>
      <c r="AI102" s="99"/>
      <c r="AJ102" s="99"/>
      <c r="AK102" s="99"/>
      <c r="AL102" s="99"/>
      <c r="AM102" s="99"/>
      <c r="AN102" s="99"/>
      <c r="AO102" s="99"/>
    </row>
    <row r="103" spans="1:41" ht="14.25" customHeight="1">
      <c r="A103" s="100"/>
      <c r="B103" s="388"/>
      <c r="C103" s="389"/>
      <c r="D103" s="389"/>
      <c r="E103" s="389"/>
      <c r="F103" s="389"/>
      <c r="G103" s="389"/>
      <c r="H103" s="389"/>
      <c r="I103" s="389"/>
      <c r="J103" s="389"/>
      <c r="K103" s="99"/>
      <c r="L103" s="99"/>
      <c r="M103" s="99"/>
      <c r="N103" s="99"/>
      <c r="O103" s="99"/>
      <c r="P103" s="99"/>
      <c r="Q103" s="214"/>
      <c r="R103" s="214"/>
      <c r="S103" s="214"/>
      <c r="T103" s="214"/>
      <c r="U103" s="99"/>
      <c r="V103" s="99"/>
      <c r="W103" s="99"/>
      <c r="X103" s="99"/>
      <c r="Y103" s="99"/>
      <c r="Z103"/>
      <c r="AA103" s="390"/>
      <c r="AB103" s="390"/>
      <c r="AC103" s="390"/>
      <c r="AD103" s="390"/>
      <c r="AE103" s="390"/>
      <c r="AF103" s="390"/>
      <c r="AG103" s="390"/>
      <c r="AH103" s="390"/>
      <c r="AI103" s="99"/>
      <c r="AJ103" s="99"/>
      <c r="AK103" s="99"/>
      <c r="AL103" s="99"/>
      <c r="AM103" s="99"/>
      <c r="AN103" s="99"/>
      <c r="AO103" s="99"/>
    </row>
    <row r="104" spans="1:41" ht="14.25" customHeight="1">
      <c r="A104" s="100"/>
      <c r="B104" s="113"/>
      <c r="C104" s="99"/>
      <c r="D104" s="99"/>
      <c r="E104" s="99"/>
      <c r="F104" s="99"/>
      <c r="G104" s="99"/>
      <c r="H104" s="99"/>
      <c r="I104" s="99"/>
      <c r="J104" s="99"/>
      <c r="K104" s="99"/>
      <c r="L104" s="99"/>
      <c r="M104" s="99"/>
      <c r="N104" s="99"/>
      <c r="O104" s="99"/>
      <c r="P104" s="99"/>
      <c r="Q104" s="214"/>
      <c r="R104" s="214"/>
      <c r="S104" s="214"/>
      <c r="T104" s="214"/>
      <c r="U104" s="99"/>
      <c r="V104" s="99"/>
      <c r="W104" s="99"/>
      <c r="X104" s="99"/>
      <c r="Y104" s="99"/>
      <c r="Z104"/>
      <c r="AA104" s="390"/>
      <c r="AB104" s="390"/>
      <c r="AC104" s="390"/>
      <c r="AD104" s="390"/>
      <c r="AE104" s="390"/>
      <c r="AF104" s="390"/>
      <c r="AG104" s="390"/>
      <c r="AH104" s="390"/>
      <c r="AI104" s="99"/>
      <c r="AJ104" s="99"/>
      <c r="AK104" s="99"/>
      <c r="AL104" s="99"/>
      <c r="AM104" s="99"/>
      <c r="AN104" s="99"/>
      <c r="AO104" s="99"/>
    </row>
    <row r="105" spans="1:41" ht="14.25" customHeight="1">
      <c r="A105" s="100"/>
      <c r="B105" s="113"/>
      <c r="C105" s="99"/>
      <c r="D105" s="99"/>
      <c r="E105" s="99"/>
      <c r="F105" s="99"/>
      <c r="G105" s="99"/>
      <c r="H105" s="99"/>
      <c r="I105" s="99"/>
      <c r="J105" s="99"/>
      <c r="K105" s="99"/>
      <c r="L105" s="99"/>
      <c r="M105" s="99"/>
      <c r="N105" s="99"/>
      <c r="O105" s="99"/>
      <c r="P105" s="99"/>
      <c r="Q105" s="214"/>
      <c r="R105" s="214"/>
      <c r="S105" s="214"/>
      <c r="T105" s="214"/>
      <c r="U105" s="99"/>
      <c r="V105" s="99"/>
      <c r="W105" s="99"/>
      <c r="X105" s="99"/>
      <c r="Y105" s="99"/>
      <c r="AA105" s="390"/>
      <c r="AB105" s="390"/>
      <c r="AC105" s="390"/>
      <c r="AD105" s="390"/>
      <c r="AE105" s="390"/>
      <c r="AF105" s="390"/>
      <c r="AG105" s="390"/>
      <c r="AH105" s="390"/>
      <c r="AI105" s="99"/>
      <c r="AJ105" s="99"/>
      <c r="AK105" s="99"/>
      <c r="AL105" s="99"/>
      <c r="AM105" s="99"/>
      <c r="AN105" s="99"/>
      <c r="AO105" s="99"/>
    </row>
    <row r="106" spans="1:41" ht="14.25" customHeight="1">
      <c r="A106" s="100"/>
      <c r="B106" s="113"/>
      <c r="C106" s="99"/>
      <c r="D106" s="99"/>
      <c r="E106" s="99"/>
      <c r="F106" s="99"/>
      <c r="G106" s="99"/>
      <c r="H106" s="99"/>
      <c r="I106" s="99"/>
      <c r="J106" s="99"/>
      <c r="K106" s="99"/>
      <c r="L106" s="99"/>
      <c r="M106" s="99"/>
      <c r="N106" s="99"/>
      <c r="O106" s="99"/>
      <c r="P106" s="99"/>
      <c r="Q106" s="214"/>
      <c r="R106" s="214"/>
      <c r="S106" s="214"/>
      <c r="T106" s="214"/>
      <c r="U106" s="99"/>
      <c r="V106" s="99"/>
      <c r="W106" s="99"/>
      <c r="X106" s="99"/>
      <c r="Y106" s="99"/>
      <c r="AA106" s="390"/>
      <c r="AB106" s="390"/>
      <c r="AC106" s="390"/>
      <c r="AD106" s="390"/>
      <c r="AE106" s="390"/>
      <c r="AF106" s="390"/>
      <c r="AG106" s="390"/>
      <c r="AH106" s="390"/>
      <c r="AI106" s="99"/>
      <c r="AJ106" s="99"/>
      <c r="AK106" s="99"/>
      <c r="AL106" s="99"/>
      <c r="AM106" s="99"/>
      <c r="AN106" s="99"/>
      <c r="AO106" s="99"/>
    </row>
    <row r="107" spans="1:41" ht="14.25" customHeight="1">
      <c r="A107" s="100"/>
      <c r="B107" s="113"/>
      <c r="C107" s="99"/>
      <c r="D107" s="99"/>
      <c r="E107" s="99"/>
      <c r="F107" s="99"/>
      <c r="G107" s="99"/>
      <c r="H107" s="99"/>
      <c r="I107" s="99"/>
      <c r="J107" s="99"/>
      <c r="K107" s="99"/>
      <c r="L107" s="99"/>
      <c r="M107" s="99"/>
      <c r="N107" s="99"/>
      <c r="O107" s="99"/>
      <c r="P107" s="99"/>
      <c r="Q107" s="214"/>
      <c r="R107" s="214"/>
      <c r="S107" s="214"/>
      <c r="T107" s="214"/>
      <c r="U107" s="99"/>
      <c r="V107" s="99"/>
      <c r="W107" s="99"/>
      <c r="X107" s="99"/>
      <c r="Y107" s="99"/>
      <c r="AA107" s="390"/>
      <c r="AB107" s="390"/>
      <c r="AC107" s="390"/>
      <c r="AD107" s="390"/>
      <c r="AE107" s="390"/>
      <c r="AF107" s="390"/>
      <c r="AG107" s="390"/>
      <c r="AH107" s="390"/>
      <c r="AI107" s="99"/>
      <c r="AJ107" s="99"/>
      <c r="AK107" s="99"/>
      <c r="AL107" s="99"/>
      <c r="AM107" s="99"/>
      <c r="AN107" s="99"/>
      <c r="AO107" s="99"/>
    </row>
    <row r="108" spans="1:41" ht="14.25" customHeight="1">
      <c r="A108" s="100"/>
      <c r="B108" s="113"/>
      <c r="C108" s="99"/>
      <c r="D108" s="99"/>
      <c r="E108" s="99"/>
      <c r="F108" s="99"/>
      <c r="G108" s="99"/>
      <c r="H108" s="99"/>
      <c r="I108" s="99"/>
      <c r="J108" s="99"/>
      <c r="K108" s="99"/>
      <c r="L108" s="99"/>
      <c r="M108" s="99"/>
      <c r="N108" s="99"/>
      <c r="O108" s="99"/>
      <c r="P108" s="99"/>
      <c r="Q108" s="214"/>
      <c r="R108" s="214"/>
      <c r="S108" s="214"/>
      <c r="T108" s="214"/>
      <c r="U108" s="99"/>
      <c r="V108" s="99"/>
      <c r="W108" s="99"/>
      <c r="X108" s="99"/>
      <c r="Y108" s="99"/>
      <c r="AA108" s="390"/>
      <c r="AB108" s="390"/>
      <c r="AC108" s="390"/>
      <c r="AD108" s="390"/>
      <c r="AE108" s="390"/>
      <c r="AF108" s="390"/>
      <c r="AG108" s="390"/>
      <c r="AH108" s="390"/>
      <c r="AI108" s="99"/>
      <c r="AJ108" s="99"/>
      <c r="AK108" s="99"/>
      <c r="AL108" s="99"/>
      <c r="AM108" s="99"/>
      <c r="AN108" s="99"/>
      <c r="AO108" s="99"/>
    </row>
    <row r="109" spans="1:41" ht="14.25" customHeight="1">
      <c r="A109" s="100"/>
      <c r="B109" s="113"/>
      <c r="C109" s="99"/>
      <c r="D109" s="99"/>
      <c r="E109" s="99"/>
      <c r="F109" s="99"/>
      <c r="G109" s="99"/>
      <c r="H109" s="99"/>
      <c r="I109" s="99"/>
      <c r="J109" s="99"/>
      <c r="K109" s="99"/>
      <c r="L109" s="99"/>
      <c r="M109" s="99"/>
      <c r="N109" s="99"/>
      <c r="O109" s="99"/>
      <c r="P109" s="99"/>
      <c r="Q109" s="214"/>
      <c r="R109" s="214"/>
      <c r="S109" s="214"/>
      <c r="T109" s="214"/>
      <c r="U109" s="99"/>
      <c r="V109" s="99"/>
      <c r="W109" s="99"/>
      <c r="X109" s="99"/>
      <c r="Y109" s="99"/>
      <c r="AA109" s="390"/>
      <c r="AB109" s="390"/>
      <c r="AC109" s="390"/>
      <c r="AD109" s="390"/>
      <c r="AE109" s="390"/>
      <c r="AF109" s="390"/>
      <c r="AG109" s="390"/>
      <c r="AH109" s="390"/>
      <c r="AI109" s="99"/>
      <c r="AJ109" s="99"/>
      <c r="AK109" s="99"/>
      <c r="AL109" s="99"/>
      <c r="AM109" s="99"/>
      <c r="AN109" s="99"/>
      <c r="AO109" s="99"/>
    </row>
    <row r="110" spans="1:41" ht="14.25" customHeight="1">
      <c r="A110" s="100"/>
      <c r="B110" s="113"/>
      <c r="C110" s="99"/>
      <c r="D110" s="99"/>
      <c r="E110" s="99"/>
      <c r="F110" s="99"/>
      <c r="G110" s="99"/>
      <c r="H110" s="99"/>
      <c r="I110" s="99"/>
      <c r="J110" s="99"/>
      <c r="K110" s="99"/>
      <c r="L110" s="99"/>
      <c r="M110" s="99"/>
      <c r="N110" s="99"/>
      <c r="O110" s="99"/>
      <c r="P110" s="99"/>
      <c r="Q110" s="214"/>
      <c r="R110" s="214"/>
      <c r="S110" s="214"/>
      <c r="T110" s="214"/>
      <c r="U110" s="99"/>
      <c r="V110" s="99"/>
      <c r="W110" s="99"/>
      <c r="X110" s="99"/>
      <c r="Y110" s="99"/>
      <c r="AA110" s="390"/>
      <c r="AB110" s="390"/>
      <c r="AC110" s="390"/>
      <c r="AD110" s="390"/>
      <c r="AE110" s="390"/>
      <c r="AF110" s="390"/>
      <c r="AG110" s="390"/>
      <c r="AH110" s="390"/>
      <c r="AI110" s="99"/>
      <c r="AJ110" s="99"/>
      <c r="AK110" s="99"/>
      <c r="AL110" s="99"/>
      <c r="AM110" s="99"/>
      <c r="AN110" s="99"/>
      <c r="AO110" s="99"/>
    </row>
    <row r="111" spans="1:41" ht="14.25" customHeight="1">
      <c r="A111" s="100"/>
      <c r="B111" s="113"/>
      <c r="C111" s="99"/>
      <c r="D111" s="99"/>
      <c r="E111" s="99"/>
      <c r="F111" s="99"/>
      <c r="G111" s="99"/>
      <c r="H111" s="99"/>
      <c r="I111" s="99"/>
      <c r="J111" s="99"/>
      <c r="K111" s="99"/>
      <c r="L111" s="99"/>
      <c r="M111" s="99"/>
      <c r="N111" s="99"/>
      <c r="O111" s="99"/>
      <c r="P111" s="99"/>
      <c r="Q111" s="214"/>
      <c r="R111" s="214"/>
      <c r="S111" s="214"/>
      <c r="T111" s="214"/>
      <c r="U111" s="99"/>
      <c r="V111" s="99"/>
      <c r="W111" s="99"/>
      <c r="X111" s="99"/>
      <c r="Y111" s="99"/>
      <c r="AA111" s="390"/>
      <c r="AB111" s="390"/>
      <c r="AC111" s="390"/>
      <c r="AD111" s="390"/>
      <c r="AE111" s="390"/>
      <c r="AF111" s="390"/>
      <c r="AG111" s="390"/>
      <c r="AH111" s="390"/>
      <c r="AI111" s="99"/>
      <c r="AJ111" s="99"/>
      <c r="AK111" s="99"/>
      <c r="AL111" s="99"/>
      <c r="AM111" s="99"/>
      <c r="AN111" s="99"/>
      <c r="AO111" s="99"/>
    </row>
    <row r="112" spans="1:41" ht="14.25" customHeight="1">
      <c r="A112" s="100"/>
      <c r="B112" s="113"/>
      <c r="C112" s="99"/>
      <c r="D112" s="99"/>
      <c r="E112" s="99"/>
      <c r="F112" s="99"/>
      <c r="G112" s="99"/>
      <c r="H112" s="99"/>
      <c r="I112" s="99"/>
      <c r="J112" s="99"/>
      <c r="K112" s="99"/>
      <c r="L112" s="99"/>
      <c r="M112" s="99"/>
      <c r="N112" s="99"/>
      <c r="O112" s="99"/>
      <c r="P112" s="99"/>
      <c r="Q112" s="214"/>
      <c r="R112" s="214"/>
      <c r="S112" s="214"/>
      <c r="T112" s="214"/>
      <c r="U112" s="99"/>
      <c r="V112" s="99"/>
      <c r="W112" s="99"/>
      <c r="X112" s="99"/>
      <c r="Y112" s="99"/>
      <c r="AA112" s="390"/>
      <c r="AB112" s="390"/>
      <c r="AC112" s="390"/>
      <c r="AD112" s="390"/>
      <c r="AE112" s="390"/>
      <c r="AF112" s="390"/>
      <c r="AG112" s="390"/>
      <c r="AH112" s="390"/>
      <c r="AI112" s="99"/>
      <c r="AJ112" s="99"/>
      <c r="AK112" s="99"/>
      <c r="AL112" s="99"/>
      <c r="AM112" s="99"/>
      <c r="AN112" s="99"/>
      <c r="AO112" s="99"/>
    </row>
    <row r="113" spans="1:41" ht="14.25" customHeight="1">
      <c r="A113" s="100"/>
      <c r="B113" s="113"/>
      <c r="C113" s="99"/>
      <c r="D113" s="99"/>
      <c r="E113" s="99"/>
      <c r="F113" s="99"/>
      <c r="G113" s="99"/>
      <c r="H113" s="99"/>
      <c r="I113" s="99"/>
      <c r="J113" s="99"/>
      <c r="K113" s="99"/>
      <c r="L113" s="99"/>
      <c r="M113" s="99"/>
      <c r="N113" s="99"/>
      <c r="O113" s="99"/>
      <c r="P113" s="99"/>
      <c r="Q113" s="214"/>
      <c r="R113" s="214"/>
      <c r="S113" s="214"/>
      <c r="T113" s="214"/>
      <c r="U113" s="99"/>
      <c r="V113" s="99"/>
      <c r="W113" s="99"/>
      <c r="X113" s="99"/>
      <c r="Y113" s="99"/>
      <c r="AA113" s="390"/>
      <c r="AB113" s="390"/>
      <c r="AC113" s="390"/>
      <c r="AD113" s="390"/>
      <c r="AE113" s="390"/>
      <c r="AF113" s="390"/>
      <c r="AG113" s="390"/>
      <c r="AH113" s="390"/>
      <c r="AI113" s="99"/>
      <c r="AJ113" s="99"/>
      <c r="AK113" s="99"/>
      <c r="AL113" s="99"/>
      <c r="AM113" s="99"/>
      <c r="AN113" s="99"/>
      <c r="AO113" s="99"/>
    </row>
    <row r="114" spans="1:41" ht="14.25" customHeight="1">
      <c r="A114" s="100"/>
      <c r="B114" s="113"/>
      <c r="C114" s="99"/>
      <c r="D114" s="99"/>
      <c r="E114" s="99"/>
      <c r="F114" s="99"/>
      <c r="G114" s="99"/>
      <c r="H114" s="99"/>
      <c r="I114" s="99"/>
      <c r="J114" s="99"/>
      <c r="K114" s="99"/>
      <c r="L114" s="99"/>
      <c r="M114" s="99"/>
      <c r="N114" s="99"/>
      <c r="O114" s="99"/>
      <c r="P114" s="99"/>
      <c r="Q114" s="214"/>
      <c r="R114" s="214"/>
      <c r="S114" s="214"/>
      <c r="T114" s="214"/>
      <c r="U114" s="99"/>
      <c r="V114" s="99"/>
      <c r="W114" s="99"/>
      <c r="X114" s="99"/>
      <c r="Y114" s="99"/>
      <c r="AA114" s="390"/>
      <c r="AB114" s="390"/>
      <c r="AC114" s="390"/>
      <c r="AD114" s="390"/>
      <c r="AE114" s="390"/>
      <c r="AF114" s="390"/>
      <c r="AG114" s="390"/>
      <c r="AH114" s="390"/>
      <c r="AI114" s="99"/>
      <c r="AJ114" s="99"/>
      <c r="AK114" s="99"/>
      <c r="AL114" s="99"/>
      <c r="AM114" s="99"/>
      <c r="AN114" s="99"/>
      <c r="AO114" s="99"/>
    </row>
    <row r="115" spans="1:41" ht="14.25" customHeight="1">
      <c r="A115" s="100"/>
      <c r="B115" s="113"/>
      <c r="C115" s="99"/>
      <c r="D115" s="99"/>
      <c r="E115" s="99"/>
      <c r="F115" s="99"/>
      <c r="G115" s="99"/>
      <c r="H115" s="99"/>
      <c r="I115" s="99"/>
      <c r="J115" s="99"/>
      <c r="K115" s="99"/>
      <c r="L115" s="99"/>
      <c r="M115" s="99"/>
      <c r="N115" s="99"/>
      <c r="O115" s="99"/>
      <c r="P115" s="99"/>
      <c r="Q115" s="214"/>
      <c r="R115" s="214"/>
      <c r="S115" s="214"/>
      <c r="T115" s="214"/>
      <c r="U115" s="99"/>
      <c r="V115" s="99"/>
      <c r="W115" s="99"/>
      <c r="X115" s="99"/>
      <c r="Y115" s="99"/>
      <c r="AA115" s="390"/>
      <c r="AB115" s="390"/>
      <c r="AC115" s="390"/>
      <c r="AD115" s="390"/>
      <c r="AE115" s="390"/>
      <c r="AF115" s="390"/>
      <c r="AG115" s="390"/>
      <c r="AH115" s="390"/>
      <c r="AI115" s="99"/>
      <c r="AJ115" s="99"/>
      <c r="AK115" s="99"/>
      <c r="AL115" s="99"/>
      <c r="AM115" s="99"/>
      <c r="AN115" s="99"/>
      <c r="AO115" s="99"/>
    </row>
    <row r="116" spans="1:41" ht="14.25" customHeight="1">
      <c r="A116" s="100"/>
      <c r="B116" s="113"/>
      <c r="C116" s="99"/>
      <c r="D116" s="99"/>
      <c r="E116" s="99"/>
      <c r="F116" s="99"/>
      <c r="G116" s="99"/>
      <c r="H116" s="99"/>
      <c r="I116" s="99"/>
      <c r="J116" s="99"/>
      <c r="K116" s="99"/>
      <c r="L116" s="99"/>
      <c r="M116" s="99"/>
      <c r="N116" s="99"/>
      <c r="O116" s="99"/>
      <c r="P116" s="99"/>
      <c r="Q116" s="214"/>
      <c r="R116" s="214"/>
      <c r="S116" s="214"/>
      <c r="T116" s="214"/>
      <c r="U116" s="99"/>
      <c r="V116" s="99"/>
      <c r="W116" s="99"/>
      <c r="X116" s="99"/>
      <c r="Y116" s="99"/>
      <c r="AA116" s="390"/>
      <c r="AB116" s="390"/>
      <c r="AC116" s="390"/>
      <c r="AD116" s="390"/>
      <c r="AE116" s="390"/>
      <c r="AF116" s="390"/>
      <c r="AG116" s="390"/>
      <c r="AH116" s="390"/>
      <c r="AI116" s="99"/>
      <c r="AJ116" s="99"/>
      <c r="AK116" s="99"/>
      <c r="AL116" s="99"/>
      <c r="AM116" s="99"/>
      <c r="AN116" s="99"/>
      <c r="AO116" s="99"/>
    </row>
    <row r="117" spans="1:41" ht="14.25" customHeight="1">
      <c r="A117" s="100"/>
      <c r="B117" s="113"/>
      <c r="C117" s="99"/>
      <c r="D117" s="99"/>
      <c r="E117" s="99"/>
      <c r="F117" s="99"/>
      <c r="G117" s="99"/>
      <c r="H117" s="99"/>
      <c r="I117" s="99"/>
      <c r="J117" s="99"/>
      <c r="K117" s="99"/>
      <c r="L117" s="99"/>
      <c r="M117" s="99"/>
      <c r="N117" s="99"/>
      <c r="O117" s="99"/>
      <c r="P117" s="99"/>
      <c r="Q117" s="214"/>
      <c r="R117" s="214"/>
      <c r="S117" s="214"/>
      <c r="T117" s="214"/>
      <c r="U117" s="99"/>
      <c r="V117" s="99"/>
      <c r="W117" s="99"/>
      <c r="X117" s="99"/>
      <c r="Y117" s="99"/>
      <c r="AA117" s="390"/>
      <c r="AB117" s="390"/>
      <c r="AC117" s="390"/>
      <c r="AD117" s="390"/>
      <c r="AE117" s="390"/>
      <c r="AF117" s="390"/>
      <c r="AG117" s="390"/>
      <c r="AH117" s="390"/>
      <c r="AI117" s="99"/>
      <c r="AJ117" s="99"/>
      <c r="AK117" s="99"/>
      <c r="AL117" s="99"/>
      <c r="AM117" s="99"/>
      <c r="AN117" s="99"/>
      <c r="AO117" s="99"/>
    </row>
    <row r="118" spans="1:41" ht="14.25" customHeight="1">
      <c r="A118" s="100"/>
      <c r="B118" s="113"/>
      <c r="C118" s="99"/>
      <c r="D118" s="99"/>
      <c r="E118" s="99"/>
      <c r="F118" s="99"/>
      <c r="G118" s="99"/>
      <c r="H118" s="99"/>
      <c r="I118" s="99"/>
      <c r="J118" s="99"/>
      <c r="K118" s="99"/>
      <c r="L118" s="99"/>
      <c r="M118" s="99"/>
      <c r="N118" s="99"/>
      <c r="O118" s="99"/>
      <c r="P118" s="99"/>
      <c r="Q118" s="214"/>
      <c r="R118" s="214"/>
      <c r="S118" s="214"/>
      <c r="T118" s="214"/>
      <c r="U118" s="99"/>
      <c r="V118" s="99"/>
      <c r="W118" s="99"/>
      <c r="X118" s="99"/>
      <c r="Y118" s="99"/>
      <c r="AA118" s="390"/>
      <c r="AB118" s="390"/>
      <c r="AC118" s="390"/>
      <c r="AD118" s="390"/>
      <c r="AE118" s="390"/>
      <c r="AF118" s="390"/>
      <c r="AG118" s="390"/>
      <c r="AH118" s="390"/>
      <c r="AI118" s="99"/>
      <c r="AJ118" s="99"/>
      <c r="AK118" s="99"/>
      <c r="AL118" s="99"/>
      <c r="AM118" s="99"/>
      <c r="AN118" s="99"/>
      <c r="AO118" s="99"/>
    </row>
    <row r="119" spans="1:41" ht="14.25" customHeight="1">
      <c r="A119" s="100"/>
      <c r="B119" s="113"/>
      <c r="C119" s="99"/>
      <c r="D119" s="99"/>
      <c r="E119" s="99"/>
      <c r="F119" s="99"/>
      <c r="G119" s="99"/>
      <c r="H119" s="99"/>
      <c r="I119" s="99"/>
      <c r="J119" s="99"/>
      <c r="K119" s="99"/>
      <c r="L119" s="99"/>
      <c r="M119" s="99"/>
      <c r="N119" s="99"/>
      <c r="O119" s="99"/>
      <c r="P119" s="99"/>
      <c r="Q119" s="214"/>
      <c r="R119" s="214"/>
      <c r="S119" s="214"/>
      <c r="T119" s="214"/>
      <c r="U119" s="99"/>
      <c r="V119" s="99"/>
      <c r="W119" s="99"/>
      <c r="X119" s="99"/>
      <c r="Y119" s="99"/>
      <c r="AA119" s="390"/>
      <c r="AB119" s="390"/>
      <c r="AC119" s="390"/>
      <c r="AD119" s="390"/>
      <c r="AE119" s="390"/>
      <c r="AF119" s="390"/>
      <c r="AG119" s="390"/>
      <c r="AH119" s="390"/>
      <c r="AI119" s="99"/>
      <c r="AJ119" s="99"/>
      <c r="AK119" s="99"/>
      <c r="AL119" s="99"/>
      <c r="AM119" s="99"/>
      <c r="AN119" s="99"/>
      <c r="AO119" s="99"/>
    </row>
    <row r="120" spans="1:41" ht="14.25" customHeight="1">
      <c r="A120" s="100"/>
      <c r="B120" s="113"/>
      <c r="C120" s="99"/>
      <c r="D120" s="99"/>
      <c r="E120" s="99"/>
      <c r="F120" s="99"/>
      <c r="G120" s="99"/>
      <c r="H120" s="99"/>
      <c r="I120" s="99"/>
      <c r="J120" s="99"/>
      <c r="K120" s="99"/>
      <c r="L120" s="99"/>
      <c r="M120" s="99"/>
      <c r="N120" s="99"/>
      <c r="O120" s="99"/>
      <c r="P120" s="99"/>
      <c r="Q120" s="214"/>
      <c r="R120" s="214"/>
      <c r="S120" s="214"/>
      <c r="T120" s="214"/>
      <c r="U120" s="99"/>
      <c r="V120" s="99"/>
      <c r="W120" s="99"/>
      <c r="X120" s="99"/>
      <c r="Y120" s="99"/>
      <c r="AA120" s="390"/>
      <c r="AB120" s="390"/>
      <c r="AC120" s="390"/>
      <c r="AD120" s="390"/>
      <c r="AE120" s="390"/>
      <c r="AF120" s="390"/>
      <c r="AG120" s="390"/>
      <c r="AH120" s="390"/>
      <c r="AI120" s="99"/>
      <c r="AJ120" s="99"/>
      <c r="AK120" s="99"/>
      <c r="AL120" s="99"/>
      <c r="AM120" s="99"/>
      <c r="AN120" s="99"/>
      <c r="AO120" s="99"/>
    </row>
    <row r="121" spans="1:41" ht="14.25" customHeight="1">
      <c r="A121" s="100"/>
      <c r="B121" s="113"/>
      <c r="C121" s="99"/>
      <c r="D121" s="99"/>
      <c r="E121" s="99"/>
      <c r="F121" s="99"/>
      <c r="G121" s="99"/>
      <c r="H121" s="99"/>
      <c r="I121" s="99"/>
      <c r="J121" s="99"/>
      <c r="K121" s="99"/>
      <c r="L121" s="99"/>
      <c r="M121" s="99"/>
      <c r="N121" s="99"/>
      <c r="O121" s="99"/>
      <c r="P121" s="99"/>
      <c r="Q121" s="214"/>
      <c r="R121" s="214"/>
      <c r="S121" s="214"/>
      <c r="T121" s="214"/>
      <c r="U121" s="99"/>
      <c r="V121" s="99"/>
      <c r="W121" s="99"/>
      <c r="X121" s="99"/>
      <c r="Y121" s="99"/>
      <c r="AA121" s="390"/>
      <c r="AB121" s="390"/>
      <c r="AC121" s="390"/>
      <c r="AD121" s="390"/>
      <c r="AE121" s="390"/>
      <c r="AF121" s="390"/>
      <c r="AG121" s="390"/>
      <c r="AH121" s="390"/>
      <c r="AI121" s="99"/>
      <c r="AJ121" s="99"/>
      <c r="AK121" s="99"/>
      <c r="AL121" s="99"/>
      <c r="AM121" s="99"/>
      <c r="AN121" s="99"/>
      <c r="AO121" s="99"/>
    </row>
    <row r="122" spans="1:41" ht="14.25" customHeight="1">
      <c r="A122" s="100"/>
      <c r="B122" s="113"/>
      <c r="C122" s="99"/>
      <c r="D122" s="99"/>
      <c r="E122" s="99"/>
      <c r="F122" s="99"/>
      <c r="G122" s="99"/>
      <c r="H122" s="99"/>
      <c r="I122" s="99"/>
      <c r="J122" s="99"/>
      <c r="K122" s="99"/>
      <c r="L122" s="99"/>
      <c r="M122" s="99"/>
      <c r="N122" s="99"/>
      <c r="O122" s="99"/>
      <c r="P122" s="99"/>
      <c r="Q122" s="214"/>
      <c r="R122" s="214"/>
      <c r="S122" s="214"/>
      <c r="T122" s="214"/>
      <c r="U122" s="99"/>
      <c r="V122" s="99"/>
      <c r="W122" s="99"/>
      <c r="X122" s="99"/>
      <c r="Y122" s="99"/>
      <c r="AA122" s="390"/>
      <c r="AB122" s="390"/>
      <c r="AC122" s="390"/>
      <c r="AD122" s="390"/>
      <c r="AE122" s="390"/>
      <c r="AF122" s="390"/>
      <c r="AG122" s="390"/>
      <c r="AH122" s="390"/>
      <c r="AI122" s="99"/>
      <c r="AJ122" s="99"/>
      <c r="AK122" s="99"/>
      <c r="AL122" s="99"/>
      <c r="AM122" s="99"/>
      <c r="AN122" s="99"/>
      <c r="AO122" s="99"/>
    </row>
    <row r="123" spans="1:41" ht="14.25" customHeight="1">
      <c r="A123" s="100"/>
      <c r="B123" s="113"/>
      <c r="C123" s="99"/>
      <c r="D123" s="99"/>
      <c r="E123" s="99"/>
      <c r="F123" s="99"/>
      <c r="G123" s="99"/>
      <c r="H123" s="99"/>
      <c r="I123" s="99"/>
      <c r="J123" s="99"/>
      <c r="K123" s="99"/>
      <c r="L123" s="99"/>
      <c r="M123" s="99"/>
      <c r="N123" s="99"/>
      <c r="O123" s="99"/>
      <c r="P123" s="99"/>
      <c r="Q123" s="214"/>
      <c r="R123" s="214"/>
      <c r="S123" s="214"/>
      <c r="T123" s="214"/>
      <c r="U123" s="99"/>
      <c r="V123" s="99"/>
      <c r="W123" s="99"/>
      <c r="X123" s="99"/>
      <c r="Y123" s="99"/>
      <c r="AA123" s="390"/>
      <c r="AB123" s="390"/>
      <c r="AC123" s="390"/>
      <c r="AD123" s="390"/>
      <c r="AE123" s="390"/>
      <c r="AF123" s="390"/>
      <c r="AG123" s="390"/>
      <c r="AH123" s="390"/>
      <c r="AI123" s="99"/>
      <c r="AJ123" s="99"/>
      <c r="AK123" s="99"/>
      <c r="AL123" s="99"/>
      <c r="AM123" s="99"/>
      <c r="AN123" s="99"/>
      <c r="AO123" s="99"/>
    </row>
    <row r="124" spans="1:41" ht="14.25" customHeight="1">
      <c r="A124" s="100"/>
      <c r="B124" s="113"/>
      <c r="C124" s="99"/>
      <c r="D124" s="99"/>
      <c r="E124" s="99"/>
      <c r="F124" s="99"/>
      <c r="G124" s="99"/>
      <c r="H124" s="99"/>
      <c r="I124" s="99"/>
      <c r="J124" s="99"/>
      <c r="K124" s="99"/>
      <c r="L124" s="99"/>
      <c r="M124" s="99"/>
      <c r="N124" s="99"/>
      <c r="O124" s="99"/>
      <c r="P124" s="99"/>
      <c r="Q124" s="214"/>
      <c r="R124" s="214"/>
      <c r="S124" s="214"/>
      <c r="T124" s="214"/>
      <c r="U124" s="99"/>
      <c r="V124" s="99"/>
      <c r="W124" s="99"/>
      <c r="X124" s="99"/>
      <c r="Y124" s="99"/>
      <c r="AA124" s="390"/>
      <c r="AB124" s="390"/>
      <c r="AC124" s="390"/>
      <c r="AD124" s="390"/>
      <c r="AE124" s="390"/>
      <c r="AF124" s="390"/>
      <c r="AG124" s="390"/>
      <c r="AH124" s="390"/>
      <c r="AI124" s="99"/>
      <c r="AJ124" s="99"/>
      <c r="AK124" s="99"/>
      <c r="AL124" s="99"/>
      <c r="AM124" s="99"/>
      <c r="AN124" s="99"/>
      <c r="AO124" s="99"/>
    </row>
    <row r="125" spans="1:41" ht="14.25" customHeight="1" thickBot="1">
      <c r="A125" s="242"/>
      <c r="B125" s="255"/>
      <c r="C125" s="239"/>
      <c r="D125" s="239"/>
      <c r="E125" s="239"/>
      <c r="F125" s="239"/>
      <c r="G125" s="239"/>
      <c r="H125" s="239"/>
      <c r="I125" s="239"/>
      <c r="J125" s="239"/>
      <c r="K125" s="239"/>
      <c r="L125" s="239"/>
      <c r="M125" s="239"/>
      <c r="N125" s="239"/>
      <c r="O125" s="239"/>
      <c r="P125" s="239"/>
      <c r="Q125" s="239"/>
      <c r="R125" s="239"/>
      <c r="S125" s="239"/>
      <c r="T125" s="239"/>
      <c r="U125" s="239"/>
      <c r="V125" s="239"/>
      <c r="W125" s="239"/>
      <c r="X125" s="239"/>
      <c r="Y125" s="239"/>
      <c r="Z125" s="393"/>
      <c r="AA125" s="440"/>
      <c r="AB125" s="440"/>
      <c r="AC125" s="440"/>
      <c r="AD125" s="440"/>
      <c r="AE125" s="440"/>
      <c r="AF125" s="440"/>
      <c r="AG125" s="440"/>
      <c r="AH125" s="440"/>
      <c r="AI125" s="239"/>
      <c r="AJ125" s="239"/>
      <c r="AK125" s="239"/>
      <c r="AL125" s="239"/>
      <c r="AM125" s="239"/>
      <c r="AN125" s="239"/>
      <c r="AO125" s="239"/>
    </row>
    <row r="126" spans="1:41" ht="14.25" customHeight="1" thickTop="1">
      <c r="A126" s="238"/>
      <c r="B126" s="243"/>
      <c r="C126" s="214"/>
      <c r="D126" s="214"/>
      <c r="E126" s="214"/>
      <c r="F126" s="214"/>
      <c r="G126" s="214"/>
      <c r="H126" s="214"/>
      <c r="I126" s="214"/>
      <c r="J126" s="214"/>
      <c r="K126" s="214"/>
      <c r="L126" s="214"/>
      <c r="M126" s="214"/>
      <c r="N126" s="214"/>
      <c r="O126" s="214"/>
      <c r="P126" s="214"/>
      <c r="Q126" s="214"/>
      <c r="R126" s="214"/>
      <c r="S126" s="214"/>
      <c r="T126" s="214"/>
      <c r="U126" s="214"/>
      <c r="V126" s="214"/>
      <c r="W126" s="214"/>
      <c r="X126" s="214"/>
      <c r="Y126" s="214"/>
      <c r="AA126" s="396"/>
      <c r="AB126" s="396"/>
      <c r="AC126" s="396"/>
      <c r="AD126" s="396"/>
      <c r="AE126" s="396"/>
      <c r="AF126" s="396"/>
      <c r="AG126" s="396"/>
      <c r="AH126" s="396"/>
      <c r="AI126" s="214"/>
      <c r="AJ126" s="214"/>
      <c r="AK126" s="214"/>
      <c r="AL126" s="214"/>
      <c r="AM126" s="214"/>
      <c r="AN126" s="214"/>
      <c r="AO126" s="214"/>
    </row>
    <row r="127" spans="1:41" ht="14.25" customHeight="1">
      <c r="A127" s="100"/>
      <c r="B127" s="113"/>
      <c r="C127" s="99"/>
      <c r="D127" s="99"/>
      <c r="E127" s="99"/>
      <c r="F127" s="99"/>
      <c r="G127" s="99"/>
      <c r="H127" s="99"/>
      <c r="I127" s="99"/>
      <c r="J127" s="99"/>
      <c r="K127" s="99"/>
      <c r="L127" s="99"/>
      <c r="M127" s="99"/>
      <c r="N127" s="99"/>
      <c r="O127" s="99"/>
      <c r="P127" s="99"/>
      <c r="Q127" s="214"/>
      <c r="R127" s="214"/>
      <c r="S127" s="214"/>
      <c r="T127" s="214"/>
      <c r="U127" s="99"/>
      <c r="V127" s="99"/>
      <c r="W127" s="99"/>
      <c r="X127" s="99"/>
      <c r="Y127" s="99"/>
      <c r="AA127" s="390"/>
      <c r="AB127" s="390"/>
      <c r="AC127" s="390"/>
      <c r="AD127" s="390"/>
      <c r="AE127" s="390"/>
      <c r="AF127" s="390"/>
      <c r="AG127" s="390"/>
      <c r="AH127" s="390"/>
      <c r="AI127" s="99"/>
      <c r="AJ127" s="99"/>
      <c r="AK127" s="99"/>
      <c r="AL127" s="99"/>
      <c r="AM127" s="99"/>
      <c r="AN127" s="99"/>
      <c r="AO127" s="99"/>
    </row>
    <row r="128" spans="1:41" ht="14.25" customHeight="1">
      <c r="A128" s="100"/>
      <c r="B128" s="113"/>
      <c r="C128" s="99"/>
      <c r="D128" s="99"/>
      <c r="E128" s="99"/>
      <c r="F128" s="99"/>
      <c r="G128" s="99"/>
      <c r="H128" s="99"/>
      <c r="I128" s="99"/>
      <c r="J128" s="99"/>
      <c r="K128" s="99"/>
      <c r="L128" s="99"/>
      <c r="M128" s="99"/>
      <c r="N128" s="99"/>
      <c r="O128" s="99"/>
      <c r="P128" s="99"/>
      <c r="Q128" s="214"/>
      <c r="R128" s="214"/>
      <c r="S128" s="214"/>
      <c r="T128" s="214"/>
      <c r="U128" s="99"/>
      <c r="V128" s="99"/>
      <c r="W128" s="99"/>
      <c r="X128" s="99"/>
      <c r="Y128" s="99"/>
      <c r="AA128" s="390"/>
      <c r="AB128" s="390"/>
      <c r="AC128" s="390"/>
      <c r="AD128" s="390"/>
      <c r="AE128" s="390"/>
      <c r="AF128" s="390"/>
      <c r="AG128" s="390"/>
      <c r="AH128" s="390"/>
      <c r="AI128" s="99"/>
      <c r="AJ128" s="99"/>
      <c r="AK128" s="99"/>
      <c r="AL128" s="99"/>
      <c r="AM128" s="99"/>
      <c r="AN128" s="99"/>
      <c r="AO128" s="99"/>
    </row>
    <row r="129" spans="1:41" ht="14.25" customHeight="1">
      <c r="A129" s="100"/>
      <c r="B129" s="113"/>
      <c r="C129" s="99"/>
      <c r="D129" s="99"/>
      <c r="E129" s="99"/>
      <c r="F129" s="99"/>
      <c r="G129" s="99"/>
      <c r="H129" s="99"/>
      <c r="I129" s="99"/>
      <c r="J129" s="99"/>
      <c r="K129" s="99"/>
      <c r="L129" s="99"/>
      <c r="M129" s="99"/>
      <c r="N129" s="99"/>
      <c r="O129" s="99"/>
      <c r="P129" s="99"/>
      <c r="Q129" s="214"/>
      <c r="R129" s="214"/>
      <c r="S129" s="214"/>
      <c r="T129" s="214"/>
      <c r="U129" s="99"/>
      <c r="V129" s="99"/>
      <c r="W129" s="99"/>
      <c r="X129" s="99"/>
      <c r="Y129" s="99"/>
      <c r="AA129" s="390"/>
      <c r="AB129" s="390"/>
      <c r="AC129" s="390"/>
      <c r="AD129" s="390"/>
      <c r="AE129" s="390"/>
      <c r="AF129" s="390"/>
      <c r="AG129" s="390"/>
      <c r="AH129" s="390"/>
      <c r="AI129" s="99"/>
      <c r="AJ129" s="99"/>
      <c r="AK129" s="99"/>
      <c r="AL129" s="99"/>
      <c r="AM129" s="99"/>
      <c r="AN129" s="99"/>
      <c r="AO129" s="99"/>
    </row>
    <row r="130" spans="1:41" ht="14.25" customHeight="1">
      <c r="A130" s="100"/>
      <c r="B130" s="113"/>
      <c r="C130" s="99"/>
      <c r="D130" s="99"/>
      <c r="E130" s="99"/>
      <c r="F130" s="99"/>
      <c r="G130" s="99"/>
      <c r="H130" s="99"/>
      <c r="I130" s="99"/>
      <c r="J130" s="99"/>
      <c r="K130" s="99"/>
      <c r="L130" s="99"/>
      <c r="M130" s="99"/>
      <c r="N130" s="99"/>
      <c r="O130" s="99"/>
      <c r="P130" s="99"/>
      <c r="Q130" s="214"/>
      <c r="R130" s="214"/>
      <c r="S130" s="214"/>
      <c r="T130" s="214"/>
      <c r="U130" s="99"/>
      <c r="V130" s="99"/>
      <c r="W130" s="99"/>
      <c r="X130" s="99"/>
      <c r="Y130" s="99"/>
      <c r="AA130" s="390"/>
      <c r="AB130" s="390"/>
      <c r="AC130" s="390"/>
      <c r="AD130" s="390"/>
      <c r="AE130" s="390"/>
      <c r="AF130" s="390"/>
      <c r="AG130" s="390"/>
      <c r="AH130" s="390"/>
      <c r="AI130" s="99"/>
      <c r="AJ130" s="99"/>
      <c r="AK130" s="99"/>
      <c r="AL130" s="99"/>
      <c r="AM130" s="99"/>
      <c r="AN130" s="99"/>
      <c r="AO130" s="99"/>
    </row>
    <row r="131" spans="1:41" ht="14.25" customHeight="1">
      <c r="A131" s="100"/>
      <c r="B131" s="113"/>
      <c r="C131" s="99"/>
      <c r="D131" s="99"/>
      <c r="E131" s="99"/>
      <c r="F131" s="99"/>
      <c r="G131" s="99"/>
      <c r="H131" s="99"/>
      <c r="I131" s="99"/>
      <c r="J131" s="99"/>
      <c r="K131" s="99"/>
      <c r="L131" s="99"/>
      <c r="M131" s="99"/>
      <c r="N131" s="99"/>
      <c r="O131" s="99"/>
      <c r="P131" s="99"/>
      <c r="Q131" s="214"/>
      <c r="R131" s="214"/>
      <c r="S131" s="214"/>
      <c r="T131" s="214"/>
      <c r="U131" s="99"/>
      <c r="V131" s="99"/>
      <c r="W131" s="99"/>
      <c r="X131" s="99"/>
      <c r="Y131" s="99"/>
      <c r="AA131" s="390"/>
      <c r="AB131" s="390"/>
      <c r="AC131" s="390"/>
      <c r="AD131" s="390"/>
      <c r="AE131" s="390"/>
      <c r="AF131" s="390"/>
      <c r="AG131" s="390"/>
      <c r="AH131" s="390"/>
      <c r="AI131" s="99"/>
      <c r="AJ131" s="99"/>
      <c r="AK131" s="99"/>
      <c r="AL131" s="99"/>
      <c r="AM131" s="99"/>
      <c r="AN131" s="99"/>
      <c r="AO131" s="99"/>
    </row>
    <row r="132" spans="1:41" ht="14.25" customHeight="1">
      <c r="A132" s="100"/>
      <c r="B132" s="113"/>
      <c r="C132" s="99"/>
      <c r="D132" s="99"/>
      <c r="E132" s="99"/>
      <c r="F132" s="99"/>
      <c r="G132" s="99"/>
      <c r="H132" s="99"/>
      <c r="I132" s="99"/>
      <c r="J132" s="99"/>
      <c r="K132" s="99"/>
      <c r="L132" s="99"/>
      <c r="M132" s="99"/>
      <c r="N132" s="99"/>
      <c r="O132" s="99"/>
      <c r="P132" s="99"/>
      <c r="Q132" s="214"/>
      <c r="R132" s="214"/>
      <c r="S132" s="214"/>
      <c r="T132" s="214"/>
      <c r="U132" s="99"/>
      <c r="V132" s="99"/>
      <c r="W132" s="99"/>
      <c r="X132" s="99"/>
      <c r="Y132" s="99"/>
      <c r="AA132" s="390"/>
      <c r="AB132" s="390"/>
      <c r="AC132" s="390"/>
      <c r="AD132" s="390"/>
      <c r="AE132" s="390"/>
      <c r="AF132" s="390"/>
      <c r="AG132" s="390"/>
      <c r="AH132" s="390"/>
      <c r="AI132" s="99"/>
      <c r="AJ132" s="99"/>
      <c r="AK132" s="99"/>
      <c r="AL132" s="99"/>
      <c r="AM132" s="99"/>
      <c r="AN132" s="99"/>
      <c r="AO132" s="99"/>
    </row>
    <row r="133" spans="1:41" ht="14.25" customHeight="1">
      <c r="A133" s="100"/>
      <c r="B133" s="113"/>
      <c r="C133" s="99"/>
      <c r="D133" s="99"/>
      <c r="E133" s="99"/>
      <c r="F133" s="99"/>
      <c r="G133" s="99"/>
      <c r="H133" s="99"/>
      <c r="I133" s="99"/>
      <c r="J133" s="99"/>
      <c r="K133" s="99"/>
      <c r="L133" s="99"/>
      <c r="M133" s="99"/>
      <c r="N133" s="99"/>
      <c r="O133" s="99"/>
      <c r="P133" s="99"/>
      <c r="Q133" s="214"/>
      <c r="R133" s="214"/>
      <c r="S133" s="214"/>
      <c r="T133" s="214"/>
      <c r="U133" s="99"/>
      <c r="V133" s="99"/>
      <c r="W133" s="99"/>
      <c r="X133" s="99"/>
      <c r="Y133" s="99"/>
      <c r="AA133" s="390"/>
      <c r="AB133" s="390"/>
      <c r="AC133" s="390"/>
      <c r="AD133" s="390"/>
      <c r="AE133" s="390"/>
      <c r="AF133" s="390"/>
      <c r="AG133" s="390"/>
      <c r="AH133" s="390"/>
      <c r="AI133" s="99"/>
      <c r="AJ133" s="99"/>
      <c r="AK133" s="99"/>
      <c r="AL133" s="99"/>
      <c r="AM133" s="99"/>
      <c r="AN133" s="99"/>
      <c r="AO133" s="99"/>
    </row>
    <row r="134" spans="1:41" ht="14.25" customHeight="1">
      <c r="A134" s="100"/>
      <c r="B134" s="113"/>
      <c r="C134" s="99"/>
      <c r="D134" s="99"/>
      <c r="E134" s="99"/>
      <c r="F134" s="99"/>
      <c r="G134" s="99"/>
      <c r="H134" s="99"/>
      <c r="I134" s="99"/>
      <c r="J134" s="99"/>
      <c r="K134" s="99"/>
      <c r="L134" s="99"/>
      <c r="M134" s="99"/>
      <c r="N134" s="99"/>
      <c r="O134" s="99"/>
      <c r="P134" s="99"/>
      <c r="Q134" s="214"/>
      <c r="R134" s="214"/>
      <c r="S134" s="214"/>
      <c r="T134" s="214"/>
      <c r="U134" s="99"/>
      <c r="V134" s="99"/>
      <c r="W134" s="99"/>
      <c r="X134" s="99"/>
      <c r="Y134" s="99"/>
      <c r="AA134" s="390"/>
      <c r="AB134" s="390"/>
      <c r="AC134" s="390"/>
      <c r="AD134" s="390"/>
      <c r="AE134" s="390"/>
      <c r="AF134" s="390"/>
      <c r="AG134" s="390"/>
      <c r="AH134" s="390"/>
      <c r="AI134" s="99"/>
      <c r="AJ134" s="99"/>
      <c r="AK134" s="99"/>
      <c r="AL134" s="99"/>
      <c r="AM134" s="99"/>
      <c r="AN134" s="99"/>
      <c r="AO134" s="99"/>
    </row>
    <row r="135" spans="1:41" ht="14.25" customHeight="1">
      <c r="A135" s="100"/>
      <c r="B135" s="113"/>
      <c r="C135" s="99"/>
      <c r="D135" s="99"/>
      <c r="E135" s="99"/>
      <c r="F135" s="99"/>
      <c r="G135" s="99"/>
      <c r="H135" s="99"/>
      <c r="I135" s="99"/>
      <c r="J135" s="99"/>
      <c r="K135" s="99"/>
      <c r="L135" s="99"/>
      <c r="M135" s="99"/>
      <c r="N135" s="99"/>
      <c r="O135" s="99"/>
      <c r="P135" s="99"/>
      <c r="Q135" s="214"/>
      <c r="R135" s="214"/>
      <c r="S135" s="214"/>
      <c r="T135" s="214"/>
      <c r="U135" s="99"/>
      <c r="V135" s="99"/>
      <c r="W135" s="99"/>
      <c r="X135" s="99"/>
      <c r="Y135" s="99"/>
      <c r="AA135" s="390"/>
      <c r="AB135" s="390"/>
      <c r="AC135" s="390"/>
      <c r="AD135" s="390"/>
      <c r="AE135" s="390"/>
      <c r="AF135" s="390"/>
      <c r="AG135" s="390"/>
      <c r="AH135" s="390"/>
      <c r="AI135" s="99"/>
      <c r="AJ135" s="99"/>
      <c r="AK135" s="99"/>
      <c r="AL135" s="99"/>
      <c r="AM135" s="99"/>
      <c r="AN135" s="99"/>
      <c r="AO135" s="99"/>
    </row>
    <row r="136" spans="1:41" ht="14.25" customHeight="1">
      <c r="A136" s="100"/>
      <c r="B136" s="113"/>
      <c r="C136" s="99"/>
      <c r="D136" s="99"/>
      <c r="E136" s="99"/>
      <c r="F136" s="99"/>
      <c r="G136" s="99"/>
      <c r="H136" s="99"/>
      <c r="I136" s="99"/>
      <c r="J136" s="99"/>
      <c r="K136" s="99"/>
      <c r="L136" s="99"/>
      <c r="M136" s="99"/>
      <c r="N136" s="99"/>
      <c r="O136" s="99"/>
      <c r="P136" s="99"/>
      <c r="Q136" s="214"/>
      <c r="R136" s="214"/>
      <c r="S136" s="214"/>
      <c r="T136" s="214"/>
      <c r="U136" s="99"/>
      <c r="V136" s="99"/>
      <c r="W136" s="99"/>
      <c r="X136" s="99"/>
      <c r="Y136" s="99"/>
      <c r="AA136" s="390"/>
      <c r="AB136" s="390"/>
      <c r="AC136" s="390"/>
      <c r="AD136" s="390"/>
      <c r="AE136" s="390"/>
      <c r="AF136" s="390"/>
      <c r="AG136" s="390"/>
      <c r="AH136" s="390"/>
      <c r="AI136" s="99"/>
      <c r="AJ136" s="99"/>
      <c r="AK136" s="99"/>
      <c r="AL136" s="99"/>
      <c r="AM136" s="99"/>
      <c r="AN136" s="99"/>
      <c r="AO136" s="99"/>
    </row>
    <row r="137" spans="1:41" ht="14.25" customHeight="1">
      <c r="A137" s="100"/>
      <c r="B137" s="113"/>
      <c r="C137" s="99"/>
      <c r="D137" s="99"/>
      <c r="E137" s="99"/>
      <c r="F137" s="99"/>
      <c r="G137" s="99"/>
      <c r="H137" s="99"/>
      <c r="I137" s="99"/>
      <c r="J137" s="99"/>
      <c r="K137" s="99"/>
      <c r="L137" s="99"/>
      <c r="M137" s="99"/>
      <c r="N137" s="99"/>
      <c r="O137" s="99"/>
      <c r="P137" s="99"/>
      <c r="Q137" s="214"/>
      <c r="R137" s="214"/>
      <c r="S137" s="214"/>
      <c r="T137" s="214"/>
      <c r="U137" s="99"/>
      <c r="V137" s="99"/>
      <c r="W137" s="99"/>
      <c r="X137" s="99"/>
      <c r="Y137" s="99"/>
      <c r="AA137" s="390"/>
      <c r="AB137" s="390"/>
      <c r="AC137" s="390"/>
      <c r="AD137" s="390"/>
      <c r="AE137" s="390"/>
      <c r="AF137" s="390"/>
      <c r="AG137" s="390"/>
      <c r="AH137" s="390"/>
      <c r="AI137" s="99"/>
      <c r="AJ137" s="99"/>
      <c r="AK137" s="99"/>
      <c r="AL137" s="99"/>
      <c r="AM137" s="99"/>
      <c r="AN137" s="99"/>
      <c r="AO137" s="99"/>
    </row>
    <row r="138" spans="1:41" ht="14.25" customHeight="1">
      <c r="A138" s="100"/>
      <c r="B138" s="113"/>
      <c r="C138" s="99"/>
      <c r="D138" s="99"/>
      <c r="E138" s="99"/>
      <c r="F138" s="99"/>
      <c r="G138" s="99"/>
      <c r="H138" s="99"/>
      <c r="I138" s="99"/>
      <c r="J138" s="99"/>
      <c r="K138" s="99"/>
      <c r="L138" s="99"/>
      <c r="M138" s="99"/>
      <c r="N138" s="99"/>
      <c r="O138" s="99"/>
      <c r="P138" s="99"/>
      <c r="Q138" s="214"/>
      <c r="R138" s="214"/>
      <c r="S138" s="214"/>
      <c r="T138" s="214"/>
      <c r="U138" s="99"/>
      <c r="V138" s="99"/>
      <c r="W138" s="99"/>
      <c r="X138" s="99"/>
      <c r="Y138" s="99"/>
      <c r="AA138" s="390"/>
      <c r="AB138" s="390"/>
      <c r="AC138" s="390"/>
      <c r="AD138" s="390"/>
      <c r="AE138" s="390"/>
      <c r="AF138" s="390"/>
      <c r="AG138" s="390"/>
      <c r="AH138" s="390"/>
      <c r="AI138" s="99"/>
      <c r="AJ138" s="99"/>
      <c r="AK138" s="99"/>
      <c r="AL138" s="99"/>
      <c r="AM138" s="99"/>
      <c r="AN138" s="99"/>
      <c r="AO138" s="99"/>
    </row>
    <row r="139" spans="1:41" ht="14.25" customHeight="1">
      <c r="A139" s="100"/>
      <c r="B139" s="113"/>
      <c r="C139" s="99"/>
      <c r="D139" s="99"/>
      <c r="E139" s="99"/>
      <c r="F139" s="99"/>
      <c r="G139" s="99"/>
      <c r="H139" s="99"/>
      <c r="I139" s="99"/>
      <c r="J139" s="99"/>
      <c r="K139" s="99"/>
      <c r="L139" s="99"/>
      <c r="M139" s="99"/>
      <c r="N139" s="99"/>
      <c r="O139" s="99"/>
      <c r="P139" s="99"/>
      <c r="Q139" s="214"/>
      <c r="R139" s="214"/>
      <c r="S139" s="214"/>
      <c r="T139" s="214"/>
      <c r="U139" s="99"/>
      <c r="V139" s="99"/>
      <c r="W139" s="99"/>
      <c r="X139" s="99"/>
      <c r="Y139" s="99"/>
      <c r="AA139" s="390"/>
      <c r="AB139" s="390"/>
      <c r="AC139" s="390"/>
      <c r="AD139" s="390"/>
      <c r="AE139" s="390"/>
      <c r="AF139" s="390"/>
      <c r="AG139" s="390"/>
      <c r="AH139" s="390"/>
      <c r="AI139" s="99"/>
      <c r="AJ139" s="99"/>
      <c r="AK139" s="99"/>
      <c r="AL139" s="99"/>
      <c r="AM139" s="99"/>
      <c r="AN139" s="99"/>
      <c r="AO139" s="99"/>
    </row>
    <row r="140" spans="1:41" ht="14.25" customHeight="1">
      <c r="A140" s="100"/>
      <c r="B140" s="113"/>
      <c r="C140" s="99"/>
      <c r="D140" s="99"/>
      <c r="E140" s="99"/>
      <c r="F140" s="99"/>
      <c r="G140" s="99"/>
      <c r="H140" s="99"/>
      <c r="I140" s="99"/>
      <c r="J140" s="99"/>
      <c r="K140" s="99"/>
      <c r="L140" s="99"/>
      <c r="M140" s="99"/>
      <c r="N140" s="99"/>
      <c r="O140" s="99"/>
      <c r="P140" s="99"/>
      <c r="Q140" s="214"/>
      <c r="R140" s="214"/>
      <c r="S140" s="214"/>
      <c r="T140" s="214"/>
      <c r="U140" s="99"/>
      <c r="V140" s="99"/>
      <c r="W140" s="99"/>
      <c r="X140" s="99"/>
      <c r="Y140" s="99"/>
      <c r="AA140" s="390"/>
      <c r="AB140" s="390"/>
      <c r="AC140" s="390"/>
      <c r="AD140" s="390"/>
      <c r="AE140" s="390"/>
      <c r="AF140" s="390"/>
      <c r="AG140" s="390"/>
      <c r="AH140" s="390"/>
      <c r="AI140" s="99"/>
      <c r="AJ140" s="99"/>
      <c r="AK140" s="99"/>
      <c r="AL140" s="99"/>
      <c r="AM140" s="99"/>
      <c r="AN140" s="99"/>
      <c r="AO140" s="99"/>
    </row>
    <row r="141" spans="1:41" ht="14.25" customHeight="1">
      <c r="A141" s="100"/>
      <c r="B141" s="113"/>
      <c r="C141" s="99"/>
      <c r="D141" s="99"/>
      <c r="E141" s="99"/>
      <c r="F141" s="99"/>
      <c r="G141" s="99"/>
      <c r="H141" s="99"/>
      <c r="I141" s="99"/>
      <c r="J141" s="99"/>
      <c r="K141" s="99"/>
      <c r="L141" s="99"/>
      <c r="M141" s="99"/>
      <c r="N141" s="99"/>
      <c r="O141" s="99"/>
      <c r="P141" s="99"/>
      <c r="Q141" s="214"/>
      <c r="R141" s="214"/>
      <c r="S141" s="214"/>
      <c r="T141" s="214"/>
      <c r="U141" s="99"/>
      <c r="V141" s="99"/>
      <c r="W141" s="99"/>
      <c r="X141" s="99"/>
      <c r="Y141" s="99"/>
      <c r="AA141" s="390"/>
      <c r="AB141" s="390"/>
      <c r="AC141" s="390"/>
      <c r="AD141" s="390"/>
      <c r="AE141" s="390"/>
      <c r="AF141" s="390"/>
      <c r="AG141" s="390"/>
      <c r="AH141" s="390"/>
      <c r="AI141" s="99"/>
      <c r="AJ141" s="99"/>
      <c r="AK141" s="99"/>
      <c r="AL141" s="99"/>
      <c r="AM141" s="99"/>
      <c r="AN141" s="99"/>
      <c r="AO141" s="99"/>
    </row>
    <row r="142" spans="1:41" ht="14.25" customHeight="1">
      <c r="A142" s="100"/>
      <c r="B142" s="113"/>
      <c r="C142" s="99"/>
      <c r="D142" s="99"/>
      <c r="E142" s="99"/>
      <c r="F142" s="99"/>
      <c r="G142" s="99"/>
      <c r="H142" s="99"/>
      <c r="I142" s="99"/>
      <c r="J142" s="99"/>
      <c r="K142" s="99"/>
      <c r="L142" s="99"/>
      <c r="M142" s="99"/>
      <c r="N142" s="99"/>
      <c r="O142" s="99"/>
      <c r="P142" s="99"/>
      <c r="Q142" s="214"/>
      <c r="R142" s="214"/>
      <c r="S142" s="214"/>
      <c r="T142" s="214"/>
      <c r="U142" s="99"/>
      <c r="V142" s="99"/>
      <c r="W142" s="99"/>
      <c r="X142" s="99"/>
      <c r="Y142" s="99"/>
      <c r="AA142" s="390"/>
      <c r="AB142" s="390"/>
      <c r="AC142" s="390"/>
      <c r="AD142" s="390"/>
      <c r="AE142" s="390"/>
      <c r="AF142" s="390"/>
      <c r="AG142" s="390"/>
      <c r="AH142" s="390"/>
      <c r="AI142" s="99"/>
      <c r="AJ142" s="99"/>
      <c r="AK142" s="99"/>
      <c r="AL142" s="99"/>
      <c r="AM142" s="99"/>
      <c r="AN142" s="99"/>
      <c r="AO142" s="99"/>
    </row>
    <row r="143" spans="1:41" ht="14.25" customHeight="1">
      <c r="A143" s="100"/>
      <c r="B143" s="113"/>
      <c r="C143" s="99"/>
      <c r="D143" s="99"/>
      <c r="E143" s="99"/>
      <c r="F143" s="99"/>
      <c r="G143" s="99"/>
      <c r="H143" s="99"/>
      <c r="I143" s="99"/>
      <c r="J143" s="99"/>
      <c r="K143" s="99"/>
      <c r="L143" s="99"/>
      <c r="M143" s="99"/>
      <c r="N143" s="99"/>
      <c r="O143" s="99"/>
      <c r="P143" s="99"/>
      <c r="Q143" s="214"/>
      <c r="R143" s="214"/>
      <c r="S143" s="214"/>
      <c r="T143" s="214"/>
      <c r="U143" s="99"/>
      <c r="V143" s="99"/>
      <c r="W143" s="99"/>
      <c r="X143" s="99"/>
      <c r="Y143" s="99"/>
      <c r="AA143" s="390"/>
      <c r="AB143" s="390"/>
      <c r="AC143" s="390"/>
      <c r="AD143" s="390"/>
      <c r="AE143" s="390"/>
      <c r="AF143" s="390"/>
      <c r="AG143" s="390"/>
      <c r="AH143" s="390"/>
      <c r="AI143" s="99"/>
      <c r="AJ143" s="99"/>
      <c r="AK143" s="99"/>
      <c r="AL143" s="99"/>
      <c r="AM143" s="99"/>
      <c r="AN143" s="99"/>
      <c r="AO143" s="99"/>
    </row>
    <row r="144" spans="1:41" ht="14.25" customHeight="1">
      <c r="A144" s="100"/>
      <c r="B144" s="113"/>
      <c r="C144" s="99"/>
      <c r="D144" s="99"/>
      <c r="E144" s="99"/>
      <c r="F144" s="99"/>
      <c r="G144" s="99"/>
      <c r="H144" s="99"/>
      <c r="I144" s="99"/>
      <c r="J144" s="99"/>
      <c r="K144" s="99"/>
      <c r="L144" s="99"/>
      <c r="M144" s="99"/>
      <c r="N144" s="99"/>
      <c r="O144" s="99"/>
      <c r="P144" s="99"/>
      <c r="Q144" s="214"/>
      <c r="R144" s="214"/>
      <c r="S144" s="214"/>
      <c r="T144" s="214"/>
      <c r="U144" s="99"/>
      <c r="V144" s="99"/>
      <c r="W144" s="99"/>
      <c r="X144" s="99"/>
      <c r="Y144" s="99"/>
      <c r="AA144" s="390"/>
      <c r="AB144" s="390"/>
      <c r="AC144" s="390"/>
      <c r="AD144" s="390"/>
      <c r="AE144" s="390"/>
      <c r="AF144" s="390"/>
      <c r="AG144" s="390"/>
      <c r="AH144" s="390"/>
      <c r="AI144" s="99"/>
      <c r="AJ144" s="99"/>
      <c r="AK144" s="99"/>
      <c r="AL144" s="99"/>
      <c r="AM144" s="99"/>
      <c r="AN144" s="99"/>
      <c r="AO144" s="99"/>
    </row>
    <row r="145" spans="1:41" ht="14.25" customHeight="1">
      <c r="A145" s="100"/>
      <c r="B145" s="113"/>
      <c r="C145" s="99"/>
      <c r="D145" s="99"/>
      <c r="E145" s="99"/>
      <c r="F145" s="99"/>
      <c r="G145" s="99"/>
      <c r="H145" s="99"/>
      <c r="I145" s="99"/>
      <c r="J145" s="99"/>
      <c r="K145" s="99"/>
      <c r="L145" s="99"/>
      <c r="M145" s="99"/>
      <c r="N145" s="99"/>
      <c r="O145" s="99"/>
      <c r="P145" s="99"/>
      <c r="Q145" s="214"/>
      <c r="R145" s="214"/>
      <c r="S145" s="214"/>
      <c r="T145" s="214"/>
      <c r="U145" s="99"/>
      <c r="V145" s="99"/>
      <c r="W145" s="99"/>
      <c r="X145" s="99"/>
      <c r="Y145" s="99"/>
      <c r="AA145" s="390"/>
      <c r="AB145" s="390"/>
      <c r="AC145" s="390"/>
      <c r="AD145" s="390"/>
      <c r="AE145" s="390"/>
      <c r="AF145" s="390"/>
      <c r="AG145" s="390"/>
      <c r="AH145" s="390"/>
      <c r="AI145" s="99"/>
      <c r="AJ145" s="99"/>
      <c r="AK145" s="99"/>
      <c r="AL145" s="99"/>
      <c r="AM145" s="99"/>
      <c r="AN145" s="99"/>
      <c r="AO145" s="99"/>
    </row>
    <row r="146" spans="1:41" ht="14.25" customHeight="1">
      <c r="A146" s="100"/>
      <c r="B146" s="113"/>
      <c r="C146" s="99"/>
      <c r="D146" s="99"/>
      <c r="E146" s="99"/>
      <c r="F146" s="99"/>
      <c r="G146" s="99"/>
      <c r="H146" s="99"/>
      <c r="I146" s="99"/>
      <c r="J146" s="99"/>
      <c r="K146" s="99"/>
      <c r="L146" s="99"/>
      <c r="M146" s="99"/>
      <c r="N146" s="99"/>
      <c r="O146" s="99"/>
      <c r="P146" s="99"/>
      <c r="Q146" s="214"/>
      <c r="R146" s="214"/>
      <c r="S146" s="214"/>
      <c r="T146" s="214"/>
      <c r="U146" s="99"/>
      <c r="V146" s="99"/>
      <c r="W146" s="99"/>
      <c r="X146" s="99"/>
      <c r="Y146" s="99"/>
      <c r="AA146" s="390"/>
      <c r="AB146" s="390"/>
      <c r="AC146" s="390"/>
      <c r="AD146" s="390"/>
      <c r="AE146" s="390"/>
      <c r="AF146" s="390"/>
      <c r="AG146" s="390"/>
      <c r="AH146" s="390"/>
      <c r="AI146" s="99"/>
      <c r="AJ146" s="99"/>
      <c r="AK146" s="99"/>
      <c r="AL146" s="99"/>
      <c r="AM146" s="99"/>
      <c r="AN146" s="99"/>
      <c r="AO146" s="99"/>
    </row>
  </sheetData>
  <mergeCells count="2">
    <mergeCell ref="C1:F1"/>
    <mergeCell ref="G1:J1"/>
  </mergeCells>
  <phoneticPr fontId="7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70CFA-F901-4A0B-BE87-1CA3EB1AD938}">
  <dimension ref="A1:AC10"/>
  <sheetViews>
    <sheetView workbookViewId="0">
      <selection activeCell="N18" sqref="N18"/>
    </sheetView>
  </sheetViews>
  <sheetFormatPr defaultRowHeight="14.4"/>
  <cols>
    <col min="1" max="1" width="10.5546875" bestFit="1" customWidth="1"/>
    <col min="2" max="2" width="11.5546875" bestFit="1" customWidth="1"/>
    <col min="3" max="7" width="11" customWidth="1"/>
    <col min="8" max="8" width="11.5546875" bestFit="1" customWidth="1"/>
    <col min="9" max="9" width="11" customWidth="1"/>
    <col min="10" max="10" width="9.5546875" bestFit="1" customWidth="1"/>
    <col min="11" max="11" width="8.5546875" bestFit="1" customWidth="1"/>
    <col min="12" max="12" width="9.5546875" bestFit="1" customWidth="1"/>
    <col min="13" max="13" width="10.44140625" bestFit="1" customWidth="1"/>
    <col min="14" max="14" width="12.44140625" bestFit="1" customWidth="1"/>
    <col min="15" max="15" width="13.5546875" bestFit="1" customWidth="1"/>
    <col min="16" max="16" width="11.44140625" bestFit="1" customWidth="1"/>
    <col min="17" max="17" width="12" bestFit="1" customWidth="1"/>
    <col min="18" max="18" width="11.44140625" bestFit="1" customWidth="1"/>
    <col min="19" max="19" width="12" bestFit="1" customWidth="1"/>
    <col min="20" max="20" width="6.6640625" bestFit="1" customWidth="1"/>
    <col min="21" max="21" width="8" bestFit="1" customWidth="1"/>
    <col min="22" max="22" width="9" bestFit="1" customWidth="1"/>
    <col min="23" max="23" width="10" bestFit="1" customWidth="1"/>
    <col min="24" max="24" width="9" bestFit="1" customWidth="1"/>
    <col min="25" max="25" width="10" bestFit="1" customWidth="1"/>
  </cols>
  <sheetData>
    <row r="1" spans="1:29" ht="15.6">
      <c r="A1" s="48" t="s">
        <v>23</v>
      </c>
      <c r="B1" s="49" t="s">
        <v>99</v>
      </c>
      <c r="C1" s="50" t="s">
        <v>100</v>
      </c>
      <c r="D1" s="51" t="s">
        <v>101</v>
      </c>
      <c r="E1" s="51" t="s">
        <v>102</v>
      </c>
      <c r="F1" s="52" t="s">
        <v>103</v>
      </c>
      <c r="G1" s="53" t="s">
        <v>104</v>
      </c>
      <c r="H1" s="54" t="s">
        <v>105</v>
      </c>
      <c r="I1" s="55" t="s">
        <v>106</v>
      </c>
      <c r="J1" s="55" t="s">
        <v>107</v>
      </c>
      <c r="K1" s="56" t="s">
        <v>108</v>
      </c>
      <c r="L1" s="56" t="s">
        <v>109</v>
      </c>
      <c r="M1" s="56" t="s">
        <v>110</v>
      </c>
      <c r="N1" s="57" t="s">
        <v>111</v>
      </c>
      <c r="O1" s="58" t="s">
        <v>112</v>
      </c>
      <c r="P1" s="59" t="s">
        <v>113</v>
      </c>
      <c r="Q1" s="59" t="s">
        <v>114</v>
      </c>
      <c r="R1" s="60" t="s">
        <v>115</v>
      </c>
      <c r="S1" s="60" t="s">
        <v>116</v>
      </c>
      <c r="T1" s="61" t="s">
        <v>117</v>
      </c>
      <c r="U1" s="61" t="s">
        <v>118</v>
      </c>
      <c r="V1" s="62" t="s">
        <v>119</v>
      </c>
      <c r="W1" s="62" t="s">
        <v>120</v>
      </c>
      <c r="X1" s="63" t="s">
        <v>121</v>
      </c>
      <c r="Y1" s="63" t="s">
        <v>122</v>
      </c>
    </row>
    <row r="2" spans="1:29">
      <c r="A2" s="64"/>
      <c r="B2" s="65"/>
      <c r="C2" s="66"/>
      <c r="D2" s="67"/>
      <c r="E2" s="67"/>
      <c r="F2" s="68"/>
      <c r="G2" s="66"/>
      <c r="H2" s="67"/>
      <c r="I2" s="67"/>
      <c r="J2" s="68"/>
      <c r="K2" s="69"/>
      <c r="L2" s="70"/>
      <c r="M2" s="70"/>
      <c r="N2" s="70"/>
      <c r="O2" s="71"/>
      <c r="P2" s="72"/>
      <c r="Q2" s="73"/>
      <c r="R2" s="74"/>
      <c r="S2" s="73"/>
      <c r="T2" s="75"/>
      <c r="U2" s="75"/>
      <c r="V2" s="76"/>
      <c r="Z2" t="e" cm="1">
        <f t="array" ref="Z2">LINEST(Q2:Q4,O2:O4,FALSE,TRUE)</f>
        <v>#VALUE!</v>
      </c>
      <c r="AC2">
        <v>8.2569564858393195E-3</v>
      </c>
    </row>
    <row r="3" spans="1:29">
      <c r="A3" s="64"/>
      <c r="B3" s="65"/>
      <c r="C3" s="66"/>
      <c r="D3" s="67"/>
      <c r="E3" s="67"/>
      <c r="F3" s="68"/>
      <c r="G3" s="66"/>
      <c r="H3" s="67"/>
      <c r="I3" s="67"/>
      <c r="J3" s="68"/>
      <c r="K3" s="69"/>
      <c r="L3" s="70"/>
      <c r="M3" s="70"/>
      <c r="N3" s="70"/>
      <c r="O3" s="71"/>
      <c r="P3" s="72"/>
      <c r="Q3" s="73"/>
      <c r="R3" s="74"/>
      <c r="S3" s="73"/>
      <c r="T3" s="75"/>
      <c r="U3" s="75"/>
      <c r="V3" s="76"/>
      <c r="W3" s="76"/>
      <c r="AC3">
        <v>4.1135335252982311E-2</v>
      </c>
    </row>
    <row r="4" spans="1:29">
      <c r="A4" s="64"/>
      <c r="B4" s="65"/>
      <c r="C4" s="66"/>
      <c r="D4" s="67"/>
      <c r="E4" s="67"/>
      <c r="F4" s="68"/>
      <c r="G4" s="66"/>
      <c r="H4" s="67"/>
      <c r="I4" s="67"/>
      <c r="J4" s="68"/>
      <c r="K4" s="69"/>
      <c r="L4" s="70"/>
      <c r="M4" s="70"/>
      <c r="N4" s="70"/>
      <c r="O4" s="71"/>
      <c r="P4" s="72"/>
      <c r="Q4" s="73"/>
      <c r="R4" s="74"/>
      <c r="S4" s="73"/>
      <c r="T4" s="75"/>
      <c r="U4" s="75"/>
      <c r="V4" s="77"/>
      <c r="W4" s="78"/>
      <c r="X4" s="77" t="e">
        <f>INDEX(LINEST(R$2:R4,N$2:N4,FALSE,TRUE),3,1)</f>
        <v>#VALUE!</v>
      </c>
      <c r="Y4" s="78"/>
      <c r="AC4">
        <v>8.1900081900081897E-2</v>
      </c>
    </row>
    <row r="5" spans="1:29">
      <c r="A5" s="64"/>
      <c r="B5" s="65"/>
      <c r="C5" s="66"/>
      <c r="D5" s="67"/>
      <c r="E5" s="67"/>
      <c r="F5" s="68"/>
      <c r="G5" s="66"/>
      <c r="H5" s="67"/>
      <c r="I5" s="67"/>
      <c r="J5" s="68"/>
      <c r="K5" s="69"/>
      <c r="L5" s="70"/>
      <c r="M5" s="70"/>
      <c r="N5" s="70"/>
      <c r="O5" s="71"/>
      <c r="P5" s="79"/>
      <c r="Q5" s="73"/>
      <c r="R5" s="70"/>
      <c r="S5" s="73"/>
      <c r="T5" s="75"/>
      <c r="U5" s="75"/>
      <c r="V5" s="76"/>
      <c r="W5" s="77" t="e">
        <f>INDEX(LINEST(Q$5:Q7,O$5:O7,FALSE,TRUE),3,1)</f>
        <v>#VALUE!</v>
      </c>
      <c r="X5" s="76"/>
      <c r="Y5" s="77" t="e">
        <f>INDEX(LINEST(S$5:S7,O$5:O7,FALSE,TRUE),3,1)</f>
        <v>#VALUE!</v>
      </c>
    </row>
    <row r="6" spans="1:29">
      <c r="A6" s="64"/>
      <c r="B6" s="65"/>
      <c r="C6" s="66"/>
      <c r="D6" s="67"/>
      <c r="E6" s="67"/>
      <c r="F6" s="68"/>
      <c r="G6" s="66"/>
      <c r="H6" s="67"/>
      <c r="I6" s="67"/>
      <c r="J6" s="68"/>
      <c r="K6" s="69"/>
      <c r="L6" s="70"/>
      <c r="M6" s="70"/>
      <c r="N6" s="70"/>
      <c r="O6" s="71"/>
      <c r="P6" s="79"/>
      <c r="Q6" s="73"/>
      <c r="R6" s="70"/>
      <c r="S6" s="73"/>
      <c r="T6" s="75"/>
      <c r="U6" s="75"/>
      <c r="V6" s="76"/>
      <c r="W6" s="78"/>
      <c r="X6" s="76"/>
      <c r="Y6" s="78"/>
    </row>
    <row r="7" spans="1:29">
      <c r="A7" s="64"/>
      <c r="B7" s="65"/>
      <c r="C7" s="66"/>
      <c r="D7" s="67"/>
      <c r="E7" s="67"/>
      <c r="F7" s="68"/>
      <c r="G7" s="66"/>
      <c r="H7" s="67"/>
      <c r="I7" s="67"/>
      <c r="J7" s="68"/>
      <c r="K7" s="69"/>
      <c r="L7" s="70"/>
      <c r="M7" s="70"/>
      <c r="N7" s="70"/>
      <c r="O7" s="71"/>
      <c r="P7" s="79"/>
      <c r="Q7" s="73"/>
      <c r="R7" s="70"/>
      <c r="S7" s="73"/>
      <c r="T7" s="75"/>
      <c r="U7" s="75"/>
      <c r="V7" s="76"/>
      <c r="W7" s="78"/>
      <c r="X7" s="76"/>
      <c r="Y7" s="80"/>
    </row>
    <row r="8" spans="1:29">
      <c r="A8" s="64"/>
      <c r="B8" s="65"/>
      <c r="C8" s="66"/>
      <c r="D8" s="67"/>
      <c r="E8" s="67"/>
      <c r="F8" s="68"/>
      <c r="G8" s="66"/>
      <c r="H8" s="67"/>
      <c r="I8" s="67"/>
      <c r="J8" s="68"/>
      <c r="K8" s="69"/>
      <c r="L8" s="70"/>
      <c r="M8" s="70"/>
      <c r="N8" s="70"/>
      <c r="O8" s="71"/>
      <c r="P8" s="79"/>
      <c r="Q8" s="73"/>
      <c r="R8" s="70"/>
      <c r="S8" s="73"/>
      <c r="T8" s="75"/>
      <c r="U8" s="75"/>
      <c r="V8" s="76"/>
      <c r="W8" s="78"/>
      <c r="X8" s="76"/>
      <c r="Y8" s="80"/>
    </row>
    <row r="9" spans="1:29">
      <c r="A9" s="64"/>
      <c r="B9" s="65"/>
      <c r="C9" s="66"/>
      <c r="D9" s="67"/>
      <c r="E9" s="67"/>
      <c r="F9" s="68"/>
      <c r="G9" s="66"/>
      <c r="H9" s="67"/>
      <c r="I9" s="67"/>
      <c r="J9" s="68"/>
      <c r="K9" s="69"/>
      <c r="L9" s="70"/>
      <c r="M9" s="70"/>
      <c r="N9" s="70"/>
      <c r="O9" s="71"/>
      <c r="P9" s="79"/>
      <c r="Q9" s="73"/>
      <c r="R9" s="70"/>
      <c r="S9" s="73"/>
      <c r="T9" s="75"/>
      <c r="U9" s="75"/>
      <c r="V9" s="76"/>
      <c r="W9" s="78"/>
      <c r="X9" s="76"/>
      <c r="Y9" s="80"/>
    </row>
    <row r="10" spans="1:29">
      <c r="A10" s="64"/>
      <c r="B10" s="65"/>
      <c r="C10" s="66"/>
      <c r="D10" s="67"/>
      <c r="E10" s="67"/>
      <c r="F10" s="68"/>
      <c r="G10" s="66"/>
      <c r="H10" s="67"/>
      <c r="I10" s="67"/>
      <c r="J10" s="68"/>
      <c r="K10" s="69"/>
      <c r="L10" s="69"/>
      <c r="M10" s="70"/>
      <c r="N10" s="70"/>
      <c r="O10" s="71"/>
      <c r="P10" s="79"/>
      <c r="Q10" s="73"/>
      <c r="R10" s="79"/>
      <c r="S10" s="73"/>
      <c r="T10" s="81"/>
      <c r="U10" s="81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8A9823A53B1F944AE2E0F6733346CCC" ma:contentTypeVersion="0" ma:contentTypeDescription="Create a new document." ma:contentTypeScope="" ma:versionID="550405adc42b45af055f0f4fb0a40a6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553f2d8843fd2aa64b81f9e8c63a661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3173C869-9F47-47BA-8955-8F11480B42A9}">
  <ds:schemaRefs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D089F89A-03D7-402F-A18C-8185C388BB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0439196-BCB6-45DB-BEE9-6C6385AEADC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F54E693C-EDB4-4F94-BA2A-5E250D1065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5</vt:i4>
      </vt:variant>
    </vt:vector>
  </HeadingPairs>
  <TitlesOfParts>
    <vt:vector size="17" baseType="lpstr">
      <vt:lpstr>start_sheet</vt:lpstr>
      <vt:lpstr>scientific_sheet</vt:lpstr>
      <vt:lpstr>lanupro_vocabulary_combined</vt:lpstr>
      <vt:lpstr>lanupro_vocabulary_general</vt:lpstr>
      <vt:lpstr>lanupro_vocabulary_incubations</vt:lpstr>
      <vt:lpstr>info_sheet_general</vt:lpstr>
      <vt:lpstr>preparation_sheet_flasks</vt:lpstr>
      <vt:lpstr>technical_sheet_vfa</vt:lpstr>
      <vt:lpstr>technical_sheet_dm</vt:lpstr>
      <vt:lpstr>input vfa</vt:lpstr>
      <vt:lpstr>input gas_ethane</vt:lpstr>
      <vt:lpstr>input_gas_standards</vt:lpstr>
      <vt:lpstr>scientific_sheet!Afdrukbereik</vt:lpstr>
      <vt:lpstr>technical_sheet_vfa!Afdrukbereik</vt:lpstr>
      <vt:lpstr>scientific_sheet!Afdruktitels</vt:lpstr>
      <vt:lpstr>technical_sheet_vfa!Afdruktitels</vt:lpstr>
      <vt:lpstr>technical_sheet_vfa!datevfa</vt:lpstr>
    </vt:vector>
  </TitlesOfParts>
  <Manager/>
  <Company>CLO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Stijn Heirbaut</dc:creator>
  <cp:keywords/>
  <dc:description/>
  <cp:lastModifiedBy>Stijn Heirbaut</cp:lastModifiedBy>
  <cp:revision/>
  <cp:lastPrinted>2025-02-25T13:02:21Z</cp:lastPrinted>
  <dcterms:created xsi:type="dcterms:W3CDTF">2010-04-15T16:30:54Z</dcterms:created>
  <dcterms:modified xsi:type="dcterms:W3CDTF">2026-10-07T14:45:37Z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0x010100D8A9823A53B1F944AE2E0F6733346CCC</vt:lpwstr>
  </property>
</Properties>
</file>